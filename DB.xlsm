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0" yWindow="0" windowWidth="19440" windowHeight="12645"/>
  </bookViews>
  <sheets>
    <sheet name="SQL" sheetId="5" r:id="rId1"/>
    <sheet name="PowerQuery" sheetId="6" r:id="rId2"/>
    <sheet name="Load From DB" sheetId="7" r:id="rId3"/>
  </sheets>
  <definedNames>
    <definedName name="ExternalData_1" localSheetId="2" hidden="1">'Load From DB'!$A$1:$F$2561</definedName>
    <definedName name="ExternalData_1" localSheetId="1" hidden="1">PowerQuery!$A$1:$F$2561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6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K1889"/>
  <c r="K1890"/>
  <c r="K1891"/>
  <c r="K1892"/>
  <c r="K1893"/>
  <c r="K1894"/>
  <c r="K1895"/>
  <c r="K1896"/>
  <c r="K1897"/>
  <c r="K1898"/>
  <c r="K1899"/>
  <c r="K1900"/>
  <c r="K1901"/>
  <c r="K1902"/>
  <c r="K1903"/>
  <c r="K1904"/>
  <c r="K1905"/>
  <c r="K1906"/>
  <c r="K1907"/>
  <c r="K1908"/>
  <c r="K1909"/>
  <c r="K1910"/>
  <c r="K1911"/>
  <c r="K1912"/>
  <c r="K1913"/>
  <c r="K1914"/>
  <c r="K1915"/>
  <c r="K1916"/>
  <c r="K1917"/>
  <c r="K1918"/>
  <c r="K1919"/>
  <c r="K1920"/>
  <c r="K1921"/>
  <c r="K1922"/>
  <c r="K1923"/>
  <c r="K1924"/>
  <c r="K1925"/>
  <c r="K1926"/>
  <c r="K1927"/>
  <c r="K1928"/>
  <c r="K1929"/>
  <c r="K1930"/>
  <c r="K1931"/>
  <c r="K1932"/>
  <c r="K1933"/>
  <c r="K1934"/>
  <c r="K1935"/>
  <c r="K1936"/>
  <c r="K1937"/>
  <c r="K1938"/>
  <c r="K1939"/>
  <c r="K1940"/>
  <c r="K1941"/>
  <c r="K1942"/>
  <c r="K1943"/>
  <c r="K1944"/>
  <c r="K1945"/>
  <c r="K1946"/>
  <c r="K1947"/>
  <c r="K1948"/>
  <c r="K1949"/>
  <c r="K1950"/>
  <c r="K1951"/>
  <c r="K1952"/>
  <c r="K1953"/>
  <c r="K1954"/>
  <c r="K1955"/>
  <c r="K1956"/>
  <c r="K1957"/>
  <c r="K1958"/>
  <c r="K1959"/>
  <c r="K1960"/>
  <c r="K1961"/>
  <c r="K1962"/>
  <c r="K1963"/>
  <c r="K1964"/>
  <c r="K1965"/>
  <c r="K1966"/>
  <c r="K1967"/>
  <c r="K1968"/>
  <c r="K1969"/>
  <c r="K1970"/>
  <c r="K1971"/>
  <c r="K1972"/>
  <c r="K1973"/>
  <c r="K1974"/>
  <c r="K1975"/>
  <c r="K1976"/>
  <c r="K1977"/>
  <c r="K1978"/>
  <c r="K1979"/>
  <c r="K1980"/>
  <c r="K1981"/>
  <c r="K1982"/>
  <c r="K1983"/>
  <c r="K1984"/>
  <c r="K1985"/>
  <c r="K1986"/>
  <c r="K1987"/>
  <c r="K1988"/>
  <c r="K1989"/>
  <c r="K1990"/>
  <c r="K1991"/>
  <c r="K1992"/>
  <c r="K1993"/>
  <c r="K1994"/>
  <c r="K1995"/>
  <c r="K1996"/>
  <c r="K1997"/>
  <c r="K1998"/>
  <c r="K1999"/>
  <c r="K2000"/>
  <c r="K2001"/>
  <c r="K2002"/>
  <c r="K2003"/>
  <c r="K2004"/>
  <c r="K2005"/>
  <c r="K2006"/>
  <c r="K2007"/>
  <c r="K2008"/>
  <c r="K2009"/>
  <c r="K2010"/>
  <c r="K2011"/>
  <c r="K2012"/>
  <c r="K2013"/>
  <c r="K2014"/>
  <c r="K2015"/>
  <c r="K2016"/>
  <c r="K2017"/>
  <c r="K2018"/>
  <c r="K2019"/>
  <c r="K2020"/>
  <c r="K2021"/>
  <c r="K2022"/>
  <c r="K2023"/>
  <c r="K2024"/>
  <c r="K2025"/>
  <c r="K2026"/>
  <c r="K2027"/>
  <c r="K2028"/>
  <c r="K2029"/>
  <c r="K2030"/>
  <c r="K2031"/>
  <c r="K2032"/>
  <c r="K2033"/>
  <c r="K2034"/>
  <c r="K2035"/>
  <c r="K2036"/>
  <c r="K2037"/>
  <c r="K2038"/>
  <c r="K2039"/>
  <c r="K2040"/>
  <c r="K2041"/>
  <c r="K2042"/>
  <c r="K2043"/>
  <c r="K2044"/>
  <c r="K2045"/>
  <c r="K2046"/>
  <c r="K2047"/>
  <c r="K2048"/>
  <c r="K2049"/>
  <c r="K2050"/>
  <c r="K2051"/>
  <c r="K2052"/>
  <c r="K2053"/>
  <c r="K2054"/>
  <c r="K2055"/>
  <c r="K2056"/>
  <c r="K2057"/>
  <c r="K2058"/>
  <c r="K2059"/>
  <c r="K2060"/>
  <c r="K2061"/>
  <c r="K2062"/>
  <c r="K2063"/>
  <c r="K2064"/>
  <c r="K2065"/>
  <c r="K2066"/>
  <c r="K2067"/>
  <c r="K2068"/>
  <c r="K2069"/>
  <c r="K2070"/>
  <c r="K2071"/>
  <c r="K2072"/>
  <c r="K2073"/>
  <c r="K2074"/>
  <c r="K2075"/>
  <c r="K2076"/>
  <c r="K2077"/>
  <c r="K2078"/>
  <c r="K2079"/>
  <c r="K2080"/>
  <c r="K2081"/>
  <c r="K2082"/>
  <c r="K2083"/>
  <c r="K2084"/>
  <c r="K2085"/>
  <c r="K2086"/>
  <c r="K2087"/>
  <c r="K2088"/>
  <c r="K2089"/>
  <c r="K2090"/>
  <c r="K2091"/>
  <c r="K2092"/>
  <c r="K2093"/>
  <c r="K2094"/>
  <c r="K2095"/>
  <c r="K2096"/>
  <c r="K2097"/>
  <c r="K2098"/>
  <c r="K2099"/>
  <c r="K2100"/>
  <c r="K2101"/>
  <c r="K2102"/>
  <c r="K2103"/>
  <c r="K2104"/>
  <c r="K2105"/>
  <c r="K2106"/>
  <c r="K2107"/>
  <c r="K2108"/>
  <c r="K2109"/>
  <c r="K2110"/>
  <c r="K2111"/>
  <c r="K2112"/>
  <c r="K2113"/>
  <c r="K2114"/>
  <c r="K2115"/>
  <c r="K2116"/>
  <c r="K2117"/>
  <c r="K2118"/>
  <c r="K2119"/>
  <c r="K2120"/>
  <c r="K2121"/>
  <c r="K2122"/>
  <c r="K2123"/>
  <c r="K2124"/>
  <c r="K2125"/>
  <c r="K2126"/>
  <c r="K2127"/>
  <c r="K2128"/>
  <c r="K2129"/>
  <c r="K2130"/>
  <c r="K2131"/>
  <c r="K2132"/>
  <c r="K2133"/>
  <c r="K2134"/>
  <c r="K2135"/>
  <c r="K2136"/>
  <c r="K2137"/>
  <c r="K2138"/>
  <c r="K2139"/>
  <c r="K2140"/>
  <c r="K2141"/>
  <c r="K2142"/>
  <c r="K2143"/>
  <c r="K2144"/>
  <c r="K2145"/>
  <c r="K2146"/>
  <c r="K2147"/>
  <c r="K2148"/>
  <c r="K2149"/>
  <c r="K2150"/>
  <c r="K2151"/>
  <c r="K2152"/>
  <c r="K2153"/>
  <c r="K2154"/>
  <c r="K2155"/>
  <c r="K2156"/>
  <c r="K2157"/>
  <c r="K2158"/>
  <c r="K2159"/>
  <c r="K2160"/>
  <c r="K2161"/>
  <c r="K2162"/>
  <c r="K2163"/>
  <c r="K2164"/>
  <c r="K2165"/>
  <c r="K2166"/>
  <c r="K2167"/>
  <c r="K2168"/>
  <c r="K2169"/>
  <c r="K2170"/>
  <c r="K2171"/>
  <c r="K2172"/>
  <c r="K2173"/>
  <c r="K2174"/>
  <c r="K2175"/>
  <c r="K2176"/>
  <c r="K2177"/>
  <c r="K2178"/>
  <c r="K2179"/>
  <c r="K2180"/>
  <c r="K2181"/>
  <c r="K2182"/>
  <c r="K2183"/>
  <c r="K2184"/>
  <c r="K2185"/>
  <c r="K2186"/>
  <c r="K2187"/>
  <c r="K2188"/>
  <c r="K2189"/>
  <c r="K2190"/>
  <c r="K2191"/>
  <c r="K2192"/>
  <c r="K2193"/>
  <c r="K2194"/>
  <c r="K2195"/>
  <c r="K2196"/>
  <c r="K2197"/>
  <c r="K2198"/>
  <c r="K2199"/>
  <c r="K2200"/>
  <c r="K2201"/>
  <c r="K2202"/>
  <c r="K2203"/>
  <c r="K2204"/>
  <c r="K2205"/>
  <c r="K2206"/>
  <c r="K2207"/>
  <c r="K2208"/>
  <c r="K2209"/>
  <c r="K2210"/>
  <c r="K2211"/>
  <c r="K2212"/>
  <c r="K2213"/>
  <c r="K2214"/>
  <c r="K2215"/>
  <c r="K2216"/>
  <c r="K2217"/>
  <c r="K2218"/>
  <c r="K2219"/>
  <c r="K2220"/>
  <c r="K2221"/>
  <c r="K2222"/>
  <c r="K2223"/>
  <c r="K2224"/>
  <c r="K2225"/>
  <c r="K2226"/>
  <c r="K2227"/>
  <c r="K2228"/>
  <c r="K2229"/>
  <c r="K2230"/>
  <c r="K2231"/>
  <c r="K2232"/>
  <c r="K2233"/>
  <c r="K2234"/>
  <c r="K2235"/>
  <c r="K2236"/>
  <c r="K2237"/>
  <c r="K2238"/>
  <c r="K2239"/>
  <c r="K2240"/>
  <c r="K2241"/>
  <c r="K2242"/>
  <c r="K2243"/>
  <c r="K2244"/>
  <c r="K2245"/>
  <c r="K2246"/>
  <c r="K2247"/>
  <c r="K2248"/>
  <c r="K2249"/>
  <c r="K2250"/>
  <c r="K2251"/>
  <c r="K2252"/>
  <c r="K2253"/>
  <c r="K2254"/>
  <c r="K2255"/>
  <c r="K2256"/>
  <c r="K2257"/>
  <c r="K2258"/>
  <c r="K2259"/>
  <c r="K2260"/>
  <c r="K2261"/>
  <c r="K2262"/>
  <c r="K2263"/>
  <c r="K2264"/>
  <c r="K2265"/>
  <c r="K2266"/>
  <c r="K2267"/>
  <c r="K2268"/>
  <c r="K2269"/>
  <c r="K2270"/>
  <c r="K2271"/>
  <c r="K2272"/>
  <c r="K2273"/>
  <c r="K2274"/>
  <c r="K2275"/>
  <c r="K2276"/>
  <c r="K2277"/>
  <c r="K2278"/>
  <c r="K2279"/>
  <c r="K2280"/>
  <c r="K2281"/>
  <c r="K2282"/>
  <c r="K2283"/>
  <c r="K2284"/>
  <c r="K2285"/>
  <c r="K2286"/>
  <c r="K2287"/>
  <c r="K2288"/>
  <c r="K2289"/>
  <c r="K2290"/>
  <c r="K2291"/>
  <c r="K2292"/>
  <c r="K2293"/>
  <c r="K2294"/>
  <c r="K2295"/>
  <c r="K2296"/>
  <c r="K2297"/>
  <c r="K2298"/>
  <c r="K2299"/>
  <c r="K2300"/>
  <c r="K2301"/>
  <c r="K2302"/>
  <c r="K2303"/>
  <c r="K2304"/>
  <c r="K2305"/>
  <c r="K2306"/>
  <c r="K2307"/>
  <c r="K2308"/>
  <c r="K2309"/>
  <c r="K2310"/>
  <c r="K2311"/>
  <c r="K2312"/>
  <c r="K2313"/>
  <c r="K2314"/>
  <c r="K2315"/>
  <c r="K2316"/>
  <c r="K2317"/>
  <c r="K2318"/>
  <c r="K2319"/>
  <c r="K2320"/>
  <c r="K2321"/>
  <c r="K2322"/>
  <c r="K2323"/>
  <c r="K2324"/>
  <c r="K2325"/>
  <c r="K2326"/>
  <c r="K2327"/>
  <c r="K2328"/>
  <c r="K2329"/>
  <c r="K2330"/>
  <c r="K2331"/>
  <c r="K2332"/>
  <c r="K2333"/>
  <c r="K2334"/>
  <c r="K2335"/>
  <c r="K2336"/>
  <c r="K2337"/>
  <c r="K2338"/>
  <c r="K2339"/>
  <c r="K2340"/>
  <c r="K2341"/>
  <c r="K2342"/>
  <c r="K2343"/>
  <c r="K2344"/>
  <c r="K2345"/>
  <c r="K2346"/>
  <c r="K2347"/>
  <c r="K2348"/>
  <c r="K2349"/>
  <c r="K2350"/>
  <c r="K2351"/>
  <c r="K2352"/>
  <c r="K2353"/>
  <c r="K2354"/>
  <c r="K2355"/>
  <c r="K2356"/>
  <c r="K2357"/>
  <c r="K2358"/>
  <c r="K2359"/>
  <c r="K2360"/>
  <c r="K2361"/>
  <c r="K2362"/>
  <c r="K2363"/>
  <c r="K2364"/>
  <c r="K2365"/>
  <c r="K2366"/>
  <c r="K2367"/>
  <c r="K2368"/>
  <c r="K2369"/>
  <c r="K2370"/>
  <c r="K2371"/>
  <c r="K2372"/>
  <c r="K2373"/>
  <c r="K2374"/>
  <c r="K2375"/>
  <c r="K2376"/>
  <c r="K2377"/>
  <c r="K2378"/>
  <c r="K2379"/>
  <c r="K2380"/>
  <c r="K2381"/>
  <c r="K2382"/>
  <c r="K2383"/>
  <c r="K2384"/>
  <c r="K2385"/>
  <c r="K2386"/>
  <c r="K2387"/>
  <c r="K2388"/>
  <c r="K2389"/>
  <c r="K2390"/>
  <c r="K2391"/>
  <c r="K2392"/>
  <c r="K2393"/>
  <c r="K2394"/>
  <c r="K2395"/>
  <c r="K2396"/>
  <c r="K2397"/>
  <c r="K2398"/>
  <c r="K2399"/>
  <c r="K2400"/>
  <c r="K2401"/>
  <c r="K2402"/>
  <c r="K2403"/>
  <c r="K2404"/>
  <c r="K2405"/>
  <c r="K2406"/>
  <c r="K2407"/>
  <c r="K2408"/>
  <c r="K2409"/>
  <c r="K2410"/>
  <c r="K2411"/>
  <c r="K2412"/>
  <c r="K2413"/>
  <c r="K2414"/>
  <c r="K2415"/>
  <c r="K2416"/>
  <c r="K2417"/>
  <c r="K2418"/>
  <c r="K2419"/>
  <c r="K2420"/>
  <c r="K2421"/>
  <c r="K2422"/>
  <c r="K2423"/>
  <c r="K2424"/>
  <c r="K2425"/>
  <c r="K2426"/>
  <c r="K2427"/>
  <c r="K2428"/>
  <c r="K2429"/>
  <c r="K2430"/>
  <c r="K2431"/>
  <c r="K2432"/>
  <c r="K2433"/>
  <c r="K2434"/>
  <c r="K2435"/>
  <c r="K2436"/>
  <c r="K2437"/>
  <c r="K2438"/>
  <c r="K2439"/>
  <c r="K2440"/>
  <c r="K2441"/>
  <c r="K2442"/>
  <c r="K2443"/>
  <c r="K2444"/>
  <c r="K2445"/>
  <c r="K2446"/>
  <c r="K2447"/>
  <c r="K2448"/>
  <c r="K2449"/>
  <c r="K2450"/>
  <c r="K2451"/>
  <c r="K2452"/>
  <c r="K2453"/>
  <c r="K2454"/>
  <c r="K2455"/>
  <c r="K2456"/>
  <c r="K2457"/>
  <c r="K2458"/>
  <c r="K2459"/>
  <c r="K2460"/>
  <c r="K2461"/>
  <c r="K2462"/>
  <c r="K2463"/>
  <c r="K2464"/>
  <c r="K2465"/>
  <c r="K2466"/>
  <c r="K2467"/>
  <c r="K2468"/>
  <c r="K2469"/>
  <c r="K2470"/>
  <c r="K2471"/>
  <c r="K2472"/>
  <c r="K2473"/>
  <c r="K2474"/>
  <c r="K2475"/>
  <c r="K2476"/>
  <c r="K2477"/>
  <c r="K2478"/>
  <c r="K2479"/>
  <c r="K2480"/>
  <c r="K2481"/>
  <c r="K2482"/>
  <c r="K2483"/>
  <c r="K2484"/>
  <c r="K2485"/>
  <c r="K2486"/>
  <c r="K2487"/>
  <c r="K2488"/>
  <c r="K2489"/>
  <c r="K2490"/>
  <c r="K2491"/>
  <c r="K2492"/>
  <c r="K2493"/>
  <c r="K2494"/>
  <c r="K2495"/>
  <c r="K2496"/>
  <c r="K2497"/>
  <c r="K2498"/>
  <c r="K2499"/>
  <c r="K2500"/>
  <c r="K2501"/>
  <c r="K2502"/>
  <c r="K2503"/>
  <c r="K2504"/>
  <c r="K2505"/>
  <c r="K2506"/>
  <c r="K2507"/>
  <c r="K2508"/>
  <c r="K2509"/>
  <c r="K2510"/>
  <c r="K2511"/>
  <c r="K2512"/>
  <c r="K2513"/>
  <c r="K2514"/>
  <c r="K2515"/>
  <c r="K2516"/>
  <c r="K2517"/>
  <c r="K2518"/>
  <c r="K2519"/>
  <c r="K2520"/>
  <c r="K2521"/>
  <c r="K2522"/>
  <c r="K2523"/>
  <c r="K2524"/>
  <c r="K2525"/>
  <c r="K2526"/>
  <c r="K2527"/>
  <c r="K2528"/>
  <c r="K2529"/>
  <c r="K2530"/>
  <c r="K2531"/>
  <c r="K2532"/>
  <c r="K2533"/>
  <c r="K2534"/>
  <c r="K2535"/>
  <c r="K2536"/>
  <c r="K2537"/>
  <c r="K2538"/>
  <c r="K2539"/>
  <c r="K2540"/>
  <c r="K2541"/>
  <c r="K2542"/>
  <c r="K2543"/>
  <c r="K2544"/>
  <c r="K2545"/>
  <c r="K2546"/>
  <c r="K2547"/>
  <c r="K2548"/>
  <c r="K2549"/>
  <c r="K2550"/>
  <c r="K2551"/>
  <c r="K2552"/>
  <c r="K2553"/>
  <c r="K2554"/>
  <c r="K2555"/>
  <c r="K2556"/>
  <c r="K2557"/>
  <c r="K2558"/>
  <c r="K2559"/>
  <c r="K2560"/>
  <c r="K2561"/>
  <c r="K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J1177"/>
  <c r="J1178"/>
  <c r="J1179"/>
  <c r="J1180"/>
  <c r="J1181"/>
  <c r="J1182"/>
  <c r="J1183"/>
  <c r="J1184"/>
  <c r="J1185"/>
  <c r="J1186"/>
  <c r="J1187"/>
  <c r="J1188"/>
  <c r="J1189"/>
  <c r="J1190"/>
  <c r="J1191"/>
  <c r="J1192"/>
  <c r="J1193"/>
  <c r="J1194"/>
  <c r="J1195"/>
  <c r="J1196"/>
  <c r="J1197"/>
  <c r="J1198"/>
  <c r="J1199"/>
  <c r="J1200"/>
  <c r="J1201"/>
  <c r="J1202"/>
  <c r="J1203"/>
  <c r="J1204"/>
  <c r="J1205"/>
  <c r="J1206"/>
  <c r="J1207"/>
  <c r="J1208"/>
  <c r="J1209"/>
  <c r="J1210"/>
  <c r="J1211"/>
  <c r="J1212"/>
  <c r="J1213"/>
  <c r="J1214"/>
  <c r="J1215"/>
  <c r="J1216"/>
  <c r="J1217"/>
  <c r="J1218"/>
  <c r="J1219"/>
  <c r="J1220"/>
  <c r="J1221"/>
  <c r="J1222"/>
  <c r="J1223"/>
  <c r="J1224"/>
  <c r="J1225"/>
  <c r="J1226"/>
  <c r="J1227"/>
  <c r="J1228"/>
  <c r="J1229"/>
  <c r="J1230"/>
  <c r="J1231"/>
  <c r="J1232"/>
  <c r="J1233"/>
  <c r="J1234"/>
  <c r="J1235"/>
  <c r="J1236"/>
  <c r="J1237"/>
  <c r="J1238"/>
  <c r="J1239"/>
  <c r="J1240"/>
  <c r="J1241"/>
  <c r="J1242"/>
  <c r="J1243"/>
  <c r="J1244"/>
  <c r="J1245"/>
  <c r="J1246"/>
  <c r="J1247"/>
  <c r="J1248"/>
  <c r="J1249"/>
  <c r="J1250"/>
  <c r="J1251"/>
  <c r="J1252"/>
  <c r="J1253"/>
  <c r="J1254"/>
  <c r="J1255"/>
  <c r="J1256"/>
  <c r="J1257"/>
  <c r="J1258"/>
  <c r="J1259"/>
  <c r="J1260"/>
  <c r="J1261"/>
  <c r="J1262"/>
  <c r="J1263"/>
  <c r="J1264"/>
  <c r="J1265"/>
  <c r="J1266"/>
  <c r="J1267"/>
  <c r="J1268"/>
  <c r="J1269"/>
  <c r="J1270"/>
  <c r="J1271"/>
  <c r="J1272"/>
  <c r="J1273"/>
  <c r="J1274"/>
  <c r="J1275"/>
  <c r="J1276"/>
  <c r="J1277"/>
  <c r="J1278"/>
  <c r="J1279"/>
  <c r="J1280"/>
  <c r="J1281"/>
  <c r="J1282"/>
  <c r="J1283"/>
  <c r="J1284"/>
  <c r="J1285"/>
  <c r="J1286"/>
  <c r="J1287"/>
  <c r="J1288"/>
  <c r="J1289"/>
  <c r="J1290"/>
  <c r="J1291"/>
  <c r="J1292"/>
  <c r="J1293"/>
  <c r="J1294"/>
  <c r="J1295"/>
  <c r="J1296"/>
  <c r="J1297"/>
  <c r="J1298"/>
  <c r="J1299"/>
  <c r="J1300"/>
  <c r="J1301"/>
  <c r="J1302"/>
  <c r="J1303"/>
  <c r="J1304"/>
  <c r="J1305"/>
  <c r="J1306"/>
  <c r="J1307"/>
  <c r="J1308"/>
  <c r="J1309"/>
  <c r="J1310"/>
  <c r="J1311"/>
  <c r="J1312"/>
  <c r="J1313"/>
  <c r="J1314"/>
  <c r="J1315"/>
  <c r="J1316"/>
  <c r="J1317"/>
  <c r="J1318"/>
  <c r="J1319"/>
  <c r="J1320"/>
  <c r="J1321"/>
  <c r="J1322"/>
  <c r="J1323"/>
  <c r="J1324"/>
  <c r="J1325"/>
  <c r="J1326"/>
  <c r="J1327"/>
  <c r="J1328"/>
  <c r="J1329"/>
  <c r="J1330"/>
  <c r="J1331"/>
  <c r="J1332"/>
  <c r="J1333"/>
  <c r="J1334"/>
  <c r="J1335"/>
  <c r="J1336"/>
  <c r="J1337"/>
  <c r="J1338"/>
  <c r="J1339"/>
  <c r="J1340"/>
  <c r="J1341"/>
  <c r="J1342"/>
  <c r="J1343"/>
  <c r="J1344"/>
  <c r="J1345"/>
  <c r="J1346"/>
  <c r="J1347"/>
  <c r="J1348"/>
  <c r="J1349"/>
  <c r="J1350"/>
  <c r="J1351"/>
  <c r="J1352"/>
  <c r="J1353"/>
  <c r="J1354"/>
  <c r="J1355"/>
  <c r="J1356"/>
  <c r="J1357"/>
  <c r="J1358"/>
  <c r="J1359"/>
  <c r="J1360"/>
  <c r="J1361"/>
  <c r="J1362"/>
  <c r="J1363"/>
  <c r="J1364"/>
  <c r="J1365"/>
  <c r="J1366"/>
  <c r="J1367"/>
  <c r="J1368"/>
  <c r="J1369"/>
  <c r="J1370"/>
  <c r="J1371"/>
  <c r="J1372"/>
  <c r="J1373"/>
  <c r="J1374"/>
  <c r="J1375"/>
  <c r="J1376"/>
  <c r="J1377"/>
  <c r="J1378"/>
  <c r="J1379"/>
  <c r="J1380"/>
  <c r="J1381"/>
  <c r="J1382"/>
  <c r="J1383"/>
  <c r="J1384"/>
  <c r="J1385"/>
  <c r="J1386"/>
  <c r="J1387"/>
  <c r="J1388"/>
  <c r="J1389"/>
  <c r="J1390"/>
  <c r="J1391"/>
  <c r="J1392"/>
  <c r="J1393"/>
  <c r="J1394"/>
  <c r="J1395"/>
  <c r="J1396"/>
  <c r="J1397"/>
  <c r="J1398"/>
  <c r="J1399"/>
  <c r="J1400"/>
  <c r="J1401"/>
  <c r="J1402"/>
  <c r="J1403"/>
  <c r="J1404"/>
  <c r="J1405"/>
  <c r="J1406"/>
  <c r="J1407"/>
  <c r="J1408"/>
  <c r="J1409"/>
  <c r="J1410"/>
  <c r="J1411"/>
  <c r="J1412"/>
  <c r="J1413"/>
  <c r="J1414"/>
  <c r="J1415"/>
  <c r="J1416"/>
  <c r="J1417"/>
  <c r="J1418"/>
  <c r="J1419"/>
  <c r="J1420"/>
  <c r="J1421"/>
  <c r="J1422"/>
  <c r="J1423"/>
  <c r="J1424"/>
  <c r="J1425"/>
  <c r="J1426"/>
  <c r="J1427"/>
  <c r="J1428"/>
  <c r="J1429"/>
  <c r="J1430"/>
  <c r="J1431"/>
  <c r="J1432"/>
  <c r="J1433"/>
  <c r="J1434"/>
  <c r="J1435"/>
  <c r="J1436"/>
  <c r="J1437"/>
  <c r="J1438"/>
  <c r="J1439"/>
  <c r="J1440"/>
  <c r="J1441"/>
  <c r="J1442"/>
  <c r="J1443"/>
  <c r="J1444"/>
  <c r="J1445"/>
  <c r="J1446"/>
  <c r="J1447"/>
  <c r="J1448"/>
  <c r="J1449"/>
  <c r="J1450"/>
  <c r="J1451"/>
  <c r="J1452"/>
  <c r="J1453"/>
  <c r="J1454"/>
  <c r="J1455"/>
  <c r="J1456"/>
  <c r="J1457"/>
  <c r="J1458"/>
  <c r="J1459"/>
  <c r="J1460"/>
  <c r="J1461"/>
  <c r="J1462"/>
  <c r="J1463"/>
  <c r="J1464"/>
  <c r="J1465"/>
  <c r="J1466"/>
  <c r="J1467"/>
  <c r="J1468"/>
  <c r="J1469"/>
  <c r="J1470"/>
  <c r="J1471"/>
  <c r="J1472"/>
  <c r="J1473"/>
  <c r="J1474"/>
  <c r="J1475"/>
  <c r="J1476"/>
  <c r="J1477"/>
  <c r="J1478"/>
  <c r="J1479"/>
  <c r="J1480"/>
  <c r="J1481"/>
  <c r="J1482"/>
  <c r="J1483"/>
  <c r="J1484"/>
  <c r="J1485"/>
  <c r="J1486"/>
  <c r="J1487"/>
  <c r="J1488"/>
  <c r="J1489"/>
  <c r="J1490"/>
  <c r="J1491"/>
  <c r="J1492"/>
  <c r="J1493"/>
  <c r="J1494"/>
  <c r="J1495"/>
  <c r="J1496"/>
  <c r="J1497"/>
  <c r="J1498"/>
  <c r="J1499"/>
  <c r="J1500"/>
  <c r="J1501"/>
  <c r="J1502"/>
  <c r="J1503"/>
  <c r="J1504"/>
  <c r="J1505"/>
  <c r="J1506"/>
  <c r="J1507"/>
  <c r="J1508"/>
  <c r="J1509"/>
  <c r="J1510"/>
  <c r="J1511"/>
  <c r="J1512"/>
  <c r="J1513"/>
  <c r="J1514"/>
  <c r="J1515"/>
  <c r="J1516"/>
  <c r="J1517"/>
  <c r="J1518"/>
  <c r="J1519"/>
  <c r="J1520"/>
  <c r="J1521"/>
  <c r="J1522"/>
  <c r="J1523"/>
  <c r="J1524"/>
  <c r="J1525"/>
  <c r="J1526"/>
  <c r="J1527"/>
  <c r="J1528"/>
  <c r="J1529"/>
  <c r="J1530"/>
  <c r="J1531"/>
  <c r="J1532"/>
  <c r="J1533"/>
  <c r="J1534"/>
  <c r="J1535"/>
  <c r="J1536"/>
  <c r="J1537"/>
  <c r="J1538"/>
  <c r="J1539"/>
  <c r="J1540"/>
  <c r="J1541"/>
  <c r="J1542"/>
  <c r="J1543"/>
  <c r="J1544"/>
  <c r="J1545"/>
  <c r="J1546"/>
  <c r="J1547"/>
  <c r="J1548"/>
  <c r="J1549"/>
  <c r="J1550"/>
  <c r="J1551"/>
  <c r="J1552"/>
  <c r="J1553"/>
  <c r="J1554"/>
  <c r="J1555"/>
  <c r="J1556"/>
  <c r="J1557"/>
  <c r="J1558"/>
  <c r="J1559"/>
  <c r="J1560"/>
  <c r="J1561"/>
  <c r="J1562"/>
  <c r="J1563"/>
  <c r="J1564"/>
  <c r="J1565"/>
  <c r="J1566"/>
  <c r="J1567"/>
  <c r="J1568"/>
  <c r="J1569"/>
  <c r="J1570"/>
  <c r="J1571"/>
  <c r="J1572"/>
  <c r="J1573"/>
  <c r="J1574"/>
  <c r="J1575"/>
  <c r="J1576"/>
  <c r="J1577"/>
  <c r="J1578"/>
  <c r="J1579"/>
  <c r="J1580"/>
  <c r="J1581"/>
  <c r="J1582"/>
  <c r="J1583"/>
  <c r="J1584"/>
  <c r="J1585"/>
  <c r="J1586"/>
  <c r="J1587"/>
  <c r="J1588"/>
  <c r="J1589"/>
  <c r="J1590"/>
  <c r="J1591"/>
  <c r="J1592"/>
  <c r="J1593"/>
  <c r="J1594"/>
  <c r="J1595"/>
  <c r="J1596"/>
  <c r="J1597"/>
  <c r="J1598"/>
  <c r="J1599"/>
  <c r="J1600"/>
  <c r="J1601"/>
  <c r="J1602"/>
  <c r="J1603"/>
  <c r="J1604"/>
  <c r="J1605"/>
  <c r="J1606"/>
  <c r="J1607"/>
  <c r="J1608"/>
  <c r="J1609"/>
  <c r="J1610"/>
  <c r="J1611"/>
  <c r="J1612"/>
  <c r="J1613"/>
  <c r="J1614"/>
  <c r="J1615"/>
  <c r="J1616"/>
  <c r="J1617"/>
  <c r="J1618"/>
  <c r="J1619"/>
  <c r="J1620"/>
  <c r="J1621"/>
  <c r="J1622"/>
  <c r="J1623"/>
  <c r="J1624"/>
  <c r="J1625"/>
  <c r="J1626"/>
  <c r="J1627"/>
  <c r="J1628"/>
  <c r="J1629"/>
  <c r="J1630"/>
  <c r="J1631"/>
  <c r="J1632"/>
  <c r="J1633"/>
  <c r="J1634"/>
  <c r="J1635"/>
  <c r="J1636"/>
  <c r="J1637"/>
  <c r="J1638"/>
  <c r="J1639"/>
  <c r="J1640"/>
  <c r="J1641"/>
  <c r="J1642"/>
  <c r="J1643"/>
  <c r="J1644"/>
  <c r="J1645"/>
  <c r="J1646"/>
  <c r="J1647"/>
  <c r="J1648"/>
  <c r="J1649"/>
  <c r="J1650"/>
  <c r="J1651"/>
  <c r="J1652"/>
  <c r="J1653"/>
  <c r="J1654"/>
  <c r="J1655"/>
  <c r="J1656"/>
  <c r="J1657"/>
  <c r="J1658"/>
  <c r="J1659"/>
  <c r="J1660"/>
  <c r="J1661"/>
  <c r="J1662"/>
  <c r="J1663"/>
  <c r="J1664"/>
  <c r="J1665"/>
  <c r="J1666"/>
  <c r="J1667"/>
  <c r="J1668"/>
  <c r="J1669"/>
  <c r="J1670"/>
  <c r="J1671"/>
  <c r="J1672"/>
  <c r="J1673"/>
  <c r="J1674"/>
  <c r="J1675"/>
  <c r="J1676"/>
  <c r="J1677"/>
  <c r="J1678"/>
  <c r="J1679"/>
  <c r="J1680"/>
  <c r="J1681"/>
  <c r="J1682"/>
  <c r="J1683"/>
  <c r="J1684"/>
  <c r="J1685"/>
  <c r="J1686"/>
  <c r="J1687"/>
  <c r="J1688"/>
  <c r="J1689"/>
  <c r="J1690"/>
  <c r="J1691"/>
  <c r="J1692"/>
  <c r="J1693"/>
  <c r="J1694"/>
  <c r="J1695"/>
  <c r="J1696"/>
  <c r="J1697"/>
  <c r="J1698"/>
  <c r="J1699"/>
  <c r="J1700"/>
  <c r="J1701"/>
  <c r="J1702"/>
  <c r="J1703"/>
  <c r="J1704"/>
  <c r="J1705"/>
  <c r="J1706"/>
  <c r="J1707"/>
  <c r="J1708"/>
  <c r="J1709"/>
  <c r="J1710"/>
  <c r="J1711"/>
  <c r="J1712"/>
  <c r="J1713"/>
  <c r="J1714"/>
  <c r="J1715"/>
  <c r="J1716"/>
  <c r="J1717"/>
  <c r="J1718"/>
  <c r="J1719"/>
  <c r="J1720"/>
  <c r="J1721"/>
  <c r="J1722"/>
  <c r="J1723"/>
  <c r="J1724"/>
  <c r="J1725"/>
  <c r="J1726"/>
  <c r="J1727"/>
  <c r="J1728"/>
  <c r="J1729"/>
  <c r="J1730"/>
  <c r="J1731"/>
  <c r="J1732"/>
  <c r="J1733"/>
  <c r="J1734"/>
  <c r="J1735"/>
  <c r="J1736"/>
  <c r="J1737"/>
  <c r="J1738"/>
  <c r="J1739"/>
  <c r="J1740"/>
  <c r="J1741"/>
  <c r="J1742"/>
  <c r="J1743"/>
  <c r="J1744"/>
  <c r="J1745"/>
  <c r="J1746"/>
  <c r="J1747"/>
  <c r="J1748"/>
  <c r="J1749"/>
  <c r="J1750"/>
  <c r="J1751"/>
  <c r="J1752"/>
  <c r="J1753"/>
  <c r="J1754"/>
  <c r="J1755"/>
  <c r="J1756"/>
  <c r="J1757"/>
  <c r="J1758"/>
  <c r="J1759"/>
  <c r="J1760"/>
  <c r="J1761"/>
  <c r="J1762"/>
  <c r="J1763"/>
  <c r="J1764"/>
  <c r="J1765"/>
  <c r="J1766"/>
  <c r="J1767"/>
  <c r="J1768"/>
  <c r="J1769"/>
  <c r="J1770"/>
  <c r="J1771"/>
  <c r="J1772"/>
  <c r="J1773"/>
  <c r="J1774"/>
  <c r="J1775"/>
  <c r="J1776"/>
  <c r="J1777"/>
  <c r="J1778"/>
  <c r="J1779"/>
  <c r="J1780"/>
  <c r="J1781"/>
  <c r="J1782"/>
  <c r="J1783"/>
  <c r="J1784"/>
  <c r="J1785"/>
  <c r="J1786"/>
  <c r="J1787"/>
  <c r="J1788"/>
  <c r="J1789"/>
  <c r="J1790"/>
  <c r="J1791"/>
  <c r="J1792"/>
  <c r="J1793"/>
  <c r="J1794"/>
  <c r="J1795"/>
  <c r="J1796"/>
  <c r="J1797"/>
  <c r="J1798"/>
  <c r="J1799"/>
  <c r="J1800"/>
  <c r="J1801"/>
  <c r="J1802"/>
  <c r="J1803"/>
  <c r="J1804"/>
  <c r="J1805"/>
  <c r="J1806"/>
  <c r="J1807"/>
  <c r="J1808"/>
  <c r="J1809"/>
  <c r="J1810"/>
  <c r="J1811"/>
  <c r="J1812"/>
  <c r="J1813"/>
  <c r="J1814"/>
  <c r="J1815"/>
  <c r="J1816"/>
  <c r="J1817"/>
  <c r="J1818"/>
  <c r="J1819"/>
  <c r="J1820"/>
  <c r="J1821"/>
  <c r="J1822"/>
  <c r="J1823"/>
  <c r="J1824"/>
  <c r="J1825"/>
  <c r="J1826"/>
  <c r="J1827"/>
  <c r="J1828"/>
  <c r="J1829"/>
  <c r="J1830"/>
  <c r="J1831"/>
  <c r="J1832"/>
  <c r="J1833"/>
  <c r="J1834"/>
  <c r="J1835"/>
  <c r="J1836"/>
  <c r="J1837"/>
  <c r="J1838"/>
  <c r="J1839"/>
  <c r="J1840"/>
  <c r="J1841"/>
  <c r="J1842"/>
  <c r="J1843"/>
  <c r="J1844"/>
  <c r="J1845"/>
  <c r="J1846"/>
  <c r="J1847"/>
  <c r="J1848"/>
  <c r="J1849"/>
  <c r="J1850"/>
  <c r="J1851"/>
  <c r="J1852"/>
  <c r="J1853"/>
  <c r="J1854"/>
  <c r="J1855"/>
  <c r="J1856"/>
  <c r="J1857"/>
  <c r="J1858"/>
  <c r="J1859"/>
  <c r="J1860"/>
  <c r="J1861"/>
  <c r="J1862"/>
  <c r="J1863"/>
  <c r="J1864"/>
  <c r="J1865"/>
  <c r="J1866"/>
  <c r="J1867"/>
  <c r="J1868"/>
  <c r="J1869"/>
  <c r="J1870"/>
  <c r="J1871"/>
  <c r="J1872"/>
  <c r="J1873"/>
  <c r="J1874"/>
  <c r="J1875"/>
  <c r="J1876"/>
  <c r="J1877"/>
  <c r="J1878"/>
  <c r="J1879"/>
  <c r="J1880"/>
  <c r="J1881"/>
  <c r="J1882"/>
  <c r="J1883"/>
  <c r="J1884"/>
  <c r="J1885"/>
  <c r="J1886"/>
  <c r="J1887"/>
  <c r="J1888"/>
  <c r="J1889"/>
  <c r="J1890"/>
  <c r="J1891"/>
  <c r="J1892"/>
  <c r="J1893"/>
  <c r="J1894"/>
  <c r="J1895"/>
  <c r="J1896"/>
  <c r="J1897"/>
  <c r="J1898"/>
  <c r="J1899"/>
  <c r="J1900"/>
  <c r="J1901"/>
  <c r="J1902"/>
  <c r="J1903"/>
  <c r="J1904"/>
  <c r="J1905"/>
  <c r="J1906"/>
  <c r="J1907"/>
  <c r="J1908"/>
  <c r="J1909"/>
  <c r="J1910"/>
  <c r="J1911"/>
  <c r="J1912"/>
  <c r="J1913"/>
  <c r="J1914"/>
  <c r="J1915"/>
  <c r="J1916"/>
  <c r="J1917"/>
  <c r="J1918"/>
  <c r="J1919"/>
  <c r="J1920"/>
  <c r="J1921"/>
  <c r="J1922"/>
  <c r="J1923"/>
  <c r="J1924"/>
  <c r="J1925"/>
  <c r="J1926"/>
  <c r="J1927"/>
  <c r="J1928"/>
  <c r="J1929"/>
  <c r="J1930"/>
  <c r="J1931"/>
  <c r="J1932"/>
  <c r="J1933"/>
  <c r="J1934"/>
  <c r="J1935"/>
  <c r="J1936"/>
  <c r="J1937"/>
  <c r="J1938"/>
  <c r="J1939"/>
  <c r="J1940"/>
  <c r="J1941"/>
  <c r="J1942"/>
  <c r="J1943"/>
  <c r="J1944"/>
  <c r="J1945"/>
  <c r="J1946"/>
  <c r="J1947"/>
  <c r="J1948"/>
  <c r="J1949"/>
  <c r="J1950"/>
  <c r="J1951"/>
  <c r="J1952"/>
  <c r="J1953"/>
  <c r="J1954"/>
  <c r="J1955"/>
  <c r="J1956"/>
  <c r="J1957"/>
  <c r="J1958"/>
  <c r="J1959"/>
  <c r="J1960"/>
  <c r="J1961"/>
  <c r="J1962"/>
  <c r="J1963"/>
  <c r="J1964"/>
  <c r="J1965"/>
  <c r="J1966"/>
  <c r="J1967"/>
  <c r="J1968"/>
  <c r="J1969"/>
  <c r="J1970"/>
  <c r="J1971"/>
  <c r="J1972"/>
  <c r="J1973"/>
  <c r="J1974"/>
  <c r="J1975"/>
  <c r="J1976"/>
  <c r="J1977"/>
  <c r="J1978"/>
  <c r="J1979"/>
  <c r="J1980"/>
  <c r="J1981"/>
  <c r="J1982"/>
  <c r="J1983"/>
  <c r="J1984"/>
  <c r="J1985"/>
  <c r="J1986"/>
  <c r="J1987"/>
  <c r="J1988"/>
  <c r="J1989"/>
  <c r="J1990"/>
  <c r="J1991"/>
  <c r="J1992"/>
  <c r="J1993"/>
  <c r="J1994"/>
  <c r="J1995"/>
  <c r="J1996"/>
  <c r="J1997"/>
  <c r="J1998"/>
  <c r="J1999"/>
  <c r="J2000"/>
  <c r="J2001"/>
  <c r="J2002"/>
  <c r="J2003"/>
  <c r="J2004"/>
  <c r="J2005"/>
  <c r="J2006"/>
  <c r="J2007"/>
  <c r="J2008"/>
  <c r="J2009"/>
  <c r="J2010"/>
  <c r="J2011"/>
  <c r="J2012"/>
  <c r="J2013"/>
  <c r="J2014"/>
  <c r="J2015"/>
  <c r="J2016"/>
  <c r="J2017"/>
  <c r="J2018"/>
  <c r="J2019"/>
  <c r="J2020"/>
  <c r="J2021"/>
  <c r="J2022"/>
  <c r="J2023"/>
  <c r="J2024"/>
  <c r="J2025"/>
  <c r="J2026"/>
  <c r="J2027"/>
  <c r="J2028"/>
  <c r="J2029"/>
  <c r="J2030"/>
  <c r="J2031"/>
  <c r="J2032"/>
  <c r="J2033"/>
  <c r="J2034"/>
  <c r="J2035"/>
  <c r="J2036"/>
  <c r="J2037"/>
  <c r="J2038"/>
  <c r="J2039"/>
  <c r="J2040"/>
  <c r="J2041"/>
  <c r="J2042"/>
  <c r="J2043"/>
  <c r="J2044"/>
  <c r="J2045"/>
  <c r="J2046"/>
  <c r="J2047"/>
  <c r="J2048"/>
  <c r="J2049"/>
  <c r="J2050"/>
  <c r="J2051"/>
  <c r="J2052"/>
  <c r="J2053"/>
  <c r="J2054"/>
  <c r="J2055"/>
  <c r="J2056"/>
  <c r="J2057"/>
  <c r="J2058"/>
  <c r="J2059"/>
  <c r="J2060"/>
  <c r="J2061"/>
  <c r="J2062"/>
  <c r="J2063"/>
  <c r="J2064"/>
  <c r="J2065"/>
  <c r="J2066"/>
  <c r="J2067"/>
  <c r="J2068"/>
  <c r="J2069"/>
  <c r="J2070"/>
  <c r="J2071"/>
  <c r="J2072"/>
  <c r="J2073"/>
  <c r="J2074"/>
  <c r="J2075"/>
  <c r="J2076"/>
  <c r="J2077"/>
  <c r="J2078"/>
  <c r="J2079"/>
  <c r="J2080"/>
  <c r="J2081"/>
  <c r="J2082"/>
  <c r="J2083"/>
  <c r="J2084"/>
  <c r="J2085"/>
  <c r="J2086"/>
  <c r="J2087"/>
  <c r="J2088"/>
  <c r="J2089"/>
  <c r="J2090"/>
  <c r="J2091"/>
  <c r="J2092"/>
  <c r="J2093"/>
  <c r="J2094"/>
  <c r="J2095"/>
  <c r="J2096"/>
  <c r="J2097"/>
  <c r="J2098"/>
  <c r="J2099"/>
  <c r="J2100"/>
  <c r="J2101"/>
  <c r="J2102"/>
  <c r="J2103"/>
  <c r="J2104"/>
  <c r="J2105"/>
  <c r="J2106"/>
  <c r="J2107"/>
  <c r="J2108"/>
  <c r="J2109"/>
  <c r="J2110"/>
  <c r="J2111"/>
  <c r="J2112"/>
  <c r="J2113"/>
  <c r="J2114"/>
  <c r="J2115"/>
  <c r="J2116"/>
  <c r="J2117"/>
  <c r="J2118"/>
  <c r="J2119"/>
  <c r="J2120"/>
  <c r="J2121"/>
  <c r="J2122"/>
  <c r="J2123"/>
  <c r="J2124"/>
  <c r="J2125"/>
  <c r="J2126"/>
  <c r="J2127"/>
  <c r="J2128"/>
  <c r="J2129"/>
  <c r="J2130"/>
  <c r="J2131"/>
  <c r="J2132"/>
  <c r="J2133"/>
  <c r="J2134"/>
  <c r="J2135"/>
  <c r="J2136"/>
  <c r="J2137"/>
  <c r="J2138"/>
  <c r="J2139"/>
  <c r="J2140"/>
  <c r="J2141"/>
  <c r="J2142"/>
  <c r="J2143"/>
  <c r="J2144"/>
  <c r="J2145"/>
  <c r="J2146"/>
  <c r="J2147"/>
  <c r="J2148"/>
  <c r="J2149"/>
  <c r="J2150"/>
  <c r="J2151"/>
  <c r="J2152"/>
  <c r="J2153"/>
  <c r="J2154"/>
  <c r="J2155"/>
  <c r="J2156"/>
  <c r="J2157"/>
  <c r="J2158"/>
  <c r="J2159"/>
  <c r="J2160"/>
  <c r="J2161"/>
  <c r="J2162"/>
  <c r="J2163"/>
  <c r="J2164"/>
  <c r="J2165"/>
  <c r="J2166"/>
  <c r="J2167"/>
  <c r="J2168"/>
  <c r="J2169"/>
  <c r="J2170"/>
  <c r="J2171"/>
  <c r="J2172"/>
  <c r="J2173"/>
  <c r="J2174"/>
  <c r="J2175"/>
  <c r="J2176"/>
  <c r="J2177"/>
  <c r="J2178"/>
  <c r="J2179"/>
  <c r="J2180"/>
  <c r="J2181"/>
  <c r="J2182"/>
  <c r="J2183"/>
  <c r="J2184"/>
  <c r="J2185"/>
  <c r="J2186"/>
  <c r="J2187"/>
  <c r="J2188"/>
  <c r="J2189"/>
  <c r="J2190"/>
  <c r="J2191"/>
  <c r="J2192"/>
  <c r="J2193"/>
  <c r="J2194"/>
  <c r="J2195"/>
  <c r="J2196"/>
  <c r="J2197"/>
  <c r="J2198"/>
  <c r="J2199"/>
  <c r="J2200"/>
  <c r="J2201"/>
  <c r="J2202"/>
  <c r="J2203"/>
  <c r="J2204"/>
  <c r="J2205"/>
  <c r="J2206"/>
  <c r="J2207"/>
  <c r="J2208"/>
  <c r="J2209"/>
  <c r="J2210"/>
  <c r="J2211"/>
  <c r="J2212"/>
  <c r="J2213"/>
  <c r="J2214"/>
  <c r="J2215"/>
  <c r="J2216"/>
  <c r="J2217"/>
  <c r="J2218"/>
  <c r="J2219"/>
  <c r="J2220"/>
  <c r="J2221"/>
  <c r="J2222"/>
  <c r="J2223"/>
  <c r="J2224"/>
  <c r="J2225"/>
  <c r="J2226"/>
  <c r="J2227"/>
  <c r="J2228"/>
  <c r="J2229"/>
  <c r="J2230"/>
  <c r="J2231"/>
  <c r="J2232"/>
  <c r="J2233"/>
  <c r="J2234"/>
  <c r="J2235"/>
  <c r="J2236"/>
  <c r="J2237"/>
  <c r="J2238"/>
  <c r="J2239"/>
  <c r="J2240"/>
  <c r="J2241"/>
  <c r="J2242"/>
  <c r="J2243"/>
  <c r="J2244"/>
  <c r="J2245"/>
  <c r="J2246"/>
  <c r="J2247"/>
  <c r="J2248"/>
  <c r="J2249"/>
  <c r="J2250"/>
  <c r="J2251"/>
  <c r="J2252"/>
  <c r="J2253"/>
  <c r="J2254"/>
  <c r="J2255"/>
  <c r="J2256"/>
  <c r="J2257"/>
  <c r="J2258"/>
  <c r="J2259"/>
  <c r="J2260"/>
  <c r="J2261"/>
  <c r="J2262"/>
  <c r="J2263"/>
  <c r="J2264"/>
  <c r="J2265"/>
  <c r="J2266"/>
  <c r="J2267"/>
  <c r="J2268"/>
  <c r="J2269"/>
  <c r="J2270"/>
  <c r="J2271"/>
  <c r="J2272"/>
  <c r="J2273"/>
  <c r="J2274"/>
  <c r="J2275"/>
  <c r="J2276"/>
  <c r="J2277"/>
  <c r="J2278"/>
  <c r="J2279"/>
  <c r="J2280"/>
  <c r="J2281"/>
  <c r="J2282"/>
  <c r="J2283"/>
  <c r="J2284"/>
  <c r="J2285"/>
  <c r="J2286"/>
  <c r="J2287"/>
  <c r="J2288"/>
  <c r="J2289"/>
  <c r="J2290"/>
  <c r="J2291"/>
  <c r="J2292"/>
  <c r="J2293"/>
  <c r="J2294"/>
  <c r="J2295"/>
  <c r="J2296"/>
  <c r="J2297"/>
  <c r="J2298"/>
  <c r="J2299"/>
  <c r="J2300"/>
  <c r="J2301"/>
  <c r="J2302"/>
  <c r="J2303"/>
  <c r="J2304"/>
  <c r="J2305"/>
  <c r="J2306"/>
  <c r="J2307"/>
  <c r="J2308"/>
  <c r="J2309"/>
  <c r="J2310"/>
  <c r="J2311"/>
  <c r="J2312"/>
  <c r="J2313"/>
  <c r="J2314"/>
  <c r="J2315"/>
  <c r="J2316"/>
  <c r="J2317"/>
  <c r="J2318"/>
  <c r="J2319"/>
  <c r="J2320"/>
  <c r="J2321"/>
  <c r="J2322"/>
  <c r="J2323"/>
  <c r="J2324"/>
  <c r="J2325"/>
  <c r="J2326"/>
  <c r="J2327"/>
  <c r="J2328"/>
  <c r="J2329"/>
  <c r="J2330"/>
  <c r="J2331"/>
  <c r="J2332"/>
  <c r="J2333"/>
  <c r="J2334"/>
  <c r="J2335"/>
  <c r="J2336"/>
  <c r="J2337"/>
  <c r="J2338"/>
  <c r="J2339"/>
  <c r="J2340"/>
  <c r="J2341"/>
  <c r="J2342"/>
  <c r="J2343"/>
  <c r="J2344"/>
  <c r="J2345"/>
  <c r="J2346"/>
  <c r="J2347"/>
  <c r="J2348"/>
  <c r="J2349"/>
  <c r="J2350"/>
  <c r="J2351"/>
  <c r="J2352"/>
  <c r="J2353"/>
  <c r="J2354"/>
  <c r="J2355"/>
  <c r="J2356"/>
  <c r="J2357"/>
  <c r="J2358"/>
  <c r="J2359"/>
  <c r="J2360"/>
  <c r="J2361"/>
  <c r="J2362"/>
  <c r="J2363"/>
  <c r="J2364"/>
  <c r="J2365"/>
  <c r="J2366"/>
  <c r="J2367"/>
  <c r="J2368"/>
  <c r="J2369"/>
  <c r="J2370"/>
  <c r="J2371"/>
  <c r="J2372"/>
  <c r="J2373"/>
  <c r="J2374"/>
  <c r="J2375"/>
  <c r="J2376"/>
  <c r="J2377"/>
  <c r="J2378"/>
  <c r="J2379"/>
  <c r="J2380"/>
  <c r="J2381"/>
  <c r="J2382"/>
  <c r="J2383"/>
  <c r="J2384"/>
  <c r="J2385"/>
  <c r="J2386"/>
  <c r="J2387"/>
  <c r="J2388"/>
  <c r="J2389"/>
  <c r="J2390"/>
  <c r="J2391"/>
  <c r="J2392"/>
  <c r="J2393"/>
  <c r="J2394"/>
  <c r="J2395"/>
  <c r="J2396"/>
  <c r="J2397"/>
  <c r="J2398"/>
  <c r="J2399"/>
  <c r="J2400"/>
  <c r="J2401"/>
  <c r="J2402"/>
  <c r="J2403"/>
  <c r="J2404"/>
  <c r="J2405"/>
  <c r="J2406"/>
  <c r="J2407"/>
  <c r="J2408"/>
  <c r="J2409"/>
  <c r="J2410"/>
  <c r="J2411"/>
  <c r="J2412"/>
  <c r="J2413"/>
  <c r="J2414"/>
  <c r="J2415"/>
  <c r="J2416"/>
  <c r="J2417"/>
  <c r="J2418"/>
  <c r="J2419"/>
  <c r="J2420"/>
  <c r="J2421"/>
  <c r="J2422"/>
  <c r="J2423"/>
  <c r="J2424"/>
  <c r="J2425"/>
  <c r="J2426"/>
  <c r="J2427"/>
  <c r="J2428"/>
  <c r="J2429"/>
  <c r="J2430"/>
  <c r="J2431"/>
  <c r="J2432"/>
  <c r="J2433"/>
  <c r="J2434"/>
  <c r="J2435"/>
  <c r="J2436"/>
  <c r="J2437"/>
  <c r="J2438"/>
  <c r="J2439"/>
  <c r="J2440"/>
  <c r="J2441"/>
  <c r="J2442"/>
  <c r="J2443"/>
  <c r="J2444"/>
  <c r="J2445"/>
  <c r="J2446"/>
  <c r="J2447"/>
  <c r="J2448"/>
  <c r="J2449"/>
  <c r="J2450"/>
  <c r="J2451"/>
  <c r="J2452"/>
  <c r="J2453"/>
  <c r="J2454"/>
  <c r="J2455"/>
  <c r="J2456"/>
  <c r="J2457"/>
  <c r="J2458"/>
  <c r="J2459"/>
  <c r="J2460"/>
  <c r="J2461"/>
  <c r="J2462"/>
  <c r="J2463"/>
  <c r="J2464"/>
  <c r="J2465"/>
  <c r="J2466"/>
  <c r="J2467"/>
  <c r="J2468"/>
  <c r="J2469"/>
  <c r="J2470"/>
  <c r="J2471"/>
  <c r="J2472"/>
  <c r="J2473"/>
  <c r="J2474"/>
  <c r="J2475"/>
  <c r="J2476"/>
  <c r="J2477"/>
  <c r="J2478"/>
  <c r="J2479"/>
  <c r="J2480"/>
  <c r="J2481"/>
  <c r="J2482"/>
  <c r="J2483"/>
  <c r="J2484"/>
  <c r="J2485"/>
  <c r="J2486"/>
  <c r="J2487"/>
  <c r="J2488"/>
  <c r="J2489"/>
  <c r="J2490"/>
  <c r="J2491"/>
  <c r="J2492"/>
  <c r="J2493"/>
  <c r="J2494"/>
  <c r="J2495"/>
  <c r="J2496"/>
  <c r="J2497"/>
  <c r="J2498"/>
  <c r="J2499"/>
  <c r="J2500"/>
  <c r="J2501"/>
  <c r="J2502"/>
  <c r="J2503"/>
  <c r="J2504"/>
  <c r="J2505"/>
  <c r="J2506"/>
  <c r="J2507"/>
  <c r="J2508"/>
  <c r="J2509"/>
  <c r="J2510"/>
  <c r="J2511"/>
  <c r="J2512"/>
  <c r="J2513"/>
  <c r="J2514"/>
  <c r="J2515"/>
  <c r="J2516"/>
  <c r="J2517"/>
  <c r="J2518"/>
  <c r="J2519"/>
  <c r="J2520"/>
  <c r="J2521"/>
  <c r="J2522"/>
  <c r="J2523"/>
  <c r="J2524"/>
  <c r="J2525"/>
  <c r="J2526"/>
  <c r="J2527"/>
  <c r="J2528"/>
  <c r="J2529"/>
  <c r="J2530"/>
  <c r="J2531"/>
  <c r="J2532"/>
  <c r="J2533"/>
  <c r="J2534"/>
  <c r="J2535"/>
  <c r="J2536"/>
  <c r="J2537"/>
  <c r="J2538"/>
  <c r="J2539"/>
  <c r="J2540"/>
  <c r="J2541"/>
  <c r="J2542"/>
  <c r="J2543"/>
  <c r="J2544"/>
  <c r="J2545"/>
  <c r="J2546"/>
  <c r="J2547"/>
  <c r="J2548"/>
  <c r="J2549"/>
  <c r="J2550"/>
  <c r="J2551"/>
  <c r="J2552"/>
  <c r="J2553"/>
  <c r="J2554"/>
  <c r="J2555"/>
  <c r="J2556"/>
  <c r="J2557"/>
  <c r="J2558"/>
  <c r="J2559"/>
  <c r="J2560"/>
  <c r="J2561"/>
  <c r="J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"/>
  <c r="R4" i="5" l="1"/>
  <c r="R5"/>
  <c r="R6"/>
  <c r="R7"/>
  <c r="R8"/>
  <c r="R9"/>
  <c r="R10"/>
  <c r="R11"/>
  <c r="R12"/>
  <c r="R13"/>
  <c r="R14"/>
  <c r="R15"/>
  <c r="R16"/>
  <c r="R17"/>
  <c r="R18"/>
  <c r="R19"/>
  <c r="R20"/>
  <c r="R21"/>
  <c r="R22"/>
  <c r="R3"/>
  <c r="C5"/>
  <c r="D32" s="1"/>
  <c r="H6" i="6" l="1"/>
  <c r="L6" s="1"/>
  <c r="H10"/>
  <c r="L10" s="1"/>
  <c r="H14"/>
  <c r="L14" s="1"/>
  <c r="H18"/>
  <c r="L18" s="1"/>
  <c r="H22"/>
  <c r="L22" s="1"/>
  <c r="H26"/>
  <c r="L26" s="1"/>
  <c r="H30"/>
  <c r="L30" s="1"/>
  <c r="H34"/>
  <c r="L34" s="1"/>
  <c r="H38"/>
  <c r="L38" s="1"/>
  <c r="H42"/>
  <c r="L42" s="1"/>
  <c r="H46"/>
  <c r="L46" s="1"/>
  <c r="H50"/>
  <c r="L50" s="1"/>
  <c r="H54"/>
  <c r="L54" s="1"/>
  <c r="H58"/>
  <c r="L58" s="1"/>
  <c r="H62"/>
  <c r="L62" s="1"/>
  <c r="H66"/>
  <c r="L66" s="1"/>
  <c r="H70"/>
  <c r="L70" s="1"/>
  <c r="H74"/>
  <c r="L74" s="1"/>
  <c r="H78"/>
  <c r="L78" s="1"/>
  <c r="H82"/>
  <c r="L82" s="1"/>
  <c r="H86"/>
  <c r="L86" s="1"/>
  <c r="H90"/>
  <c r="L90" s="1"/>
  <c r="H94"/>
  <c r="L94" s="1"/>
  <c r="H98"/>
  <c r="L98" s="1"/>
  <c r="H102"/>
  <c r="L102" s="1"/>
  <c r="H106"/>
  <c r="L106" s="1"/>
  <c r="H110"/>
  <c r="L110" s="1"/>
  <c r="H114"/>
  <c r="L114" s="1"/>
  <c r="H118"/>
  <c r="L118" s="1"/>
  <c r="H122"/>
  <c r="L122" s="1"/>
  <c r="H126"/>
  <c r="L126" s="1"/>
  <c r="H130"/>
  <c r="L130" s="1"/>
  <c r="H134"/>
  <c r="L134" s="1"/>
  <c r="H138"/>
  <c r="L138" s="1"/>
  <c r="H142"/>
  <c r="L142" s="1"/>
  <c r="H146"/>
  <c r="L146" s="1"/>
  <c r="H150"/>
  <c r="L150" s="1"/>
  <c r="H154"/>
  <c r="L154" s="1"/>
  <c r="H158"/>
  <c r="L158" s="1"/>
  <c r="H162"/>
  <c r="L162" s="1"/>
  <c r="H166"/>
  <c r="L166" s="1"/>
  <c r="H170"/>
  <c r="L170" s="1"/>
  <c r="H174"/>
  <c r="L174" s="1"/>
  <c r="H178"/>
  <c r="L178" s="1"/>
  <c r="H182"/>
  <c r="L182" s="1"/>
  <c r="H186"/>
  <c r="L186" s="1"/>
  <c r="H190"/>
  <c r="L190" s="1"/>
  <c r="H194"/>
  <c r="L194" s="1"/>
  <c r="H198"/>
  <c r="L198" s="1"/>
  <c r="H202"/>
  <c r="L202" s="1"/>
  <c r="H206"/>
  <c r="L206" s="1"/>
  <c r="H210"/>
  <c r="L210" s="1"/>
  <c r="H214"/>
  <c r="L214" s="1"/>
  <c r="H218"/>
  <c r="L218" s="1"/>
  <c r="H222"/>
  <c r="L222" s="1"/>
  <c r="H226"/>
  <c r="L226" s="1"/>
  <c r="H230"/>
  <c r="L230" s="1"/>
  <c r="H234"/>
  <c r="L234" s="1"/>
  <c r="H238"/>
  <c r="L238" s="1"/>
  <c r="H242"/>
  <c r="L242" s="1"/>
  <c r="H246"/>
  <c r="L246" s="1"/>
  <c r="H250"/>
  <c r="L250" s="1"/>
  <c r="H254"/>
  <c r="L254" s="1"/>
  <c r="H258"/>
  <c r="L258" s="1"/>
  <c r="H262"/>
  <c r="L262" s="1"/>
  <c r="H266"/>
  <c r="L266" s="1"/>
  <c r="H270"/>
  <c r="L270" s="1"/>
  <c r="H274"/>
  <c r="L274" s="1"/>
  <c r="H278"/>
  <c r="L278" s="1"/>
  <c r="H282"/>
  <c r="L282" s="1"/>
  <c r="H286"/>
  <c r="L286" s="1"/>
  <c r="H290"/>
  <c r="L290" s="1"/>
  <c r="H294"/>
  <c r="L294" s="1"/>
  <c r="H298"/>
  <c r="L298" s="1"/>
  <c r="H302"/>
  <c r="L302" s="1"/>
  <c r="H306"/>
  <c r="L306" s="1"/>
  <c r="H310"/>
  <c r="L310" s="1"/>
  <c r="H314"/>
  <c r="L314" s="1"/>
  <c r="H318"/>
  <c r="L318" s="1"/>
  <c r="H322"/>
  <c r="L322" s="1"/>
  <c r="H326"/>
  <c r="L326" s="1"/>
  <c r="H330"/>
  <c r="L330" s="1"/>
  <c r="H334"/>
  <c r="L334" s="1"/>
  <c r="H338"/>
  <c r="L338" s="1"/>
  <c r="H342"/>
  <c r="L342" s="1"/>
  <c r="H346"/>
  <c r="L346" s="1"/>
  <c r="H350"/>
  <c r="L350" s="1"/>
  <c r="H354"/>
  <c r="L354" s="1"/>
  <c r="H358"/>
  <c r="L358" s="1"/>
  <c r="H362"/>
  <c r="L362" s="1"/>
  <c r="H366"/>
  <c r="L366" s="1"/>
  <c r="H370"/>
  <c r="L370" s="1"/>
  <c r="H374"/>
  <c r="L374" s="1"/>
  <c r="H378"/>
  <c r="L378" s="1"/>
  <c r="H382"/>
  <c r="L382" s="1"/>
  <c r="H386"/>
  <c r="L386" s="1"/>
  <c r="H390"/>
  <c r="L390" s="1"/>
  <c r="H394"/>
  <c r="L394" s="1"/>
  <c r="H398"/>
  <c r="L398" s="1"/>
  <c r="H402"/>
  <c r="L402" s="1"/>
  <c r="H406"/>
  <c r="L406" s="1"/>
  <c r="H410"/>
  <c r="L410" s="1"/>
  <c r="H414"/>
  <c r="L414" s="1"/>
  <c r="H418"/>
  <c r="L418" s="1"/>
  <c r="H422"/>
  <c r="L422" s="1"/>
  <c r="H426"/>
  <c r="L426" s="1"/>
  <c r="H430"/>
  <c r="L430" s="1"/>
  <c r="H434"/>
  <c r="L434" s="1"/>
  <c r="H438"/>
  <c r="L438" s="1"/>
  <c r="H442"/>
  <c r="L442" s="1"/>
  <c r="H446"/>
  <c r="L446" s="1"/>
  <c r="H450"/>
  <c r="L450" s="1"/>
  <c r="H454"/>
  <c r="L454" s="1"/>
  <c r="H458"/>
  <c r="L458" s="1"/>
  <c r="H462"/>
  <c r="L462" s="1"/>
  <c r="H466"/>
  <c r="L466" s="1"/>
  <c r="H470"/>
  <c r="L470" s="1"/>
  <c r="H474"/>
  <c r="L474" s="1"/>
  <c r="H478"/>
  <c r="L478" s="1"/>
  <c r="H482"/>
  <c r="L482" s="1"/>
  <c r="H486"/>
  <c r="L486" s="1"/>
  <c r="H490"/>
  <c r="L490" s="1"/>
  <c r="H494"/>
  <c r="L494" s="1"/>
  <c r="H498"/>
  <c r="L498" s="1"/>
  <c r="H502"/>
  <c r="L502" s="1"/>
  <c r="H506"/>
  <c r="L506" s="1"/>
  <c r="H510"/>
  <c r="L510" s="1"/>
  <c r="H514"/>
  <c r="L514" s="1"/>
  <c r="H518"/>
  <c r="L518" s="1"/>
  <c r="H522"/>
  <c r="L522" s="1"/>
  <c r="H526"/>
  <c r="L526" s="1"/>
  <c r="H530"/>
  <c r="L530" s="1"/>
  <c r="H534"/>
  <c r="L534" s="1"/>
  <c r="H538"/>
  <c r="L538" s="1"/>
  <c r="H542"/>
  <c r="L542" s="1"/>
  <c r="H546"/>
  <c r="L546" s="1"/>
  <c r="H550"/>
  <c r="L550" s="1"/>
  <c r="H554"/>
  <c r="L554" s="1"/>
  <c r="H558"/>
  <c r="L558" s="1"/>
  <c r="H562"/>
  <c r="L562" s="1"/>
  <c r="H566"/>
  <c r="L566" s="1"/>
  <c r="H570"/>
  <c r="L570" s="1"/>
  <c r="H574"/>
  <c r="L574" s="1"/>
  <c r="H578"/>
  <c r="L578" s="1"/>
  <c r="H582"/>
  <c r="L582" s="1"/>
  <c r="H586"/>
  <c r="L586" s="1"/>
  <c r="H590"/>
  <c r="L590" s="1"/>
  <c r="H594"/>
  <c r="L594" s="1"/>
  <c r="H598"/>
  <c r="L598" s="1"/>
  <c r="H602"/>
  <c r="L602" s="1"/>
  <c r="H606"/>
  <c r="L606" s="1"/>
  <c r="H610"/>
  <c r="L610" s="1"/>
  <c r="H614"/>
  <c r="L614" s="1"/>
  <c r="H618"/>
  <c r="L618" s="1"/>
  <c r="H622"/>
  <c r="L622" s="1"/>
  <c r="H626"/>
  <c r="L626" s="1"/>
  <c r="H630"/>
  <c r="L630" s="1"/>
  <c r="H634"/>
  <c r="L634" s="1"/>
  <c r="H638"/>
  <c r="L638" s="1"/>
  <c r="H642"/>
  <c r="L642" s="1"/>
  <c r="H646"/>
  <c r="L646" s="1"/>
  <c r="H650"/>
  <c r="L650" s="1"/>
  <c r="H654"/>
  <c r="L654" s="1"/>
  <c r="H658"/>
  <c r="L658" s="1"/>
  <c r="H662"/>
  <c r="L662" s="1"/>
  <c r="H666"/>
  <c r="L666" s="1"/>
  <c r="H670"/>
  <c r="L670" s="1"/>
  <c r="H674"/>
  <c r="L674" s="1"/>
  <c r="H678"/>
  <c r="L678" s="1"/>
  <c r="H682"/>
  <c r="L682" s="1"/>
  <c r="H686"/>
  <c r="L686" s="1"/>
  <c r="H690"/>
  <c r="L690" s="1"/>
  <c r="H694"/>
  <c r="L694" s="1"/>
  <c r="H698"/>
  <c r="L698" s="1"/>
  <c r="H702"/>
  <c r="L702" s="1"/>
  <c r="H706"/>
  <c r="L706" s="1"/>
  <c r="H710"/>
  <c r="L710" s="1"/>
  <c r="H714"/>
  <c r="L714" s="1"/>
  <c r="H718"/>
  <c r="L718" s="1"/>
  <c r="H722"/>
  <c r="L722" s="1"/>
  <c r="H726"/>
  <c r="L726" s="1"/>
  <c r="H730"/>
  <c r="L730" s="1"/>
  <c r="H734"/>
  <c r="L734" s="1"/>
  <c r="H738"/>
  <c r="L738" s="1"/>
  <c r="H742"/>
  <c r="L742" s="1"/>
  <c r="H746"/>
  <c r="L746" s="1"/>
  <c r="H750"/>
  <c r="L750" s="1"/>
  <c r="H754"/>
  <c r="L754" s="1"/>
  <c r="H758"/>
  <c r="L758" s="1"/>
  <c r="H762"/>
  <c r="L762" s="1"/>
  <c r="H766"/>
  <c r="L766" s="1"/>
  <c r="H770"/>
  <c r="L770" s="1"/>
  <c r="H774"/>
  <c r="L774" s="1"/>
  <c r="H778"/>
  <c r="L778" s="1"/>
  <c r="H782"/>
  <c r="L782" s="1"/>
  <c r="H786"/>
  <c r="L786" s="1"/>
  <c r="H790"/>
  <c r="L790" s="1"/>
  <c r="H794"/>
  <c r="L794" s="1"/>
  <c r="H798"/>
  <c r="L798" s="1"/>
  <c r="H802"/>
  <c r="L802" s="1"/>
  <c r="H806"/>
  <c r="L806" s="1"/>
  <c r="H810"/>
  <c r="L810" s="1"/>
  <c r="H814"/>
  <c r="L814" s="1"/>
  <c r="H818"/>
  <c r="L818" s="1"/>
  <c r="H822"/>
  <c r="L822" s="1"/>
  <c r="H826"/>
  <c r="L826" s="1"/>
  <c r="H830"/>
  <c r="L830" s="1"/>
  <c r="H834"/>
  <c r="L834" s="1"/>
  <c r="H838"/>
  <c r="L838" s="1"/>
  <c r="H842"/>
  <c r="L842" s="1"/>
  <c r="H846"/>
  <c r="L846" s="1"/>
  <c r="H850"/>
  <c r="L850" s="1"/>
  <c r="H854"/>
  <c r="L854" s="1"/>
  <c r="H858"/>
  <c r="L858" s="1"/>
  <c r="H862"/>
  <c r="L862" s="1"/>
  <c r="H866"/>
  <c r="L866" s="1"/>
  <c r="H870"/>
  <c r="L870" s="1"/>
  <c r="H874"/>
  <c r="L874" s="1"/>
  <c r="H878"/>
  <c r="L878" s="1"/>
  <c r="H882"/>
  <c r="L882" s="1"/>
  <c r="H886"/>
  <c r="L886" s="1"/>
  <c r="H890"/>
  <c r="L890" s="1"/>
  <c r="H894"/>
  <c r="L894" s="1"/>
  <c r="H898"/>
  <c r="L898" s="1"/>
  <c r="H902"/>
  <c r="L902" s="1"/>
  <c r="H906"/>
  <c r="L906" s="1"/>
  <c r="H910"/>
  <c r="L910" s="1"/>
  <c r="H914"/>
  <c r="L914" s="1"/>
  <c r="H918"/>
  <c r="L918" s="1"/>
  <c r="H922"/>
  <c r="L922" s="1"/>
  <c r="H926"/>
  <c r="L926" s="1"/>
  <c r="H930"/>
  <c r="L930" s="1"/>
  <c r="H934"/>
  <c r="L934" s="1"/>
  <c r="H938"/>
  <c r="L938" s="1"/>
  <c r="H942"/>
  <c r="L942" s="1"/>
  <c r="H946"/>
  <c r="L946" s="1"/>
  <c r="H950"/>
  <c r="L950" s="1"/>
  <c r="H954"/>
  <c r="L954" s="1"/>
  <c r="H958"/>
  <c r="L958" s="1"/>
  <c r="H962"/>
  <c r="L962" s="1"/>
  <c r="H966"/>
  <c r="L966" s="1"/>
  <c r="H970"/>
  <c r="L970" s="1"/>
  <c r="H974"/>
  <c r="L974" s="1"/>
  <c r="H978"/>
  <c r="L978" s="1"/>
  <c r="H982"/>
  <c r="L982" s="1"/>
  <c r="H986"/>
  <c r="L986" s="1"/>
  <c r="H990"/>
  <c r="L990" s="1"/>
  <c r="H994"/>
  <c r="L994" s="1"/>
  <c r="H998"/>
  <c r="L998" s="1"/>
  <c r="H1002"/>
  <c r="L1002" s="1"/>
  <c r="H1006"/>
  <c r="L1006" s="1"/>
  <c r="H1010"/>
  <c r="L1010" s="1"/>
  <c r="H1014"/>
  <c r="L1014" s="1"/>
  <c r="H1018"/>
  <c r="L1018" s="1"/>
  <c r="H1022"/>
  <c r="L1022" s="1"/>
  <c r="H1026"/>
  <c r="L1026" s="1"/>
  <c r="H1030"/>
  <c r="L1030" s="1"/>
  <c r="H1034"/>
  <c r="L1034" s="1"/>
  <c r="H1038"/>
  <c r="L1038" s="1"/>
  <c r="H1042"/>
  <c r="L1042" s="1"/>
  <c r="H1046"/>
  <c r="L1046" s="1"/>
  <c r="H1050"/>
  <c r="L1050" s="1"/>
  <c r="H1054"/>
  <c r="L1054" s="1"/>
  <c r="H1058"/>
  <c r="L1058" s="1"/>
  <c r="H1062"/>
  <c r="L1062" s="1"/>
  <c r="H1066"/>
  <c r="L1066" s="1"/>
  <c r="H1070"/>
  <c r="L1070" s="1"/>
  <c r="H1074"/>
  <c r="L1074" s="1"/>
  <c r="H1078"/>
  <c r="L1078" s="1"/>
  <c r="H1082"/>
  <c r="L1082" s="1"/>
  <c r="H1086"/>
  <c r="L1086" s="1"/>
  <c r="H1090"/>
  <c r="L1090" s="1"/>
  <c r="H1094"/>
  <c r="L1094" s="1"/>
  <c r="H1098"/>
  <c r="L1098" s="1"/>
  <c r="H1102"/>
  <c r="L1102" s="1"/>
  <c r="H1106"/>
  <c r="L1106" s="1"/>
  <c r="H1110"/>
  <c r="L1110" s="1"/>
  <c r="H1114"/>
  <c r="L1114" s="1"/>
  <c r="H1118"/>
  <c r="L1118" s="1"/>
  <c r="H1122"/>
  <c r="L1122" s="1"/>
  <c r="H1126"/>
  <c r="L1126" s="1"/>
  <c r="H1130"/>
  <c r="L1130" s="1"/>
  <c r="H1134"/>
  <c r="L1134" s="1"/>
  <c r="H1138"/>
  <c r="L1138" s="1"/>
  <c r="H1142"/>
  <c r="L1142" s="1"/>
  <c r="H1146"/>
  <c r="L1146" s="1"/>
  <c r="H1150"/>
  <c r="L1150" s="1"/>
  <c r="H1154"/>
  <c r="L1154" s="1"/>
  <c r="H1158"/>
  <c r="L1158" s="1"/>
  <c r="H1162"/>
  <c r="L1162" s="1"/>
  <c r="H1166"/>
  <c r="L1166" s="1"/>
  <c r="H1170"/>
  <c r="L1170" s="1"/>
  <c r="H1174"/>
  <c r="L1174" s="1"/>
  <c r="H1178"/>
  <c r="L1178" s="1"/>
  <c r="H1182"/>
  <c r="L1182" s="1"/>
  <c r="H1186"/>
  <c r="L1186" s="1"/>
  <c r="H1190"/>
  <c r="L1190" s="1"/>
  <c r="H1194"/>
  <c r="L1194" s="1"/>
  <c r="H1198"/>
  <c r="L1198" s="1"/>
  <c r="H1202"/>
  <c r="L1202" s="1"/>
  <c r="H1206"/>
  <c r="L1206" s="1"/>
  <c r="H1210"/>
  <c r="L1210" s="1"/>
  <c r="H1214"/>
  <c r="L1214" s="1"/>
  <c r="H1218"/>
  <c r="L1218" s="1"/>
  <c r="H1222"/>
  <c r="L1222" s="1"/>
  <c r="H1226"/>
  <c r="L1226" s="1"/>
  <c r="H1230"/>
  <c r="L1230" s="1"/>
  <c r="H1234"/>
  <c r="L1234" s="1"/>
  <c r="H1238"/>
  <c r="L1238" s="1"/>
  <c r="H1242"/>
  <c r="L1242" s="1"/>
  <c r="H1246"/>
  <c r="L1246" s="1"/>
  <c r="H1250"/>
  <c r="L1250" s="1"/>
  <c r="H1254"/>
  <c r="L1254" s="1"/>
  <c r="H1258"/>
  <c r="L1258" s="1"/>
  <c r="H1262"/>
  <c r="L1262" s="1"/>
  <c r="H1266"/>
  <c r="L1266" s="1"/>
  <c r="H1270"/>
  <c r="L1270" s="1"/>
  <c r="H1274"/>
  <c r="L1274" s="1"/>
  <c r="H1278"/>
  <c r="L1278" s="1"/>
  <c r="H1282"/>
  <c r="L1282" s="1"/>
  <c r="H1286"/>
  <c r="L1286" s="1"/>
  <c r="H1290"/>
  <c r="L1290" s="1"/>
  <c r="H1294"/>
  <c r="L1294" s="1"/>
  <c r="H1298"/>
  <c r="L1298" s="1"/>
  <c r="H1302"/>
  <c r="L1302" s="1"/>
  <c r="H1306"/>
  <c r="L1306" s="1"/>
  <c r="H1310"/>
  <c r="L1310" s="1"/>
  <c r="H1314"/>
  <c r="L1314" s="1"/>
  <c r="H1318"/>
  <c r="L1318" s="1"/>
  <c r="H1322"/>
  <c r="L1322" s="1"/>
  <c r="H1326"/>
  <c r="L1326" s="1"/>
  <c r="H1330"/>
  <c r="L1330" s="1"/>
  <c r="H1334"/>
  <c r="L1334" s="1"/>
  <c r="H1338"/>
  <c r="L1338" s="1"/>
  <c r="H1342"/>
  <c r="L1342" s="1"/>
  <c r="H1346"/>
  <c r="L1346" s="1"/>
  <c r="H1350"/>
  <c r="L1350" s="1"/>
  <c r="H1354"/>
  <c r="L1354" s="1"/>
  <c r="H1358"/>
  <c r="L1358" s="1"/>
  <c r="H1362"/>
  <c r="L1362" s="1"/>
  <c r="H1366"/>
  <c r="L1366" s="1"/>
  <c r="H1370"/>
  <c r="L1370" s="1"/>
  <c r="H1374"/>
  <c r="L1374" s="1"/>
  <c r="H1378"/>
  <c r="L1378" s="1"/>
  <c r="H1382"/>
  <c r="L1382" s="1"/>
  <c r="H1386"/>
  <c r="L1386" s="1"/>
  <c r="H1390"/>
  <c r="L1390" s="1"/>
  <c r="H1394"/>
  <c r="L1394" s="1"/>
  <c r="H1398"/>
  <c r="L1398" s="1"/>
  <c r="H1402"/>
  <c r="L1402" s="1"/>
  <c r="H1406"/>
  <c r="L1406" s="1"/>
  <c r="H1410"/>
  <c r="L1410" s="1"/>
  <c r="H1414"/>
  <c r="L1414" s="1"/>
  <c r="H1418"/>
  <c r="L1418" s="1"/>
  <c r="H1422"/>
  <c r="L1422" s="1"/>
  <c r="H1426"/>
  <c r="L1426" s="1"/>
  <c r="H1430"/>
  <c r="L1430" s="1"/>
  <c r="H7"/>
  <c r="L7" s="1"/>
  <c r="H12"/>
  <c r="L12" s="1"/>
  <c r="H17"/>
  <c r="L17" s="1"/>
  <c r="H23"/>
  <c r="L23" s="1"/>
  <c r="H28"/>
  <c r="L28" s="1"/>
  <c r="H33"/>
  <c r="L33" s="1"/>
  <c r="H39"/>
  <c r="L39" s="1"/>
  <c r="H44"/>
  <c r="L44" s="1"/>
  <c r="H49"/>
  <c r="L49" s="1"/>
  <c r="H55"/>
  <c r="L55" s="1"/>
  <c r="H60"/>
  <c r="L60" s="1"/>
  <c r="H65"/>
  <c r="L65" s="1"/>
  <c r="H71"/>
  <c r="L71" s="1"/>
  <c r="H76"/>
  <c r="L76" s="1"/>
  <c r="H81"/>
  <c r="L81" s="1"/>
  <c r="H87"/>
  <c r="L87" s="1"/>
  <c r="H92"/>
  <c r="L92" s="1"/>
  <c r="H97"/>
  <c r="L97" s="1"/>
  <c r="H103"/>
  <c r="L103" s="1"/>
  <c r="H108"/>
  <c r="L108" s="1"/>
  <c r="H113"/>
  <c r="L113" s="1"/>
  <c r="H119"/>
  <c r="L119" s="1"/>
  <c r="H124"/>
  <c r="L124" s="1"/>
  <c r="H129"/>
  <c r="L129" s="1"/>
  <c r="H135"/>
  <c r="L135" s="1"/>
  <c r="H140"/>
  <c r="L140" s="1"/>
  <c r="H145"/>
  <c r="L145" s="1"/>
  <c r="H151"/>
  <c r="L151" s="1"/>
  <c r="H156"/>
  <c r="L156" s="1"/>
  <c r="H161"/>
  <c r="L161" s="1"/>
  <c r="H167"/>
  <c r="L167" s="1"/>
  <c r="H172"/>
  <c r="L172" s="1"/>
  <c r="H177"/>
  <c r="L177" s="1"/>
  <c r="H183"/>
  <c r="L183" s="1"/>
  <c r="H188"/>
  <c r="L188" s="1"/>
  <c r="H193"/>
  <c r="L193" s="1"/>
  <c r="H199"/>
  <c r="L199" s="1"/>
  <c r="H204"/>
  <c r="L204" s="1"/>
  <c r="H209"/>
  <c r="L209" s="1"/>
  <c r="H215"/>
  <c r="L215" s="1"/>
  <c r="H220"/>
  <c r="L220" s="1"/>
  <c r="H225"/>
  <c r="L225" s="1"/>
  <c r="H231"/>
  <c r="L231" s="1"/>
  <c r="H236"/>
  <c r="L236" s="1"/>
  <c r="H241"/>
  <c r="L241" s="1"/>
  <c r="H247"/>
  <c r="L247" s="1"/>
  <c r="H252"/>
  <c r="L252" s="1"/>
  <c r="H257"/>
  <c r="L257" s="1"/>
  <c r="H263"/>
  <c r="L263" s="1"/>
  <c r="H268"/>
  <c r="L268" s="1"/>
  <c r="H273"/>
  <c r="L273" s="1"/>
  <c r="H279"/>
  <c r="L279" s="1"/>
  <c r="H284"/>
  <c r="L284" s="1"/>
  <c r="H289"/>
  <c r="L289" s="1"/>
  <c r="H295"/>
  <c r="L295" s="1"/>
  <c r="H300"/>
  <c r="L300" s="1"/>
  <c r="H305"/>
  <c r="L305" s="1"/>
  <c r="H311"/>
  <c r="L311" s="1"/>
  <c r="H316"/>
  <c r="L316" s="1"/>
  <c r="H321"/>
  <c r="L321" s="1"/>
  <c r="H327"/>
  <c r="L327" s="1"/>
  <c r="H332"/>
  <c r="L332" s="1"/>
  <c r="H337"/>
  <c r="L337" s="1"/>
  <c r="H343"/>
  <c r="L343" s="1"/>
  <c r="H348"/>
  <c r="L348" s="1"/>
  <c r="H353"/>
  <c r="L353" s="1"/>
  <c r="H359"/>
  <c r="L359" s="1"/>
  <c r="H364"/>
  <c r="L364" s="1"/>
  <c r="H369"/>
  <c r="L369" s="1"/>
  <c r="H375"/>
  <c r="L375" s="1"/>
  <c r="H380"/>
  <c r="L380" s="1"/>
  <c r="H385"/>
  <c r="L385" s="1"/>
  <c r="H391"/>
  <c r="L391" s="1"/>
  <c r="H396"/>
  <c r="L396" s="1"/>
  <c r="H401"/>
  <c r="L401" s="1"/>
  <c r="H407"/>
  <c r="L407" s="1"/>
  <c r="H412"/>
  <c r="L412" s="1"/>
  <c r="H417"/>
  <c r="L417" s="1"/>
  <c r="H423"/>
  <c r="L423" s="1"/>
  <c r="H428"/>
  <c r="L428" s="1"/>
  <c r="H433"/>
  <c r="L433" s="1"/>
  <c r="H439"/>
  <c r="L439" s="1"/>
  <c r="H444"/>
  <c r="L444" s="1"/>
  <c r="H449"/>
  <c r="L449" s="1"/>
  <c r="H455"/>
  <c r="L455" s="1"/>
  <c r="H460"/>
  <c r="L460" s="1"/>
  <c r="H465"/>
  <c r="L465" s="1"/>
  <c r="H471"/>
  <c r="L471" s="1"/>
  <c r="H476"/>
  <c r="L476" s="1"/>
  <c r="H481"/>
  <c r="L481" s="1"/>
  <c r="H487"/>
  <c r="L487" s="1"/>
  <c r="H492"/>
  <c r="L492" s="1"/>
  <c r="H497"/>
  <c r="L497" s="1"/>
  <c r="H503"/>
  <c r="L503" s="1"/>
  <c r="H508"/>
  <c r="L508" s="1"/>
  <c r="H513"/>
  <c r="L513" s="1"/>
  <c r="H519"/>
  <c r="L519" s="1"/>
  <c r="H524"/>
  <c r="L524" s="1"/>
  <c r="H529"/>
  <c r="L529" s="1"/>
  <c r="H535"/>
  <c r="L535" s="1"/>
  <c r="H540"/>
  <c r="L540" s="1"/>
  <c r="H545"/>
  <c r="L545" s="1"/>
  <c r="H551"/>
  <c r="L551" s="1"/>
  <c r="H556"/>
  <c r="L556" s="1"/>
  <c r="H561"/>
  <c r="L561" s="1"/>
  <c r="H567"/>
  <c r="L567" s="1"/>
  <c r="H572"/>
  <c r="L572" s="1"/>
  <c r="H577"/>
  <c r="L577" s="1"/>
  <c r="H583"/>
  <c r="L583" s="1"/>
  <c r="H588"/>
  <c r="L588" s="1"/>
  <c r="H593"/>
  <c r="L593" s="1"/>
  <c r="H599"/>
  <c r="L599" s="1"/>
  <c r="H604"/>
  <c r="L604" s="1"/>
  <c r="H609"/>
  <c r="L609" s="1"/>
  <c r="H615"/>
  <c r="L615" s="1"/>
  <c r="H620"/>
  <c r="L620" s="1"/>
  <c r="H625"/>
  <c r="L625" s="1"/>
  <c r="H631"/>
  <c r="L631" s="1"/>
  <c r="H636"/>
  <c r="L636" s="1"/>
  <c r="H641"/>
  <c r="L641" s="1"/>
  <c r="H647"/>
  <c r="L647" s="1"/>
  <c r="H652"/>
  <c r="L652" s="1"/>
  <c r="H657"/>
  <c r="L657" s="1"/>
  <c r="H663"/>
  <c r="L663" s="1"/>
  <c r="H668"/>
  <c r="L668" s="1"/>
  <c r="H673"/>
  <c r="L673" s="1"/>
  <c r="H679"/>
  <c r="L679" s="1"/>
  <c r="H684"/>
  <c r="L684" s="1"/>
  <c r="H689"/>
  <c r="L689" s="1"/>
  <c r="H695"/>
  <c r="L695" s="1"/>
  <c r="H700"/>
  <c r="L700" s="1"/>
  <c r="H705"/>
  <c r="L705" s="1"/>
  <c r="H711"/>
  <c r="L711" s="1"/>
  <c r="H716"/>
  <c r="L716" s="1"/>
  <c r="H721"/>
  <c r="L721" s="1"/>
  <c r="H727"/>
  <c r="L727" s="1"/>
  <c r="H732"/>
  <c r="L732" s="1"/>
  <c r="H737"/>
  <c r="L737" s="1"/>
  <c r="H743"/>
  <c r="L743" s="1"/>
  <c r="H748"/>
  <c r="L748" s="1"/>
  <c r="H753"/>
  <c r="L753" s="1"/>
  <c r="H759"/>
  <c r="L759" s="1"/>
  <c r="H764"/>
  <c r="L764" s="1"/>
  <c r="H769"/>
  <c r="L769" s="1"/>
  <c r="H775"/>
  <c r="L775" s="1"/>
  <c r="H780"/>
  <c r="L780" s="1"/>
  <c r="H785"/>
  <c r="L785" s="1"/>
  <c r="H791"/>
  <c r="L791" s="1"/>
  <c r="H796"/>
  <c r="L796" s="1"/>
  <c r="H801"/>
  <c r="L801" s="1"/>
  <c r="H807"/>
  <c r="L807" s="1"/>
  <c r="H812"/>
  <c r="L812" s="1"/>
  <c r="H817"/>
  <c r="L817" s="1"/>
  <c r="H823"/>
  <c r="L823" s="1"/>
  <c r="H828"/>
  <c r="L828" s="1"/>
  <c r="H833"/>
  <c r="L833" s="1"/>
  <c r="H839"/>
  <c r="L839" s="1"/>
  <c r="H844"/>
  <c r="L844" s="1"/>
  <c r="H849"/>
  <c r="L849" s="1"/>
  <c r="H855"/>
  <c r="L855" s="1"/>
  <c r="H860"/>
  <c r="L860" s="1"/>
  <c r="H865"/>
  <c r="L865" s="1"/>
  <c r="H871"/>
  <c r="L871" s="1"/>
  <c r="H876"/>
  <c r="L876" s="1"/>
  <c r="H881"/>
  <c r="L881" s="1"/>
  <c r="H887"/>
  <c r="L887" s="1"/>
  <c r="H892"/>
  <c r="L892" s="1"/>
  <c r="H897"/>
  <c r="L897" s="1"/>
  <c r="H903"/>
  <c r="L903" s="1"/>
  <c r="H908"/>
  <c r="L908" s="1"/>
  <c r="H913"/>
  <c r="L913" s="1"/>
  <c r="H919"/>
  <c r="L919" s="1"/>
  <c r="H924"/>
  <c r="L924" s="1"/>
  <c r="H929"/>
  <c r="L929" s="1"/>
  <c r="H935"/>
  <c r="L935" s="1"/>
  <c r="H940"/>
  <c r="L940" s="1"/>
  <c r="H945"/>
  <c r="L945" s="1"/>
  <c r="H951"/>
  <c r="L951" s="1"/>
  <c r="H956"/>
  <c r="L956" s="1"/>
  <c r="H961"/>
  <c r="L961" s="1"/>
  <c r="H967"/>
  <c r="L967" s="1"/>
  <c r="H972"/>
  <c r="L972" s="1"/>
  <c r="H977"/>
  <c r="L977" s="1"/>
  <c r="H983"/>
  <c r="L983" s="1"/>
  <c r="H988"/>
  <c r="L988" s="1"/>
  <c r="H993"/>
  <c r="L993" s="1"/>
  <c r="H999"/>
  <c r="L999" s="1"/>
  <c r="H1004"/>
  <c r="L1004" s="1"/>
  <c r="H1009"/>
  <c r="L1009" s="1"/>
  <c r="H1015"/>
  <c r="L1015" s="1"/>
  <c r="H1020"/>
  <c r="L1020" s="1"/>
  <c r="H1025"/>
  <c r="L1025" s="1"/>
  <c r="H1031"/>
  <c r="L1031" s="1"/>
  <c r="H1036"/>
  <c r="L1036" s="1"/>
  <c r="H1041"/>
  <c r="L1041" s="1"/>
  <c r="H1047"/>
  <c r="L1047" s="1"/>
  <c r="H1052"/>
  <c r="L1052" s="1"/>
  <c r="H1057"/>
  <c r="L1057" s="1"/>
  <c r="H1063"/>
  <c r="L1063" s="1"/>
  <c r="H1068"/>
  <c r="L1068" s="1"/>
  <c r="H1073"/>
  <c r="L1073" s="1"/>
  <c r="H1079"/>
  <c r="L1079" s="1"/>
  <c r="H1084"/>
  <c r="L1084" s="1"/>
  <c r="H1089"/>
  <c r="L1089" s="1"/>
  <c r="H1095"/>
  <c r="L1095" s="1"/>
  <c r="H1100"/>
  <c r="L1100" s="1"/>
  <c r="H1105"/>
  <c r="L1105" s="1"/>
  <c r="H1111"/>
  <c r="L1111" s="1"/>
  <c r="H1116"/>
  <c r="L1116" s="1"/>
  <c r="H1121"/>
  <c r="L1121" s="1"/>
  <c r="H1127"/>
  <c r="L1127" s="1"/>
  <c r="H1132"/>
  <c r="L1132" s="1"/>
  <c r="H1137"/>
  <c r="L1137" s="1"/>
  <c r="H1143"/>
  <c r="L1143" s="1"/>
  <c r="H1148"/>
  <c r="L1148" s="1"/>
  <c r="H1153"/>
  <c r="L1153" s="1"/>
  <c r="H1159"/>
  <c r="L1159" s="1"/>
  <c r="H1164"/>
  <c r="L1164" s="1"/>
  <c r="H1169"/>
  <c r="L1169" s="1"/>
  <c r="H1175"/>
  <c r="L1175" s="1"/>
  <c r="H1180"/>
  <c r="L1180" s="1"/>
  <c r="H1185"/>
  <c r="L1185" s="1"/>
  <c r="H1191"/>
  <c r="L1191" s="1"/>
  <c r="H1196"/>
  <c r="L1196" s="1"/>
  <c r="H1201"/>
  <c r="L1201" s="1"/>
  <c r="H1207"/>
  <c r="L1207" s="1"/>
  <c r="H1212"/>
  <c r="L1212" s="1"/>
  <c r="H1217"/>
  <c r="L1217" s="1"/>
  <c r="H1223"/>
  <c r="L1223" s="1"/>
  <c r="H1228"/>
  <c r="L1228" s="1"/>
  <c r="H1233"/>
  <c r="L1233" s="1"/>
  <c r="H1239"/>
  <c r="L1239" s="1"/>
  <c r="H1244"/>
  <c r="L1244" s="1"/>
  <c r="H1249"/>
  <c r="L1249" s="1"/>
  <c r="H1255"/>
  <c r="L1255" s="1"/>
  <c r="H1260"/>
  <c r="L1260" s="1"/>
  <c r="H1265"/>
  <c r="L1265" s="1"/>
  <c r="H1271"/>
  <c r="L1271" s="1"/>
  <c r="H1276"/>
  <c r="L1276" s="1"/>
  <c r="H1281"/>
  <c r="L1281" s="1"/>
  <c r="H1287"/>
  <c r="L1287" s="1"/>
  <c r="H1292"/>
  <c r="L1292" s="1"/>
  <c r="H1297"/>
  <c r="L1297" s="1"/>
  <c r="H1303"/>
  <c r="L1303" s="1"/>
  <c r="H1308"/>
  <c r="L1308" s="1"/>
  <c r="H1313"/>
  <c r="L1313" s="1"/>
  <c r="H1319"/>
  <c r="L1319" s="1"/>
  <c r="H1324"/>
  <c r="L1324" s="1"/>
  <c r="H1329"/>
  <c r="L1329" s="1"/>
  <c r="H1335"/>
  <c r="L1335" s="1"/>
  <c r="H1340"/>
  <c r="L1340" s="1"/>
  <c r="H1345"/>
  <c r="L1345" s="1"/>
  <c r="H1351"/>
  <c r="L1351" s="1"/>
  <c r="H1356"/>
  <c r="L1356" s="1"/>
  <c r="H1361"/>
  <c r="L1361" s="1"/>
  <c r="H1367"/>
  <c r="L1367" s="1"/>
  <c r="H1372"/>
  <c r="L1372" s="1"/>
  <c r="H1377"/>
  <c r="L1377" s="1"/>
  <c r="H1383"/>
  <c r="L1383" s="1"/>
  <c r="H1388"/>
  <c r="L1388" s="1"/>
  <c r="H1393"/>
  <c r="L1393" s="1"/>
  <c r="H1399"/>
  <c r="L1399" s="1"/>
  <c r="H1404"/>
  <c r="L1404" s="1"/>
  <c r="H1409"/>
  <c r="L1409" s="1"/>
  <c r="H1415"/>
  <c r="L1415" s="1"/>
  <c r="H1420"/>
  <c r="L1420" s="1"/>
  <c r="H1425"/>
  <c r="L1425" s="1"/>
  <c r="H1431"/>
  <c r="L1431" s="1"/>
  <c r="H1435"/>
  <c r="L1435" s="1"/>
  <c r="H1439"/>
  <c r="L1439" s="1"/>
  <c r="H1443"/>
  <c r="L1443" s="1"/>
  <c r="H1447"/>
  <c r="L1447" s="1"/>
  <c r="H1451"/>
  <c r="L1451" s="1"/>
  <c r="H1455"/>
  <c r="L1455" s="1"/>
  <c r="H1459"/>
  <c r="L1459" s="1"/>
  <c r="H1463"/>
  <c r="L1463" s="1"/>
  <c r="H1467"/>
  <c r="L1467" s="1"/>
  <c r="H1471"/>
  <c r="L1471" s="1"/>
  <c r="H1475"/>
  <c r="L1475" s="1"/>
  <c r="H1479"/>
  <c r="L1479" s="1"/>
  <c r="H1483"/>
  <c r="L1483" s="1"/>
  <c r="H1487"/>
  <c r="L1487" s="1"/>
  <c r="H1491"/>
  <c r="L1491" s="1"/>
  <c r="H1495"/>
  <c r="L1495" s="1"/>
  <c r="H1499"/>
  <c r="L1499" s="1"/>
  <c r="H1503"/>
  <c r="L1503" s="1"/>
  <c r="H1507"/>
  <c r="L1507" s="1"/>
  <c r="H1511"/>
  <c r="L1511" s="1"/>
  <c r="H1515"/>
  <c r="L1515" s="1"/>
  <c r="H1519"/>
  <c r="L1519" s="1"/>
  <c r="H1523"/>
  <c r="L1523" s="1"/>
  <c r="H1527"/>
  <c r="L1527" s="1"/>
  <c r="H1531"/>
  <c r="L1531" s="1"/>
  <c r="H1535"/>
  <c r="L1535" s="1"/>
  <c r="H1539"/>
  <c r="L1539" s="1"/>
  <c r="H1543"/>
  <c r="L1543" s="1"/>
  <c r="H1547"/>
  <c r="L1547" s="1"/>
  <c r="H1551"/>
  <c r="L1551" s="1"/>
  <c r="H1555"/>
  <c r="L1555" s="1"/>
  <c r="H1559"/>
  <c r="L1559" s="1"/>
  <c r="H1563"/>
  <c r="L1563" s="1"/>
  <c r="H1567"/>
  <c r="L1567" s="1"/>
  <c r="H1571"/>
  <c r="L1571" s="1"/>
  <c r="H1575"/>
  <c r="L1575" s="1"/>
  <c r="H1579"/>
  <c r="L1579" s="1"/>
  <c r="H1583"/>
  <c r="L1583" s="1"/>
  <c r="H1587"/>
  <c r="L1587" s="1"/>
  <c r="H1591"/>
  <c r="L1591" s="1"/>
  <c r="H1595"/>
  <c r="L1595" s="1"/>
  <c r="H1599"/>
  <c r="L1599" s="1"/>
  <c r="H1603"/>
  <c r="L1603" s="1"/>
  <c r="H1607"/>
  <c r="L1607" s="1"/>
  <c r="H1611"/>
  <c r="L1611" s="1"/>
  <c r="H1615"/>
  <c r="L1615" s="1"/>
  <c r="H1619"/>
  <c r="L1619" s="1"/>
  <c r="H1623"/>
  <c r="L1623" s="1"/>
  <c r="H1627"/>
  <c r="L1627" s="1"/>
  <c r="H1631"/>
  <c r="L1631" s="1"/>
  <c r="H1635"/>
  <c r="L1635" s="1"/>
  <c r="H1639"/>
  <c r="L1639" s="1"/>
  <c r="H1643"/>
  <c r="L1643" s="1"/>
  <c r="H1647"/>
  <c r="L1647" s="1"/>
  <c r="H1651"/>
  <c r="L1651" s="1"/>
  <c r="H1655"/>
  <c r="L1655" s="1"/>
  <c r="H1659"/>
  <c r="L1659" s="1"/>
  <c r="H1663"/>
  <c r="L1663" s="1"/>
  <c r="H1667"/>
  <c r="L1667" s="1"/>
  <c r="H1671"/>
  <c r="L1671" s="1"/>
  <c r="H1675"/>
  <c r="L1675" s="1"/>
  <c r="H1679"/>
  <c r="L1679" s="1"/>
  <c r="H1683"/>
  <c r="L1683" s="1"/>
  <c r="H1687"/>
  <c r="L1687" s="1"/>
  <c r="H1691"/>
  <c r="L1691" s="1"/>
  <c r="H1695"/>
  <c r="L1695" s="1"/>
  <c r="H1699"/>
  <c r="L1699" s="1"/>
  <c r="H1703"/>
  <c r="L1703" s="1"/>
  <c r="H1707"/>
  <c r="L1707" s="1"/>
  <c r="H1711"/>
  <c r="L1711" s="1"/>
  <c r="H1715"/>
  <c r="L1715" s="1"/>
  <c r="H1719"/>
  <c r="L1719" s="1"/>
  <c r="H1723"/>
  <c r="L1723" s="1"/>
  <c r="H1727"/>
  <c r="L1727" s="1"/>
  <c r="H1731"/>
  <c r="L1731" s="1"/>
  <c r="H1735"/>
  <c r="L1735" s="1"/>
  <c r="H1739"/>
  <c r="L1739" s="1"/>
  <c r="H1743"/>
  <c r="L1743" s="1"/>
  <c r="H1747"/>
  <c r="L1747" s="1"/>
  <c r="H1751"/>
  <c r="L1751" s="1"/>
  <c r="H1755"/>
  <c r="L1755" s="1"/>
  <c r="H1759"/>
  <c r="L1759" s="1"/>
  <c r="H1763"/>
  <c r="L1763" s="1"/>
  <c r="H1767"/>
  <c r="L1767" s="1"/>
  <c r="H1771"/>
  <c r="L1771" s="1"/>
  <c r="H1775"/>
  <c r="L1775" s="1"/>
  <c r="H1779"/>
  <c r="L1779" s="1"/>
  <c r="H1783"/>
  <c r="L1783" s="1"/>
  <c r="H1787"/>
  <c r="L1787" s="1"/>
  <c r="H1791"/>
  <c r="L1791" s="1"/>
  <c r="H1795"/>
  <c r="L1795" s="1"/>
  <c r="H1799"/>
  <c r="L1799" s="1"/>
  <c r="H1803"/>
  <c r="L1803" s="1"/>
  <c r="H1807"/>
  <c r="L1807" s="1"/>
  <c r="H1811"/>
  <c r="L1811" s="1"/>
  <c r="H1815"/>
  <c r="L1815" s="1"/>
  <c r="H1819"/>
  <c r="L1819" s="1"/>
  <c r="H1823"/>
  <c r="L1823" s="1"/>
  <c r="H1827"/>
  <c r="L1827" s="1"/>
  <c r="H1831"/>
  <c r="L1831" s="1"/>
  <c r="H1835"/>
  <c r="L1835" s="1"/>
  <c r="H1839"/>
  <c r="L1839" s="1"/>
  <c r="H1843"/>
  <c r="L1843" s="1"/>
  <c r="H1847"/>
  <c r="L1847" s="1"/>
  <c r="H1851"/>
  <c r="L1851" s="1"/>
  <c r="H1855"/>
  <c r="L1855" s="1"/>
  <c r="H1859"/>
  <c r="L1859" s="1"/>
  <c r="H1863"/>
  <c r="L1863" s="1"/>
  <c r="H1867"/>
  <c r="L1867" s="1"/>
  <c r="H1871"/>
  <c r="L1871" s="1"/>
  <c r="H1875"/>
  <c r="L1875" s="1"/>
  <c r="H1879"/>
  <c r="L1879" s="1"/>
  <c r="H1883"/>
  <c r="L1883" s="1"/>
  <c r="H1887"/>
  <c r="L1887" s="1"/>
  <c r="H1891"/>
  <c r="L1891" s="1"/>
  <c r="H1895"/>
  <c r="L1895" s="1"/>
  <c r="H1899"/>
  <c r="L1899" s="1"/>
  <c r="H1903"/>
  <c r="L1903" s="1"/>
  <c r="H1907"/>
  <c r="L1907" s="1"/>
  <c r="H1911"/>
  <c r="L1911" s="1"/>
  <c r="H1915"/>
  <c r="L1915" s="1"/>
  <c r="H1919"/>
  <c r="L1919" s="1"/>
  <c r="H1923"/>
  <c r="L1923" s="1"/>
  <c r="H1927"/>
  <c r="L1927" s="1"/>
  <c r="H1931"/>
  <c r="L1931" s="1"/>
  <c r="H1935"/>
  <c r="L1935" s="1"/>
  <c r="H1939"/>
  <c r="L1939" s="1"/>
  <c r="H1943"/>
  <c r="L1943" s="1"/>
  <c r="H1947"/>
  <c r="L1947" s="1"/>
  <c r="H1951"/>
  <c r="L1951" s="1"/>
  <c r="H1955"/>
  <c r="L1955" s="1"/>
  <c r="H1959"/>
  <c r="L1959" s="1"/>
  <c r="H1963"/>
  <c r="L1963" s="1"/>
  <c r="H1967"/>
  <c r="L1967" s="1"/>
  <c r="H1971"/>
  <c r="L1971" s="1"/>
  <c r="H1975"/>
  <c r="L1975" s="1"/>
  <c r="H1979"/>
  <c r="L1979" s="1"/>
  <c r="H1983"/>
  <c r="L1983" s="1"/>
  <c r="H1987"/>
  <c r="L1987" s="1"/>
  <c r="H1991"/>
  <c r="L1991" s="1"/>
  <c r="H1995"/>
  <c r="L1995" s="1"/>
  <c r="H1999"/>
  <c r="L1999" s="1"/>
  <c r="H2003"/>
  <c r="L2003" s="1"/>
  <c r="H2007"/>
  <c r="L2007" s="1"/>
  <c r="H2011"/>
  <c r="L2011" s="1"/>
  <c r="H2015"/>
  <c r="L2015" s="1"/>
  <c r="H2019"/>
  <c r="L2019" s="1"/>
  <c r="H2023"/>
  <c r="L2023" s="1"/>
  <c r="H2027"/>
  <c r="L2027" s="1"/>
  <c r="H2031"/>
  <c r="L2031" s="1"/>
  <c r="H2035"/>
  <c r="L2035" s="1"/>
  <c r="H2039"/>
  <c r="L2039" s="1"/>
  <c r="H2043"/>
  <c r="L2043" s="1"/>
  <c r="H2047"/>
  <c r="L2047" s="1"/>
  <c r="H2051"/>
  <c r="L2051" s="1"/>
  <c r="H2055"/>
  <c r="L2055" s="1"/>
  <c r="H2059"/>
  <c r="L2059" s="1"/>
  <c r="H2063"/>
  <c r="L2063" s="1"/>
  <c r="H2067"/>
  <c r="L2067" s="1"/>
  <c r="H2071"/>
  <c r="L2071" s="1"/>
  <c r="H2075"/>
  <c r="L2075" s="1"/>
  <c r="H2079"/>
  <c r="L2079" s="1"/>
  <c r="H2083"/>
  <c r="L2083" s="1"/>
  <c r="H2087"/>
  <c r="L2087" s="1"/>
  <c r="H2091"/>
  <c r="L2091" s="1"/>
  <c r="H2095"/>
  <c r="L2095" s="1"/>
  <c r="H2099"/>
  <c r="L2099" s="1"/>
  <c r="H2103"/>
  <c r="L2103" s="1"/>
  <c r="H2107"/>
  <c r="L2107" s="1"/>
  <c r="H2111"/>
  <c r="L2111" s="1"/>
  <c r="H2115"/>
  <c r="L2115" s="1"/>
  <c r="H2119"/>
  <c r="L2119" s="1"/>
  <c r="H2123"/>
  <c r="L2123" s="1"/>
  <c r="H2127"/>
  <c r="L2127" s="1"/>
  <c r="H2131"/>
  <c r="L2131" s="1"/>
  <c r="H2135"/>
  <c r="L2135" s="1"/>
  <c r="H2139"/>
  <c r="L2139" s="1"/>
  <c r="H2143"/>
  <c r="L2143" s="1"/>
  <c r="H2147"/>
  <c r="L2147" s="1"/>
  <c r="H2151"/>
  <c r="L2151" s="1"/>
  <c r="H2155"/>
  <c r="L2155" s="1"/>
  <c r="H2159"/>
  <c r="L2159" s="1"/>
  <c r="H2163"/>
  <c r="L2163" s="1"/>
  <c r="H2167"/>
  <c r="L2167" s="1"/>
  <c r="H2171"/>
  <c r="L2171" s="1"/>
  <c r="H2175"/>
  <c r="L2175" s="1"/>
  <c r="H2179"/>
  <c r="L2179" s="1"/>
  <c r="H2183"/>
  <c r="L2183" s="1"/>
  <c r="H2187"/>
  <c r="L2187" s="1"/>
  <c r="H2191"/>
  <c r="L2191" s="1"/>
  <c r="H2195"/>
  <c r="L2195" s="1"/>
  <c r="H2199"/>
  <c r="L2199" s="1"/>
  <c r="H2203"/>
  <c r="L2203" s="1"/>
  <c r="H2207"/>
  <c r="L2207" s="1"/>
  <c r="H2211"/>
  <c r="L2211" s="1"/>
  <c r="H2215"/>
  <c r="L2215" s="1"/>
  <c r="H2219"/>
  <c r="L2219" s="1"/>
  <c r="H2223"/>
  <c r="L2223" s="1"/>
  <c r="H2227"/>
  <c r="L2227" s="1"/>
  <c r="H2231"/>
  <c r="L2231" s="1"/>
  <c r="H2235"/>
  <c r="L2235" s="1"/>
  <c r="H2239"/>
  <c r="L2239" s="1"/>
  <c r="H2243"/>
  <c r="L2243" s="1"/>
  <c r="H2247"/>
  <c r="L2247" s="1"/>
  <c r="H2251"/>
  <c r="L2251" s="1"/>
  <c r="H2255"/>
  <c r="L2255" s="1"/>
  <c r="H2259"/>
  <c r="L2259" s="1"/>
  <c r="H2263"/>
  <c r="L2263" s="1"/>
  <c r="H2267"/>
  <c r="L2267" s="1"/>
  <c r="H2271"/>
  <c r="L2271" s="1"/>
  <c r="H2275"/>
  <c r="L2275" s="1"/>
  <c r="H2279"/>
  <c r="L2279" s="1"/>
  <c r="H2283"/>
  <c r="L2283" s="1"/>
  <c r="H2287"/>
  <c r="L2287" s="1"/>
  <c r="H2291"/>
  <c r="L2291" s="1"/>
  <c r="H2295"/>
  <c r="L2295" s="1"/>
  <c r="H2299"/>
  <c r="L2299" s="1"/>
  <c r="H2303"/>
  <c r="L2303" s="1"/>
  <c r="H2307"/>
  <c r="L2307" s="1"/>
  <c r="H2311"/>
  <c r="L2311" s="1"/>
  <c r="H2315"/>
  <c r="L2315" s="1"/>
  <c r="H2319"/>
  <c r="L2319" s="1"/>
  <c r="H2323"/>
  <c r="L2323" s="1"/>
  <c r="H2327"/>
  <c r="L2327" s="1"/>
  <c r="H2331"/>
  <c r="L2331" s="1"/>
  <c r="H2335"/>
  <c r="L2335" s="1"/>
  <c r="H2339"/>
  <c r="L2339" s="1"/>
  <c r="H2343"/>
  <c r="L2343" s="1"/>
  <c r="H2347"/>
  <c r="L2347" s="1"/>
  <c r="H2351"/>
  <c r="L2351" s="1"/>
  <c r="H2355"/>
  <c r="L2355" s="1"/>
  <c r="H2359"/>
  <c r="L2359" s="1"/>
  <c r="H2363"/>
  <c r="L2363" s="1"/>
  <c r="H2367"/>
  <c r="L2367" s="1"/>
  <c r="H2371"/>
  <c r="L2371" s="1"/>
  <c r="H2375"/>
  <c r="L2375" s="1"/>
  <c r="H2379"/>
  <c r="L2379" s="1"/>
  <c r="H2383"/>
  <c r="L2383" s="1"/>
  <c r="H2387"/>
  <c r="L2387" s="1"/>
  <c r="H2391"/>
  <c r="L2391" s="1"/>
  <c r="H2395"/>
  <c r="L2395" s="1"/>
  <c r="H2399"/>
  <c r="L2399" s="1"/>
  <c r="H2403"/>
  <c r="L2403" s="1"/>
  <c r="H2407"/>
  <c r="L2407" s="1"/>
  <c r="H2411"/>
  <c r="L2411" s="1"/>
  <c r="H2415"/>
  <c r="L2415" s="1"/>
  <c r="H2419"/>
  <c r="L2419" s="1"/>
  <c r="H2423"/>
  <c r="L2423" s="1"/>
  <c r="H2427"/>
  <c r="L2427" s="1"/>
  <c r="H2431"/>
  <c r="L2431" s="1"/>
  <c r="H2435"/>
  <c r="L2435" s="1"/>
  <c r="H2439"/>
  <c r="L2439" s="1"/>
  <c r="H2443"/>
  <c r="L2443" s="1"/>
  <c r="H2447"/>
  <c r="L2447" s="1"/>
  <c r="H2451"/>
  <c r="L2451" s="1"/>
  <c r="H2455"/>
  <c r="L2455" s="1"/>
  <c r="H2459"/>
  <c r="L2459" s="1"/>
  <c r="H2463"/>
  <c r="L2463" s="1"/>
  <c r="H2467"/>
  <c r="L2467" s="1"/>
  <c r="H2471"/>
  <c r="L2471" s="1"/>
  <c r="H2475"/>
  <c r="L2475" s="1"/>
  <c r="H2479"/>
  <c r="L2479" s="1"/>
  <c r="H2483"/>
  <c r="L2483" s="1"/>
  <c r="H2487"/>
  <c r="L2487" s="1"/>
  <c r="H2491"/>
  <c r="L2491" s="1"/>
  <c r="H2495"/>
  <c r="L2495" s="1"/>
  <c r="H2499"/>
  <c r="L2499" s="1"/>
  <c r="H2503"/>
  <c r="L2503" s="1"/>
  <c r="H2507"/>
  <c r="L2507" s="1"/>
  <c r="H2511"/>
  <c r="L2511" s="1"/>
  <c r="H2515"/>
  <c r="L2515" s="1"/>
  <c r="H2519"/>
  <c r="L2519" s="1"/>
  <c r="H2523"/>
  <c r="L2523" s="1"/>
  <c r="H2527"/>
  <c r="L2527" s="1"/>
  <c r="H2531"/>
  <c r="L2531" s="1"/>
  <c r="H2535"/>
  <c r="L2535" s="1"/>
  <c r="H2539"/>
  <c r="L2539" s="1"/>
  <c r="H2543"/>
  <c r="L2543" s="1"/>
  <c r="H2547"/>
  <c r="L2547" s="1"/>
  <c r="H2551"/>
  <c r="L2551" s="1"/>
  <c r="H2555"/>
  <c r="L2555" s="1"/>
  <c r="H2559"/>
  <c r="L2559" s="1"/>
  <c r="H11"/>
  <c r="L11" s="1"/>
  <c r="H16"/>
  <c r="L16" s="1"/>
  <c r="H21"/>
  <c r="L21" s="1"/>
  <c r="H32"/>
  <c r="L32" s="1"/>
  <c r="H37"/>
  <c r="L37" s="1"/>
  <c r="H43"/>
  <c r="L43" s="1"/>
  <c r="H53"/>
  <c r="L53" s="1"/>
  <c r="H59"/>
  <c r="L59" s="1"/>
  <c r="H69"/>
  <c r="L69" s="1"/>
  <c r="H75"/>
  <c r="L75" s="1"/>
  <c r="H80"/>
  <c r="L80" s="1"/>
  <c r="H91"/>
  <c r="L91" s="1"/>
  <c r="H96"/>
  <c r="L96" s="1"/>
  <c r="H107"/>
  <c r="L107" s="1"/>
  <c r="H112"/>
  <c r="L112" s="1"/>
  <c r="H123"/>
  <c r="L123" s="1"/>
  <c r="H128"/>
  <c r="L128" s="1"/>
  <c r="H133"/>
  <c r="L133" s="1"/>
  <c r="H144"/>
  <c r="L144" s="1"/>
  <c r="H149"/>
  <c r="L149" s="1"/>
  <c r="H160"/>
  <c r="L160" s="1"/>
  <c r="H165"/>
  <c r="L165" s="1"/>
  <c r="H171"/>
  <c r="L171" s="1"/>
  <c r="H181"/>
  <c r="L181" s="1"/>
  <c r="H187"/>
  <c r="L187" s="1"/>
  <c r="H192"/>
  <c r="L192" s="1"/>
  <c r="H203"/>
  <c r="L203" s="1"/>
  <c r="H208"/>
  <c r="L208" s="1"/>
  <c r="H219"/>
  <c r="L219" s="1"/>
  <c r="H224"/>
  <c r="L224" s="1"/>
  <c r="H229"/>
  <c r="L229" s="1"/>
  <c r="H240"/>
  <c r="L240" s="1"/>
  <c r="H245"/>
  <c r="L245" s="1"/>
  <c r="H256"/>
  <c r="L256" s="1"/>
  <c r="H261"/>
  <c r="L261" s="1"/>
  <c r="H272"/>
  <c r="L272" s="1"/>
  <c r="H277"/>
  <c r="L277" s="1"/>
  <c r="H283"/>
  <c r="L283" s="1"/>
  <c r="H293"/>
  <c r="L293" s="1"/>
  <c r="H299"/>
  <c r="L299" s="1"/>
  <c r="H309"/>
  <c r="L309" s="1"/>
  <c r="H315"/>
  <c r="L315" s="1"/>
  <c r="H320"/>
  <c r="L320" s="1"/>
  <c r="H331"/>
  <c r="L331" s="1"/>
  <c r="H336"/>
  <c r="L336" s="1"/>
  <c r="H347"/>
  <c r="L347" s="1"/>
  <c r="H352"/>
  <c r="L352" s="1"/>
  <c r="H357"/>
  <c r="L357" s="1"/>
  <c r="H368"/>
  <c r="L368" s="1"/>
  <c r="H373"/>
  <c r="L373" s="1"/>
  <c r="H384"/>
  <c r="L384" s="1"/>
  <c r="H389"/>
  <c r="L389" s="1"/>
  <c r="H395"/>
  <c r="L395" s="1"/>
  <c r="H405"/>
  <c r="L405" s="1"/>
  <c r="H411"/>
  <c r="L411" s="1"/>
  <c r="H421"/>
  <c r="L421" s="1"/>
  <c r="H427"/>
  <c r="L427" s="1"/>
  <c r="H432"/>
  <c r="L432" s="1"/>
  <c r="H443"/>
  <c r="L443" s="1"/>
  <c r="H448"/>
  <c r="L448" s="1"/>
  <c r="H459"/>
  <c r="L459" s="1"/>
  <c r="H464"/>
  <c r="L464" s="1"/>
  <c r="H469"/>
  <c r="L469" s="1"/>
  <c r="H480"/>
  <c r="L480" s="1"/>
  <c r="H485"/>
  <c r="L485" s="1"/>
  <c r="H496"/>
  <c r="L496" s="1"/>
  <c r="H501"/>
  <c r="L501" s="1"/>
  <c r="H507"/>
  <c r="L507" s="1"/>
  <c r="H517"/>
  <c r="L517" s="1"/>
  <c r="H523"/>
  <c r="L523" s="1"/>
  <c r="H533"/>
  <c r="L533" s="1"/>
  <c r="H539"/>
  <c r="L539" s="1"/>
  <c r="H544"/>
  <c r="L544" s="1"/>
  <c r="H555"/>
  <c r="L555" s="1"/>
  <c r="H560"/>
  <c r="L560" s="1"/>
  <c r="H571"/>
  <c r="L571" s="1"/>
  <c r="H576"/>
  <c r="L576" s="1"/>
  <c r="H581"/>
  <c r="L581" s="1"/>
  <c r="H592"/>
  <c r="L592" s="1"/>
  <c r="H597"/>
  <c r="L597" s="1"/>
  <c r="H608"/>
  <c r="L608" s="1"/>
  <c r="H613"/>
  <c r="L613" s="1"/>
  <c r="H624"/>
  <c r="L624" s="1"/>
  <c r="H629"/>
  <c r="L629" s="1"/>
  <c r="H635"/>
  <c r="L635" s="1"/>
  <c r="H645"/>
  <c r="L645" s="1"/>
  <c r="H651"/>
  <c r="L651" s="1"/>
  <c r="H661"/>
  <c r="L661" s="1"/>
  <c r="H667"/>
  <c r="L667" s="1"/>
  <c r="H672"/>
  <c r="L672" s="1"/>
  <c r="H683"/>
  <c r="L683" s="1"/>
  <c r="H688"/>
  <c r="L688" s="1"/>
  <c r="H699"/>
  <c r="L699" s="1"/>
  <c r="H704"/>
  <c r="L704" s="1"/>
  <c r="H715"/>
  <c r="L715" s="1"/>
  <c r="H720"/>
  <c r="L720" s="1"/>
  <c r="H725"/>
  <c r="L725" s="1"/>
  <c r="H736"/>
  <c r="L736" s="1"/>
  <c r="H741"/>
  <c r="L741" s="1"/>
  <c r="H752"/>
  <c r="L752" s="1"/>
  <c r="H757"/>
  <c r="L757" s="1"/>
  <c r="H768"/>
  <c r="L768" s="1"/>
  <c r="H773"/>
  <c r="L773" s="1"/>
  <c r="H784"/>
  <c r="L784" s="1"/>
  <c r="H789"/>
  <c r="L789" s="1"/>
  <c r="H795"/>
  <c r="L795" s="1"/>
  <c r="H805"/>
  <c r="L805" s="1"/>
  <c r="H811"/>
  <c r="L811" s="1"/>
  <c r="H821"/>
  <c r="L821" s="1"/>
  <c r="H827"/>
  <c r="L827" s="1"/>
  <c r="H832"/>
  <c r="L832" s="1"/>
  <c r="H843"/>
  <c r="L843" s="1"/>
  <c r="H848"/>
  <c r="L848" s="1"/>
  <c r="H859"/>
  <c r="L859" s="1"/>
  <c r="H864"/>
  <c r="L864" s="1"/>
  <c r="H869"/>
  <c r="L869" s="1"/>
  <c r="H880"/>
  <c r="L880" s="1"/>
  <c r="H885"/>
  <c r="L885" s="1"/>
  <c r="H896"/>
  <c r="L896" s="1"/>
  <c r="H901"/>
  <c r="L901" s="1"/>
  <c r="H907"/>
  <c r="L907" s="1"/>
  <c r="H917"/>
  <c r="L917" s="1"/>
  <c r="H923"/>
  <c r="L923" s="1"/>
  <c r="H933"/>
  <c r="L933" s="1"/>
  <c r="H939"/>
  <c r="L939" s="1"/>
  <c r="H949"/>
  <c r="L949" s="1"/>
  <c r="H955"/>
  <c r="L955" s="1"/>
  <c r="H960"/>
  <c r="L960" s="1"/>
  <c r="H971"/>
  <c r="L971" s="1"/>
  <c r="H976"/>
  <c r="L976" s="1"/>
  <c r="H987"/>
  <c r="L987" s="1"/>
  <c r="H992"/>
  <c r="L992" s="1"/>
  <c r="H997"/>
  <c r="L997" s="1"/>
  <c r="H1008"/>
  <c r="L1008" s="1"/>
  <c r="H1013"/>
  <c r="L1013" s="1"/>
  <c r="H1024"/>
  <c r="L1024" s="1"/>
  <c r="H1029"/>
  <c r="L1029" s="1"/>
  <c r="H1040"/>
  <c r="L1040" s="1"/>
  <c r="H1045"/>
  <c r="L1045" s="1"/>
  <c r="H1051"/>
  <c r="L1051" s="1"/>
  <c r="H1061"/>
  <c r="L1061" s="1"/>
  <c r="H1067"/>
  <c r="L1067" s="1"/>
  <c r="H1072"/>
  <c r="L1072" s="1"/>
  <c r="H1083"/>
  <c r="L1083" s="1"/>
  <c r="H1088"/>
  <c r="L1088" s="1"/>
  <c r="H1099"/>
  <c r="L1099" s="1"/>
  <c r="H1104"/>
  <c r="L1104" s="1"/>
  <c r="H1115"/>
  <c r="L1115" s="1"/>
  <c r="H1120"/>
  <c r="L1120" s="1"/>
  <c r="H1125"/>
  <c r="L1125" s="1"/>
  <c r="H1136"/>
  <c r="L1136" s="1"/>
  <c r="H1141"/>
  <c r="L1141" s="1"/>
  <c r="H1152"/>
  <c r="L1152" s="1"/>
  <c r="H1157"/>
  <c r="L1157" s="1"/>
  <c r="H1163"/>
  <c r="L1163" s="1"/>
  <c r="H1173"/>
  <c r="L1173" s="1"/>
  <c r="H1179"/>
  <c r="L1179" s="1"/>
  <c r="H1189"/>
  <c r="L1189" s="1"/>
  <c r="H1195"/>
  <c r="L1195" s="1"/>
  <c r="H1200"/>
  <c r="L1200" s="1"/>
  <c r="H1211"/>
  <c r="L1211" s="1"/>
  <c r="H1216"/>
  <c r="L1216" s="1"/>
  <c r="H1227"/>
  <c r="L1227" s="1"/>
  <c r="H1232"/>
  <c r="L1232" s="1"/>
  <c r="H1237"/>
  <c r="L1237" s="1"/>
  <c r="H1248"/>
  <c r="L1248" s="1"/>
  <c r="H1253"/>
  <c r="L1253" s="1"/>
  <c r="H1264"/>
  <c r="L1264" s="1"/>
  <c r="H1269"/>
  <c r="L1269" s="1"/>
  <c r="H1275"/>
  <c r="L1275" s="1"/>
  <c r="H1285"/>
  <c r="L1285" s="1"/>
  <c r="H1291"/>
  <c r="L1291" s="1"/>
  <c r="H1301"/>
  <c r="L1301" s="1"/>
  <c r="H1307"/>
  <c r="L1307" s="1"/>
  <c r="H1317"/>
  <c r="L1317" s="1"/>
  <c r="H1323"/>
  <c r="L1323" s="1"/>
  <c r="H1328"/>
  <c r="L1328" s="1"/>
  <c r="H1339"/>
  <c r="L1339" s="1"/>
  <c r="H1344"/>
  <c r="L1344" s="1"/>
  <c r="H1355"/>
  <c r="L1355" s="1"/>
  <c r="H1360"/>
  <c r="L1360" s="1"/>
  <c r="H1365"/>
  <c r="L1365" s="1"/>
  <c r="H1376"/>
  <c r="L1376" s="1"/>
  <c r="H1381"/>
  <c r="L1381" s="1"/>
  <c r="H1387"/>
  <c r="L1387" s="1"/>
  <c r="H1397"/>
  <c r="L1397" s="1"/>
  <c r="H1403"/>
  <c r="L1403" s="1"/>
  <c r="H1413"/>
  <c r="L1413" s="1"/>
  <c r="H1419"/>
  <c r="L1419" s="1"/>
  <c r="H1424"/>
  <c r="L1424" s="1"/>
  <c r="H1434"/>
  <c r="L1434" s="1"/>
  <c r="H1438"/>
  <c r="L1438" s="1"/>
  <c r="H1446"/>
  <c r="L1446" s="1"/>
  <c r="H1450"/>
  <c r="L1450" s="1"/>
  <c r="H1454"/>
  <c r="L1454" s="1"/>
  <c r="H1462"/>
  <c r="L1462" s="1"/>
  <c r="H1466"/>
  <c r="L1466" s="1"/>
  <c r="H1474"/>
  <c r="L1474" s="1"/>
  <c r="H1478"/>
  <c r="L1478" s="1"/>
  <c r="H1482"/>
  <c r="L1482" s="1"/>
  <c r="H1490"/>
  <c r="L1490" s="1"/>
  <c r="H1494"/>
  <c r="L1494" s="1"/>
  <c r="H1502"/>
  <c r="L1502" s="1"/>
  <c r="H1506"/>
  <c r="L1506" s="1"/>
  <c r="H1510"/>
  <c r="L1510" s="1"/>
  <c r="H1518"/>
  <c r="L1518" s="1"/>
  <c r="H1522"/>
  <c r="L1522" s="1"/>
  <c r="H1530"/>
  <c r="L1530" s="1"/>
  <c r="H1534"/>
  <c r="L1534" s="1"/>
  <c r="H1538"/>
  <c r="L1538" s="1"/>
  <c r="H1546"/>
  <c r="L1546" s="1"/>
  <c r="H1550"/>
  <c r="L1550" s="1"/>
  <c r="H1558"/>
  <c r="L1558" s="1"/>
  <c r="H1562"/>
  <c r="L1562" s="1"/>
  <c r="H1570"/>
  <c r="L1570" s="1"/>
  <c r="H1574"/>
  <c r="L1574" s="1"/>
  <c r="H1578"/>
  <c r="L1578" s="1"/>
  <c r="H1586"/>
  <c r="L1586" s="1"/>
  <c r="H1590"/>
  <c r="L1590" s="1"/>
  <c r="H1598"/>
  <c r="L1598" s="1"/>
  <c r="H1602"/>
  <c r="L1602" s="1"/>
  <c r="H1606"/>
  <c r="L1606" s="1"/>
  <c r="H1614"/>
  <c r="L1614" s="1"/>
  <c r="H1618"/>
  <c r="L1618" s="1"/>
  <c r="H1626"/>
  <c r="L1626" s="1"/>
  <c r="H1630"/>
  <c r="L1630" s="1"/>
  <c r="H1634"/>
  <c r="L1634" s="1"/>
  <c r="H1642"/>
  <c r="L1642" s="1"/>
  <c r="H1646"/>
  <c r="L1646" s="1"/>
  <c r="H1654"/>
  <c r="L1654" s="1"/>
  <c r="H1658"/>
  <c r="L1658" s="1"/>
  <c r="H1666"/>
  <c r="L1666" s="1"/>
  <c r="H1670"/>
  <c r="L1670" s="1"/>
  <c r="H1674"/>
  <c r="L1674" s="1"/>
  <c r="H1682"/>
  <c r="L1682" s="1"/>
  <c r="H1686"/>
  <c r="L1686" s="1"/>
  <c r="H1694"/>
  <c r="L1694" s="1"/>
  <c r="H1698"/>
  <c r="L1698" s="1"/>
  <c r="H1702"/>
  <c r="L1702" s="1"/>
  <c r="H1710"/>
  <c r="L1710" s="1"/>
  <c r="H1714"/>
  <c r="L1714" s="1"/>
  <c r="H1722"/>
  <c r="L1722" s="1"/>
  <c r="H1726"/>
  <c r="L1726" s="1"/>
  <c r="H1730"/>
  <c r="L1730" s="1"/>
  <c r="H1738"/>
  <c r="L1738" s="1"/>
  <c r="H1742"/>
  <c r="L1742" s="1"/>
  <c r="H1750"/>
  <c r="L1750" s="1"/>
  <c r="H1754"/>
  <c r="L1754" s="1"/>
  <c r="H1758"/>
  <c r="L1758" s="1"/>
  <c r="H1766"/>
  <c r="L1766" s="1"/>
  <c r="H1770"/>
  <c r="L1770" s="1"/>
  <c r="H1778"/>
  <c r="L1778" s="1"/>
  <c r="H1782"/>
  <c r="L1782" s="1"/>
  <c r="H1786"/>
  <c r="L1786" s="1"/>
  <c r="H1794"/>
  <c r="L1794" s="1"/>
  <c r="H1798"/>
  <c r="L1798" s="1"/>
  <c r="H1806"/>
  <c r="L1806" s="1"/>
  <c r="H1810"/>
  <c r="L1810" s="1"/>
  <c r="H1814"/>
  <c r="L1814" s="1"/>
  <c r="H1822"/>
  <c r="L1822" s="1"/>
  <c r="H1826"/>
  <c r="L1826" s="1"/>
  <c r="H1834"/>
  <c r="L1834" s="1"/>
  <c r="H1838"/>
  <c r="L1838" s="1"/>
  <c r="H1842"/>
  <c r="L1842" s="1"/>
  <c r="H1850"/>
  <c r="L1850" s="1"/>
  <c r="H1854"/>
  <c r="L1854" s="1"/>
  <c r="H1862"/>
  <c r="L1862" s="1"/>
  <c r="H1866"/>
  <c r="L1866" s="1"/>
  <c r="H1870"/>
  <c r="L1870" s="1"/>
  <c r="H1878"/>
  <c r="L1878" s="1"/>
  <c r="H1882"/>
  <c r="L1882" s="1"/>
  <c r="H1890"/>
  <c r="L1890" s="1"/>
  <c r="H1894"/>
  <c r="L1894" s="1"/>
  <c r="H1902"/>
  <c r="L1902" s="1"/>
  <c r="H1906"/>
  <c r="L1906" s="1"/>
  <c r="H1910"/>
  <c r="L1910" s="1"/>
  <c r="H1918"/>
  <c r="L1918" s="1"/>
  <c r="H1922"/>
  <c r="L1922" s="1"/>
  <c r="H1930"/>
  <c r="L1930" s="1"/>
  <c r="H1934"/>
  <c r="L1934" s="1"/>
  <c r="H1938"/>
  <c r="L1938" s="1"/>
  <c r="H1946"/>
  <c r="L1946" s="1"/>
  <c r="H1950"/>
  <c r="L1950" s="1"/>
  <c r="H1958"/>
  <c r="L1958" s="1"/>
  <c r="H1962"/>
  <c r="L1962" s="1"/>
  <c r="H1966"/>
  <c r="L1966" s="1"/>
  <c r="H1974"/>
  <c r="L1974" s="1"/>
  <c r="H1978"/>
  <c r="L1978" s="1"/>
  <c r="H1986"/>
  <c r="L1986" s="1"/>
  <c r="H1990"/>
  <c r="L1990" s="1"/>
  <c r="H1994"/>
  <c r="L1994" s="1"/>
  <c r="H2002"/>
  <c r="L2002" s="1"/>
  <c r="H2006"/>
  <c r="L2006" s="1"/>
  <c r="H2014"/>
  <c r="L2014" s="1"/>
  <c r="H2018"/>
  <c r="L2018" s="1"/>
  <c r="H2022"/>
  <c r="L2022" s="1"/>
  <c r="H2030"/>
  <c r="L2030" s="1"/>
  <c r="H2034"/>
  <c r="L2034" s="1"/>
  <c r="H2042"/>
  <c r="L2042" s="1"/>
  <c r="H2046"/>
  <c r="L2046" s="1"/>
  <c r="H2054"/>
  <c r="L2054" s="1"/>
  <c r="H2058"/>
  <c r="L2058" s="1"/>
  <c r="H2062"/>
  <c r="L2062" s="1"/>
  <c r="H2070"/>
  <c r="L2070" s="1"/>
  <c r="H2074"/>
  <c r="L2074" s="1"/>
  <c r="H2082"/>
  <c r="L2082" s="1"/>
  <c r="H2086"/>
  <c r="L2086" s="1"/>
  <c r="H2090"/>
  <c r="L2090" s="1"/>
  <c r="H2098"/>
  <c r="L2098" s="1"/>
  <c r="H2102"/>
  <c r="L2102" s="1"/>
  <c r="H2106"/>
  <c r="L2106" s="1"/>
  <c r="H2114"/>
  <c r="L2114" s="1"/>
  <c r="H2118"/>
  <c r="L2118" s="1"/>
  <c r="H2126"/>
  <c r="L2126" s="1"/>
  <c r="H2130"/>
  <c r="L2130" s="1"/>
  <c r="H2134"/>
  <c r="L2134" s="1"/>
  <c r="H2142"/>
  <c r="L2142" s="1"/>
  <c r="H2146"/>
  <c r="L2146" s="1"/>
  <c r="H2154"/>
  <c r="L2154" s="1"/>
  <c r="H2158"/>
  <c r="L2158" s="1"/>
  <c r="H2162"/>
  <c r="L2162" s="1"/>
  <c r="H2170"/>
  <c r="L2170" s="1"/>
  <c r="H2174"/>
  <c r="L2174" s="1"/>
  <c r="H2182"/>
  <c r="L2182" s="1"/>
  <c r="H2186"/>
  <c r="L2186" s="1"/>
  <c r="H2190"/>
  <c r="L2190" s="1"/>
  <c r="H2198"/>
  <c r="L2198" s="1"/>
  <c r="H2202"/>
  <c r="L2202" s="1"/>
  <c r="H2210"/>
  <c r="L2210" s="1"/>
  <c r="H2214"/>
  <c r="L2214" s="1"/>
  <c r="H2222"/>
  <c r="L2222" s="1"/>
  <c r="H2226"/>
  <c r="L2226" s="1"/>
  <c r="H2230"/>
  <c r="L2230" s="1"/>
  <c r="H2238"/>
  <c r="L2238" s="1"/>
  <c r="H2242"/>
  <c r="L2242" s="1"/>
  <c r="H2250"/>
  <c r="L2250" s="1"/>
  <c r="H2254"/>
  <c r="L2254" s="1"/>
  <c r="H2262"/>
  <c r="L2262" s="1"/>
  <c r="H2266"/>
  <c r="L2266" s="1"/>
  <c r="H2270"/>
  <c r="L2270" s="1"/>
  <c r="H2278"/>
  <c r="L2278" s="1"/>
  <c r="H2282"/>
  <c r="L2282" s="1"/>
  <c r="H2290"/>
  <c r="L2290" s="1"/>
  <c r="H2294"/>
  <c r="L2294" s="1"/>
  <c r="H2298"/>
  <c r="L2298" s="1"/>
  <c r="H2306"/>
  <c r="L2306" s="1"/>
  <c r="H2310"/>
  <c r="L2310" s="1"/>
  <c r="H2318"/>
  <c r="L2318" s="1"/>
  <c r="H2322"/>
  <c r="L2322" s="1"/>
  <c r="H2326"/>
  <c r="L2326" s="1"/>
  <c r="H2334"/>
  <c r="L2334" s="1"/>
  <c r="H2338"/>
  <c r="L2338" s="1"/>
  <c r="H2346"/>
  <c r="L2346" s="1"/>
  <c r="H2350"/>
  <c r="L2350" s="1"/>
  <c r="H2358"/>
  <c r="L2358" s="1"/>
  <c r="H2362"/>
  <c r="L2362" s="1"/>
  <c r="H2366"/>
  <c r="L2366" s="1"/>
  <c r="H2374"/>
  <c r="L2374" s="1"/>
  <c r="H2378"/>
  <c r="L2378" s="1"/>
  <c r="H2386"/>
  <c r="L2386" s="1"/>
  <c r="H2390"/>
  <c r="L2390" s="1"/>
  <c r="H2394"/>
  <c r="L2394" s="1"/>
  <c r="H2402"/>
  <c r="L2402" s="1"/>
  <c r="H2406"/>
  <c r="L2406" s="1"/>
  <c r="H2414"/>
  <c r="L2414" s="1"/>
  <c r="H2418"/>
  <c r="L2418" s="1"/>
  <c r="H2426"/>
  <c r="L2426" s="1"/>
  <c r="H2430"/>
  <c r="L2430" s="1"/>
  <c r="H2434"/>
  <c r="L2434" s="1"/>
  <c r="H2442"/>
  <c r="L2442" s="1"/>
  <c r="H2446"/>
  <c r="L2446" s="1"/>
  <c r="H2450"/>
  <c r="L2450" s="1"/>
  <c r="H2458"/>
  <c r="L2458" s="1"/>
  <c r="H2462"/>
  <c r="L2462" s="1"/>
  <c r="H2470"/>
  <c r="L2470" s="1"/>
  <c r="H2474"/>
  <c r="L2474" s="1"/>
  <c r="H2478"/>
  <c r="L2478" s="1"/>
  <c r="H2486"/>
  <c r="L2486" s="1"/>
  <c r="H2490"/>
  <c r="L2490" s="1"/>
  <c r="H2498"/>
  <c r="L2498" s="1"/>
  <c r="H2502"/>
  <c r="L2502" s="1"/>
  <c r="H2506"/>
  <c r="L2506" s="1"/>
  <c r="H2514"/>
  <c r="L2514" s="1"/>
  <c r="H2518"/>
  <c r="L2518" s="1"/>
  <c r="H2526"/>
  <c r="L2526" s="1"/>
  <c r="H2530"/>
  <c r="L2530" s="1"/>
  <c r="H2534"/>
  <c r="L2534" s="1"/>
  <c r="H2542"/>
  <c r="L2542" s="1"/>
  <c r="H2546"/>
  <c r="L2546" s="1"/>
  <c r="H2554"/>
  <c r="L2554" s="1"/>
  <c r="H2558"/>
  <c r="L2558" s="1"/>
  <c r="H2"/>
  <c r="L2" s="1"/>
  <c r="H9"/>
  <c r="L9" s="1"/>
  <c r="H15"/>
  <c r="L15" s="1"/>
  <c r="H25"/>
  <c r="L25" s="1"/>
  <c r="H31"/>
  <c r="L31" s="1"/>
  <c r="H41"/>
  <c r="L41" s="1"/>
  <c r="H47"/>
  <c r="L47" s="1"/>
  <c r="H57"/>
  <c r="L57" s="1"/>
  <c r="H63"/>
  <c r="L63" s="1"/>
  <c r="H68"/>
  <c r="L68" s="1"/>
  <c r="H79"/>
  <c r="L79" s="1"/>
  <c r="H84"/>
  <c r="L84" s="1"/>
  <c r="H95"/>
  <c r="L95" s="1"/>
  <c r="H100"/>
  <c r="L100" s="1"/>
  <c r="H111"/>
  <c r="L111" s="1"/>
  <c r="H116"/>
  <c r="L116" s="1"/>
  <c r="H121"/>
  <c r="L121" s="1"/>
  <c r="H132"/>
  <c r="L132" s="1"/>
  <c r="H137"/>
  <c r="L137" s="1"/>
  <c r="H148"/>
  <c r="L148" s="1"/>
  <c r="H153"/>
  <c r="L153" s="1"/>
  <c r="H159"/>
  <c r="L159" s="1"/>
  <c r="H169"/>
  <c r="L169" s="1"/>
  <c r="H175"/>
  <c r="L175" s="1"/>
  <c r="H185"/>
  <c r="L185" s="1"/>
  <c r="H191"/>
  <c r="L191" s="1"/>
  <c r="H196"/>
  <c r="L196" s="1"/>
  <c r="H207"/>
  <c r="L207" s="1"/>
  <c r="H212"/>
  <c r="L212" s="1"/>
  <c r="H223"/>
  <c r="L223" s="1"/>
  <c r="H228"/>
  <c r="L228" s="1"/>
  <c r="H233"/>
  <c r="L233" s="1"/>
  <c r="H244"/>
  <c r="L244" s="1"/>
  <c r="H249"/>
  <c r="L249" s="1"/>
  <c r="H260"/>
  <c r="L260" s="1"/>
  <c r="H265"/>
  <c r="L265" s="1"/>
  <c r="H276"/>
  <c r="L276" s="1"/>
  <c r="H281"/>
  <c r="L281" s="1"/>
  <c r="H287"/>
  <c r="L287" s="1"/>
  <c r="H297"/>
  <c r="L297" s="1"/>
  <c r="H303"/>
  <c r="L303" s="1"/>
  <c r="H313"/>
  <c r="L313" s="1"/>
  <c r="H319"/>
  <c r="L319" s="1"/>
  <c r="H324"/>
  <c r="L324" s="1"/>
  <c r="H335"/>
  <c r="L335" s="1"/>
  <c r="H340"/>
  <c r="L340" s="1"/>
  <c r="H351"/>
  <c r="L351" s="1"/>
  <c r="H356"/>
  <c r="L356" s="1"/>
  <c r="H361"/>
  <c r="L361" s="1"/>
  <c r="H372"/>
  <c r="L372" s="1"/>
  <c r="H377"/>
  <c r="L377" s="1"/>
  <c r="H388"/>
  <c r="L388" s="1"/>
  <c r="H393"/>
  <c r="L393" s="1"/>
  <c r="H399"/>
  <c r="L399" s="1"/>
  <c r="H409"/>
  <c r="L409" s="1"/>
  <c r="H415"/>
  <c r="L415" s="1"/>
  <c r="H425"/>
  <c r="L425" s="1"/>
  <c r="H431"/>
  <c r="L431" s="1"/>
  <c r="H441"/>
  <c r="L441" s="1"/>
  <c r="H447"/>
  <c r="L447" s="1"/>
  <c r="H457"/>
  <c r="L457" s="1"/>
  <c r="H463"/>
  <c r="L463" s="1"/>
  <c r="H468"/>
  <c r="L468" s="1"/>
  <c r="H479"/>
  <c r="L479" s="1"/>
  <c r="H484"/>
  <c r="L484" s="1"/>
  <c r="H495"/>
  <c r="L495" s="1"/>
  <c r="H500"/>
  <c r="L500" s="1"/>
  <c r="H505"/>
  <c r="L505" s="1"/>
  <c r="H516"/>
  <c r="L516" s="1"/>
  <c r="H521"/>
  <c r="L521" s="1"/>
  <c r="H532"/>
  <c r="L532" s="1"/>
  <c r="H537"/>
  <c r="L537" s="1"/>
  <c r="H543"/>
  <c r="L543" s="1"/>
  <c r="H553"/>
  <c r="L553" s="1"/>
  <c r="H559"/>
  <c r="L559" s="1"/>
  <c r="H569"/>
  <c r="L569" s="1"/>
  <c r="H575"/>
  <c r="L575" s="1"/>
  <c r="H585"/>
  <c r="L585" s="1"/>
  <c r="H591"/>
  <c r="L591" s="1"/>
  <c r="H601"/>
  <c r="L601" s="1"/>
  <c r="H607"/>
  <c r="L607" s="1"/>
  <c r="H612"/>
  <c r="L612" s="1"/>
  <c r="H623"/>
  <c r="L623" s="1"/>
  <c r="H5"/>
  <c r="L5" s="1"/>
  <c r="H27"/>
  <c r="L27" s="1"/>
  <c r="H48"/>
  <c r="L48" s="1"/>
  <c r="H64"/>
  <c r="L64" s="1"/>
  <c r="H85"/>
  <c r="L85" s="1"/>
  <c r="H101"/>
  <c r="L101" s="1"/>
  <c r="H117"/>
  <c r="L117" s="1"/>
  <c r="H139"/>
  <c r="L139" s="1"/>
  <c r="H155"/>
  <c r="L155" s="1"/>
  <c r="H176"/>
  <c r="L176" s="1"/>
  <c r="H197"/>
  <c r="L197" s="1"/>
  <c r="H213"/>
  <c r="L213" s="1"/>
  <c r="H235"/>
  <c r="L235" s="1"/>
  <c r="H251"/>
  <c r="L251" s="1"/>
  <c r="H267"/>
  <c r="L267" s="1"/>
  <c r="H288"/>
  <c r="L288" s="1"/>
  <c r="H304"/>
  <c r="L304" s="1"/>
  <c r="H325"/>
  <c r="L325" s="1"/>
  <c r="H341"/>
  <c r="L341" s="1"/>
  <c r="H363"/>
  <c r="L363" s="1"/>
  <c r="H379"/>
  <c r="L379" s="1"/>
  <c r="H400"/>
  <c r="L400" s="1"/>
  <c r="H416"/>
  <c r="L416" s="1"/>
  <c r="H437"/>
  <c r="L437" s="1"/>
  <c r="H453"/>
  <c r="L453" s="1"/>
  <c r="H475"/>
  <c r="L475" s="1"/>
  <c r="H491"/>
  <c r="L491" s="1"/>
  <c r="H512"/>
  <c r="L512" s="1"/>
  <c r="H528"/>
  <c r="L528" s="1"/>
  <c r="H549"/>
  <c r="L549" s="1"/>
  <c r="H565"/>
  <c r="L565" s="1"/>
  <c r="H587"/>
  <c r="L587" s="1"/>
  <c r="H603"/>
  <c r="L603" s="1"/>
  <c r="H619"/>
  <c r="L619" s="1"/>
  <c r="H640"/>
  <c r="L640" s="1"/>
  <c r="H656"/>
  <c r="L656" s="1"/>
  <c r="H677"/>
  <c r="L677" s="1"/>
  <c r="H693"/>
  <c r="L693" s="1"/>
  <c r="H709"/>
  <c r="L709" s="1"/>
  <c r="H731"/>
  <c r="L731" s="1"/>
  <c r="H747"/>
  <c r="L747" s="1"/>
  <c r="H763"/>
  <c r="L763" s="1"/>
  <c r="H779"/>
  <c r="L779" s="1"/>
  <c r="H800"/>
  <c r="L800" s="1"/>
  <c r="H816"/>
  <c r="L816" s="1"/>
  <c r="H837"/>
  <c r="L837" s="1"/>
  <c r="H853"/>
  <c r="L853" s="1"/>
  <c r="H875"/>
  <c r="L875" s="1"/>
  <c r="H891"/>
  <c r="L891" s="1"/>
  <c r="H912"/>
  <c r="L912" s="1"/>
  <c r="H928"/>
  <c r="L928" s="1"/>
  <c r="H944"/>
  <c r="L944" s="1"/>
  <c r="H965"/>
  <c r="L965" s="1"/>
  <c r="H981"/>
  <c r="L981" s="1"/>
  <c r="H1003"/>
  <c r="L1003" s="1"/>
  <c r="H1019"/>
  <c r="L1019" s="1"/>
  <c r="H1035"/>
  <c r="L1035" s="1"/>
  <c r="H1056"/>
  <c r="L1056" s="1"/>
  <c r="H1077"/>
  <c r="L1077" s="1"/>
  <c r="H1093"/>
  <c r="L1093" s="1"/>
  <c r="H1109"/>
  <c r="L1109" s="1"/>
  <c r="H1131"/>
  <c r="L1131" s="1"/>
  <c r="H1147"/>
  <c r="L1147" s="1"/>
  <c r="H1168"/>
  <c r="L1168" s="1"/>
  <c r="H1184"/>
  <c r="L1184" s="1"/>
  <c r="H1205"/>
  <c r="L1205" s="1"/>
  <c r="H1221"/>
  <c r="L1221" s="1"/>
  <c r="H1243"/>
  <c r="L1243" s="1"/>
  <c r="H1259"/>
  <c r="L1259" s="1"/>
  <c r="H1280"/>
  <c r="L1280" s="1"/>
  <c r="H1296"/>
  <c r="L1296" s="1"/>
  <c r="H1312"/>
  <c r="L1312" s="1"/>
  <c r="H1333"/>
  <c r="L1333" s="1"/>
  <c r="H1349"/>
  <c r="L1349" s="1"/>
  <c r="H1371"/>
  <c r="L1371" s="1"/>
  <c r="H1392"/>
  <c r="L1392" s="1"/>
  <c r="H1408"/>
  <c r="L1408" s="1"/>
  <c r="H1429"/>
  <c r="L1429" s="1"/>
  <c r="H1442"/>
  <c r="L1442" s="1"/>
  <c r="H1458"/>
  <c r="L1458" s="1"/>
  <c r="H1470"/>
  <c r="L1470" s="1"/>
  <c r="H1486"/>
  <c r="L1486" s="1"/>
  <c r="H1498"/>
  <c r="L1498" s="1"/>
  <c r="H1514"/>
  <c r="L1514" s="1"/>
  <c r="H1526"/>
  <c r="L1526" s="1"/>
  <c r="H1542"/>
  <c r="L1542" s="1"/>
  <c r="H1554"/>
  <c r="L1554" s="1"/>
  <c r="H1566"/>
  <c r="L1566" s="1"/>
  <c r="H1582"/>
  <c r="L1582" s="1"/>
  <c r="H1594"/>
  <c r="L1594" s="1"/>
  <c r="H1610"/>
  <c r="L1610" s="1"/>
  <c r="H1622"/>
  <c r="L1622" s="1"/>
  <c r="H1638"/>
  <c r="L1638" s="1"/>
  <c r="H1650"/>
  <c r="L1650" s="1"/>
  <c r="H1662"/>
  <c r="L1662" s="1"/>
  <c r="H1678"/>
  <c r="L1678" s="1"/>
  <c r="H1690"/>
  <c r="L1690" s="1"/>
  <c r="H1706"/>
  <c r="L1706" s="1"/>
  <c r="H1718"/>
  <c r="L1718" s="1"/>
  <c r="H1734"/>
  <c r="L1734" s="1"/>
  <c r="H1746"/>
  <c r="L1746" s="1"/>
  <c r="H1762"/>
  <c r="L1762" s="1"/>
  <c r="H1774"/>
  <c r="L1774" s="1"/>
  <c r="H1790"/>
  <c r="L1790" s="1"/>
  <c r="H1802"/>
  <c r="L1802" s="1"/>
  <c r="H1818"/>
  <c r="L1818" s="1"/>
  <c r="H1830"/>
  <c r="L1830" s="1"/>
  <c r="H1846"/>
  <c r="L1846" s="1"/>
  <c r="H1858"/>
  <c r="L1858" s="1"/>
  <c r="H1874"/>
  <c r="L1874" s="1"/>
  <c r="H1886"/>
  <c r="L1886" s="1"/>
  <c r="H1898"/>
  <c r="L1898" s="1"/>
  <c r="H1914"/>
  <c r="L1914" s="1"/>
  <c r="H1926"/>
  <c r="L1926" s="1"/>
  <c r="H1942"/>
  <c r="L1942" s="1"/>
  <c r="H1954"/>
  <c r="L1954" s="1"/>
  <c r="H1970"/>
  <c r="L1970" s="1"/>
  <c r="H1982"/>
  <c r="L1982" s="1"/>
  <c r="H1998"/>
  <c r="L1998" s="1"/>
  <c r="H2010"/>
  <c r="L2010" s="1"/>
  <c r="H2026"/>
  <c r="L2026" s="1"/>
  <c r="H2038"/>
  <c r="L2038" s="1"/>
  <c r="H2050"/>
  <c r="L2050" s="1"/>
  <c r="H2066"/>
  <c r="L2066" s="1"/>
  <c r="H2078"/>
  <c r="L2078" s="1"/>
  <c r="H2094"/>
  <c r="L2094" s="1"/>
  <c r="H2110"/>
  <c r="L2110" s="1"/>
  <c r="H2122"/>
  <c r="L2122" s="1"/>
  <c r="H2138"/>
  <c r="L2138" s="1"/>
  <c r="H2150"/>
  <c r="L2150" s="1"/>
  <c r="H2166"/>
  <c r="L2166" s="1"/>
  <c r="H2178"/>
  <c r="L2178" s="1"/>
  <c r="H2194"/>
  <c r="L2194" s="1"/>
  <c r="H2206"/>
  <c r="L2206" s="1"/>
  <c r="H2218"/>
  <c r="L2218" s="1"/>
  <c r="H2234"/>
  <c r="L2234" s="1"/>
  <c r="H2246"/>
  <c r="L2246" s="1"/>
  <c r="H2258"/>
  <c r="L2258" s="1"/>
  <c r="H2274"/>
  <c r="L2274" s="1"/>
  <c r="H2286"/>
  <c r="L2286" s="1"/>
  <c r="H2302"/>
  <c r="L2302" s="1"/>
  <c r="H2314"/>
  <c r="L2314" s="1"/>
  <c r="H2330"/>
  <c r="L2330" s="1"/>
  <c r="H2342"/>
  <c r="L2342" s="1"/>
  <c r="H2354"/>
  <c r="L2354" s="1"/>
  <c r="H2370"/>
  <c r="L2370" s="1"/>
  <c r="H2382"/>
  <c r="L2382" s="1"/>
  <c r="H2398"/>
  <c r="L2398" s="1"/>
  <c r="H2410"/>
  <c r="L2410" s="1"/>
  <c r="H2422"/>
  <c r="L2422" s="1"/>
  <c r="H2438"/>
  <c r="L2438" s="1"/>
  <c r="H2454"/>
  <c r="L2454" s="1"/>
  <c r="H2466"/>
  <c r="L2466" s="1"/>
  <c r="H2482"/>
  <c r="L2482" s="1"/>
  <c r="H2494"/>
  <c r="L2494" s="1"/>
  <c r="H2510"/>
  <c r="L2510" s="1"/>
  <c r="H2522"/>
  <c r="L2522" s="1"/>
  <c r="H2538"/>
  <c r="L2538" s="1"/>
  <c r="H2550"/>
  <c r="L2550" s="1"/>
  <c r="H4"/>
  <c r="L4" s="1"/>
  <c r="H20"/>
  <c r="L20" s="1"/>
  <c r="H36"/>
  <c r="L36" s="1"/>
  <c r="H52"/>
  <c r="L52" s="1"/>
  <c r="H73"/>
  <c r="L73" s="1"/>
  <c r="H89"/>
  <c r="L89" s="1"/>
  <c r="H105"/>
  <c r="L105" s="1"/>
  <c r="H127"/>
  <c r="L127" s="1"/>
  <c r="H143"/>
  <c r="L143" s="1"/>
  <c r="H164"/>
  <c r="L164" s="1"/>
  <c r="H180"/>
  <c r="L180" s="1"/>
  <c r="H201"/>
  <c r="L201" s="1"/>
  <c r="H217"/>
  <c r="L217" s="1"/>
  <c r="H239"/>
  <c r="L239" s="1"/>
  <c r="H255"/>
  <c r="L255" s="1"/>
  <c r="H271"/>
  <c r="L271" s="1"/>
  <c r="H292"/>
  <c r="L292" s="1"/>
  <c r="H308"/>
  <c r="L308" s="1"/>
  <c r="H329"/>
  <c r="L329" s="1"/>
  <c r="H345"/>
  <c r="L345" s="1"/>
  <c r="H367"/>
  <c r="L367" s="1"/>
  <c r="H383"/>
  <c r="L383" s="1"/>
  <c r="H404"/>
  <c r="L404" s="1"/>
  <c r="H420"/>
  <c r="L420" s="1"/>
  <c r="H436"/>
  <c r="L436" s="1"/>
  <c r="H452"/>
  <c r="L452" s="1"/>
  <c r="H473"/>
  <c r="L473" s="1"/>
  <c r="H489"/>
  <c r="L489" s="1"/>
  <c r="H511"/>
  <c r="L511" s="1"/>
  <c r="H527"/>
  <c r="L527" s="1"/>
  <c r="H548"/>
  <c r="L548" s="1"/>
  <c r="H564"/>
  <c r="L564" s="1"/>
  <c r="H580"/>
  <c r="L580" s="1"/>
  <c r="H596"/>
  <c r="L596" s="1"/>
  <c r="H617"/>
  <c r="L617" s="1"/>
  <c r="H19"/>
  <c r="L19" s="1"/>
  <c r="H40"/>
  <c r="L40" s="1"/>
  <c r="H61"/>
  <c r="L61" s="1"/>
  <c r="H83"/>
  <c r="L83" s="1"/>
  <c r="H104"/>
  <c r="L104" s="1"/>
  <c r="H125"/>
  <c r="L125" s="1"/>
  <c r="H147"/>
  <c r="L147" s="1"/>
  <c r="H168"/>
  <c r="L168" s="1"/>
  <c r="H189"/>
  <c r="L189" s="1"/>
  <c r="H211"/>
  <c r="L211" s="1"/>
  <c r="H232"/>
  <c r="L232" s="1"/>
  <c r="H253"/>
  <c r="L253" s="1"/>
  <c r="H275"/>
  <c r="L275" s="1"/>
  <c r="H296"/>
  <c r="L296" s="1"/>
  <c r="H317"/>
  <c r="L317" s="1"/>
  <c r="H339"/>
  <c r="L339" s="1"/>
  <c r="H360"/>
  <c r="L360" s="1"/>
  <c r="H381"/>
  <c r="L381" s="1"/>
  <c r="H403"/>
  <c r="L403" s="1"/>
  <c r="H424"/>
  <c r="L424" s="1"/>
  <c r="H445"/>
  <c r="L445" s="1"/>
  <c r="H467"/>
  <c r="L467" s="1"/>
  <c r="H488"/>
  <c r="L488" s="1"/>
  <c r="H509"/>
  <c r="L509" s="1"/>
  <c r="H531"/>
  <c r="L531" s="1"/>
  <c r="H552"/>
  <c r="L552" s="1"/>
  <c r="H573"/>
  <c r="L573" s="1"/>
  <c r="H595"/>
  <c r="L595" s="1"/>
  <c r="H616"/>
  <c r="L616" s="1"/>
  <c r="H632"/>
  <c r="L632" s="1"/>
  <c r="H643"/>
  <c r="L643" s="1"/>
  <c r="H653"/>
  <c r="L653" s="1"/>
  <c r="H664"/>
  <c r="L664" s="1"/>
  <c r="H675"/>
  <c r="L675" s="1"/>
  <c r="H685"/>
  <c r="L685" s="1"/>
  <c r="H696"/>
  <c r="L696" s="1"/>
  <c r="H707"/>
  <c r="L707" s="1"/>
  <c r="H717"/>
  <c r="L717" s="1"/>
  <c r="H728"/>
  <c r="L728" s="1"/>
  <c r="H739"/>
  <c r="L739" s="1"/>
  <c r="H749"/>
  <c r="L749" s="1"/>
  <c r="H760"/>
  <c r="L760" s="1"/>
  <c r="H771"/>
  <c r="L771" s="1"/>
  <c r="H781"/>
  <c r="L781" s="1"/>
  <c r="H792"/>
  <c r="L792" s="1"/>
  <c r="H803"/>
  <c r="L803" s="1"/>
  <c r="H813"/>
  <c r="L813" s="1"/>
  <c r="H824"/>
  <c r="L824" s="1"/>
  <c r="H835"/>
  <c r="L835" s="1"/>
  <c r="H845"/>
  <c r="L845" s="1"/>
  <c r="H856"/>
  <c r="L856" s="1"/>
  <c r="H867"/>
  <c r="L867" s="1"/>
  <c r="H877"/>
  <c r="L877" s="1"/>
  <c r="H888"/>
  <c r="L888" s="1"/>
  <c r="H899"/>
  <c r="L899" s="1"/>
  <c r="H909"/>
  <c r="L909" s="1"/>
  <c r="H920"/>
  <c r="L920" s="1"/>
  <c r="H931"/>
  <c r="L931" s="1"/>
  <c r="H941"/>
  <c r="L941" s="1"/>
  <c r="H952"/>
  <c r="L952" s="1"/>
  <c r="H963"/>
  <c r="L963" s="1"/>
  <c r="H973"/>
  <c r="L973" s="1"/>
  <c r="H984"/>
  <c r="L984" s="1"/>
  <c r="H995"/>
  <c r="L995" s="1"/>
  <c r="H1005"/>
  <c r="L1005" s="1"/>
  <c r="H1016"/>
  <c r="L1016" s="1"/>
  <c r="H1027"/>
  <c r="L1027" s="1"/>
  <c r="H1037"/>
  <c r="L1037" s="1"/>
  <c r="H1048"/>
  <c r="L1048" s="1"/>
  <c r="H1059"/>
  <c r="L1059" s="1"/>
  <c r="H1069"/>
  <c r="L1069" s="1"/>
  <c r="H1080"/>
  <c r="L1080" s="1"/>
  <c r="H1091"/>
  <c r="L1091" s="1"/>
  <c r="H1101"/>
  <c r="L1101" s="1"/>
  <c r="H1112"/>
  <c r="L1112" s="1"/>
  <c r="H1123"/>
  <c r="L1123" s="1"/>
  <c r="H1133"/>
  <c r="L1133" s="1"/>
  <c r="H1144"/>
  <c r="L1144" s="1"/>
  <c r="H1155"/>
  <c r="L1155" s="1"/>
  <c r="H1165"/>
  <c r="L1165" s="1"/>
  <c r="H1176"/>
  <c r="L1176" s="1"/>
  <c r="H1187"/>
  <c r="L1187" s="1"/>
  <c r="H1197"/>
  <c r="L1197" s="1"/>
  <c r="H1208"/>
  <c r="L1208" s="1"/>
  <c r="H1219"/>
  <c r="L1219" s="1"/>
  <c r="H1229"/>
  <c r="L1229" s="1"/>
  <c r="H1240"/>
  <c r="L1240" s="1"/>
  <c r="H1251"/>
  <c r="L1251" s="1"/>
  <c r="H1261"/>
  <c r="L1261" s="1"/>
  <c r="H1272"/>
  <c r="L1272" s="1"/>
  <c r="H1283"/>
  <c r="L1283" s="1"/>
  <c r="H1293"/>
  <c r="L1293" s="1"/>
  <c r="H1304"/>
  <c r="L1304" s="1"/>
  <c r="H1315"/>
  <c r="L1315" s="1"/>
  <c r="H1325"/>
  <c r="L1325" s="1"/>
  <c r="H1336"/>
  <c r="L1336" s="1"/>
  <c r="H1347"/>
  <c r="L1347" s="1"/>
  <c r="H1357"/>
  <c r="L1357" s="1"/>
  <c r="H1368"/>
  <c r="L1368" s="1"/>
  <c r="H1379"/>
  <c r="L1379" s="1"/>
  <c r="H1389"/>
  <c r="L1389" s="1"/>
  <c r="H1400"/>
  <c r="L1400" s="1"/>
  <c r="H1411"/>
  <c r="L1411" s="1"/>
  <c r="H1421"/>
  <c r="L1421" s="1"/>
  <c r="H1432"/>
  <c r="L1432" s="1"/>
  <c r="H1440"/>
  <c r="L1440" s="1"/>
  <c r="H1448"/>
  <c r="L1448" s="1"/>
  <c r="H1456"/>
  <c r="L1456" s="1"/>
  <c r="H1464"/>
  <c r="L1464" s="1"/>
  <c r="H1472"/>
  <c r="L1472" s="1"/>
  <c r="H1480"/>
  <c r="L1480" s="1"/>
  <c r="H1488"/>
  <c r="L1488" s="1"/>
  <c r="H1496"/>
  <c r="L1496" s="1"/>
  <c r="H1504"/>
  <c r="L1504" s="1"/>
  <c r="H1512"/>
  <c r="L1512" s="1"/>
  <c r="H1520"/>
  <c r="L1520" s="1"/>
  <c r="H1528"/>
  <c r="L1528" s="1"/>
  <c r="H1536"/>
  <c r="L1536" s="1"/>
  <c r="H1544"/>
  <c r="L1544" s="1"/>
  <c r="H1552"/>
  <c r="L1552" s="1"/>
  <c r="H1560"/>
  <c r="L1560" s="1"/>
  <c r="H1568"/>
  <c r="L1568" s="1"/>
  <c r="H1576"/>
  <c r="L1576" s="1"/>
  <c r="H1584"/>
  <c r="L1584" s="1"/>
  <c r="H1592"/>
  <c r="L1592" s="1"/>
  <c r="H1600"/>
  <c r="L1600" s="1"/>
  <c r="H1608"/>
  <c r="L1608" s="1"/>
  <c r="H1616"/>
  <c r="L1616" s="1"/>
  <c r="H1624"/>
  <c r="L1624" s="1"/>
  <c r="H1632"/>
  <c r="L1632" s="1"/>
  <c r="H1640"/>
  <c r="L1640" s="1"/>
  <c r="H1648"/>
  <c r="L1648" s="1"/>
  <c r="H1656"/>
  <c r="L1656" s="1"/>
  <c r="H1664"/>
  <c r="L1664" s="1"/>
  <c r="H1672"/>
  <c r="L1672" s="1"/>
  <c r="H1680"/>
  <c r="L1680" s="1"/>
  <c r="H1688"/>
  <c r="L1688" s="1"/>
  <c r="H1696"/>
  <c r="L1696" s="1"/>
  <c r="H1704"/>
  <c r="L1704" s="1"/>
  <c r="H1712"/>
  <c r="L1712" s="1"/>
  <c r="H1720"/>
  <c r="L1720" s="1"/>
  <c r="H1728"/>
  <c r="L1728" s="1"/>
  <c r="H1736"/>
  <c r="L1736" s="1"/>
  <c r="H1744"/>
  <c r="L1744" s="1"/>
  <c r="H1752"/>
  <c r="L1752" s="1"/>
  <c r="H1760"/>
  <c r="L1760" s="1"/>
  <c r="H1768"/>
  <c r="L1768" s="1"/>
  <c r="H1776"/>
  <c r="L1776" s="1"/>
  <c r="H1784"/>
  <c r="L1784" s="1"/>
  <c r="H1792"/>
  <c r="L1792" s="1"/>
  <c r="H1800"/>
  <c r="L1800" s="1"/>
  <c r="H1808"/>
  <c r="L1808" s="1"/>
  <c r="H1816"/>
  <c r="L1816" s="1"/>
  <c r="H1824"/>
  <c r="L1824" s="1"/>
  <c r="H1832"/>
  <c r="L1832" s="1"/>
  <c r="H1840"/>
  <c r="L1840" s="1"/>
  <c r="H1848"/>
  <c r="L1848" s="1"/>
  <c r="H1856"/>
  <c r="L1856" s="1"/>
  <c r="H1864"/>
  <c r="L1864" s="1"/>
  <c r="H1872"/>
  <c r="L1872" s="1"/>
  <c r="H1880"/>
  <c r="L1880" s="1"/>
  <c r="H1888"/>
  <c r="L1888" s="1"/>
  <c r="H1896"/>
  <c r="L1896" s="1"/>
  <c r="H1904"/>
  <c r="L1904" s="1"/>
  <c r="H1912"/>
  <c r="L1912" s="1"/>
  <c r="H1920"/>
  <c r="L1920" s="1"/>
  <c r="H1928"/>
  <c r="L1928" s="1"/>
  <c r="H1936"/>
  <c r="L1936" s="1"/>
  <c r="H1944"/>
  <c r="L1944" s="1"/>
  <c r="H1952"/>
  <c r="L1952" s="1"/>
  <c r="H1960"/>
  <c r="L1960" s="1"/>
  <c r="H1968"/>
  <c r="L1968" s="1"/>
  <c r="H1976"/>
  <c r="L1976" s="1"/>
  <c r="H1984"/>
  <c r="L1984" s="1"/>
  <c r="H1992"/>
  <c r="L1992" s="1"/>
  <c r="H2000"/>
  <c r="L2000" s="1"/>
  <c r="H2008"/>
  <c r="L2008" s="1"/>
  <c r="H2016"/>
  <c r="L2016" s="1"/>
  <c r="H2024"/>
  <c r="L2024" s="1"/>
  <c r="H2032"/>
  <c r="L2032" s="1"/>
  <c r="H2040"/>
  <c r="L2040" s="1"/>
  <c r="H2048"/>
  <c r="L2048" s="1"/>
  <c r="H2056"/>
  <c r="L2056" s="1"/>
  <c r="H2064"/>
  <c r="L2064" s="1"/>
  <c r="H2072"/>
  <c r="L2072" s="1"/>
  <c r="H2080"/>
  <c r="L2080" s="1"/>
  <c r="H2088"/>
  <c r="L2088" s="1"/>
  <c r="H2096"/>
  <c r="L2096" s="1"/>
  <c r="H2104"/>
  <c r="L2104" s="1"/>
  <c r="H2112"/>
  <c r="L2112" s="1"/>
  <c r="H2120"/>
  <c r="L2120" s="1"/>
  <c r="H2128"/>
  <c r="L2128" s="1"/>
  <c r="H2136"/>
  <c r="L2136" s="1"/>
  <c r="H2144"/>
  <c r="L2144" s="1"/>
  <c r="H2152"/>
  <c r="L2152" s="1"/>
  <c r="H2160"/>
  <c r="L2160" s="1"/>
  <c r="H2168"/>
  <c r="L2168" s="1"/>
  <c r="H2176"/>
  <c r="L2176" s="1"/>
  <c r="H2184"/>
  <c r="L2184" s="1"/>
  <c r="H2192"/>
  <c r="L2192" s="1"/>
  <c r="H2200"/>
  <c r="L2200" s="1"/>
  <c r="H2208"/>
  <c r="L2208" s="1"/>
  <c r="H2216"/>
  <c r="L2216" s="1"/>
  <c r="H2224"/>
  <c r="L2224" s="1"/>
  <c r="H2232"/>
  <c r="L2232" s="1"/>
  <c r="H2240"/>
  <c r="L2240" s="1"/>
  <c r="H2248"/>
  <c r="L2248" s="1"/>
  <c r="H2256"/>
  <c r="L2256" s="1"/>
  <c r="H2264"/>
  <c r="L2264" s="1"/>
  <c r="H2272"/>
  <c r="L2272" s="1"/>
  <c r="H2280"/>
  <c r="L2280" s="1"/>
  <c r="H2288"/>
  <c r="L2288" s="1"/>
  <c r="H2296"/>
  <c r="L2296" s="1"/>
  <c r="H2304"/>
  <c r="L2304" s="1"/>
  <c r="H2312"/>
  <c r="L2312" s="1"/>
  <c r="H2320"/>
  <c r="L2320" s="1"/>
  <c r="H2328"/>
  <c r="L2328" s="1"/>
  <c r="H2336"/>
  <c r="L2336" s="1"/>
  <c r="H2344"/>
  <c r="L2344" s="1"/>
  <c r="H2352"/>
  <c r="L2352" s="1"/>
  <c r="H2360"/>
  <c r="L2360" s="1"/>
  <c r="H2368"/>
  <c r="L2368" s="1"/>
  <c r="H2376"/>
  <c r="L2376" s="1"/>
  <c r="H2384"/>
  <c r="L2384" s="1"/>
  <c r="H2392"/>
  <c r="L2392" s="1"/>
  <c r="H2400"/>
  <c r="L2400" s="1"/>
  <c r="H2408"/>
  <c r="L2408" s="1"/>
  <c r="H2416"/>
  <c r="L2416" s="1"/>
  <c r="H2424"/>
  <c r="L2424" s="1"/>
  <c r="H2432"/>
  <c r="L2432" s="1"/>
  <c r="H2440"/>
  <c r="L2440" s="1"/>
  <c r="H2448"/>
  <c r="L2448" s="1"/>
  <c r="H2456"/>
  <c r="L2456" s="1"/>
  <c r="H2464"/>
  <c r="L2464" s="1"/>
  <c r="H2472"/>
  <c r="L2472" s="1"/>
  <c r="H2480"/>
  <c r="L2480" s="1"/>
  <c r="H2488"/>
  <c r="L2488" s="1"/>
  <c r="H2496"/>
  <c r="L2496" s="1"/>
  <c r="H2504"/>
  <c r="L2504" s="1"/>
  <c r="H2512"/>
  <c r="L2512" s="1"/>
  <c r="H2520"/>
  <c r="L2520" s="1"/>
  <c r="H2528"/>
  <c r="L2528" s="1"/>
  <c r="H2536"/>
  <c r="L2536" s="1"/>
  <c r="H2544"/>
  <c r="L2544" s="1"/>
  <c r="H2552"/>
  <c r="L2552" s="1"/>
  <c r="H2560"/>
  <c r="L2560" s="1"/>
  <c r="H67"/>
  <c r="L67" s="1"/>
  <c r="H152"/>
  <c r="L152" s="1"/>
  <c r="H237"/>
  <c r="L237" s="1"/>
  <c r="H323"/>
  <c r="L323" s="1"/>
  <c r="H387"/>
  <c r="L387" s="1"/>
  <c r="H472"/>
  <c r="L472" s="1"/>
  <c r="H557"/>
  <c r="L557" s="1"/>
  <c r="H644"/>
  <c r="L644" s="1"/>
  <c r="H697"/>
  <c r="L697" s="1"/>
  <c r="H740"/>
  <c r="L740" s="1"/>
  <c r="H13"/>
  <c r="L13" s="1"/>
  <c r="H35"/>
  <c r="L35" s="1"/>
  <c r="H56"/>
  <c r="L56" s="1"/>
  <c r="H77"/>
  <c r="L77" s="1"/>
  <c r="H99"/>
  <c r="L99" s="1"/>
  <c r="H120"/>
  <c r="L120" s="1"/>
  <c r="H141"/>
  <c r="L141" s="1"/>
  <c r="H163"/>
  <c r="L163" s="1"/>
  <c r="H184"/>
  <c r="L184" s="1"/>
  <c r="H205"/>
  <c r="L205" s="1"/>
  <c r="H227"/>
  <c r="L227" s="1"/>
  <c r="H248"/>
  <c r="L248" s="1"/>
  <c r="H269"/>
  <c r="L269" s="1"/>
  <c r="H291"/>
  <c r="L291" s="1"/>
  <c r="H312"/>
  <c r="L312" s="1"/>
  <c r="H333"/>
  <c r="L333" s="1"/>
  <c r="H355"/>
  <c r="L355" s="1"/>
  <c r="H376"/>
  <c r="L376" s="1"/>
  <c r="H397"/>
  <c r="L397" s="1"/>
  <c r="H419"/>
  <c r="L419" s="1"/>
  <c r="H440"/>
  <c r="L440" s="1"/>
  <c r="H461"/>
  <c r="L461" s="1"/>
  <c r="H483"/>
  <c r="L483" s="1"/>
  <c r="H504"/>
  <c r="L504" s="1"/>
  <c r="H525"/>
  <c r="L525" s="1"/>
  <c r="H547"/>
  <c r="L547" s="1"/>
  <c r="H568"/>
  <c r="L568" s="1"/>
  <c r="H589"/>
  <c r="L589" s="1"/>
  <c r="H611"/>
  <c r="L611" s="1"/>
  <c r="H628"/>
  <c r="L628" s="1"/>
  <c r="H639"/>
  <c r="L639" s="1"/>
  <c r="H649"/>
  <c r="L649" s="1"/>
  <c r="H660"/>
  <c r="L660" s="1"/>
  <c r="H671"/>
  <c r="L671" s="1"/>
  <c r="H681"/>
  <c r="L681" s="1"/>
  <c r="H692"/>
  <c r="L692" s="1"/>
  <c r="H703"/>
  <c r="L703" s="1"/>
  <c r="H713"/>
  <c r="L713" s="1"/>
  <c r="H724"/>
  <c r="L724" s="1"/>
  <c r="H735"/>
  <c r="L735" s="1"/>
  <c r="H745"/>
  <c r="L745" s="1"/>
  <c r="H756"/>
  <c r="L756" s="1"/>
  <c r="H767"/>
  <c r="L767" s="1"/>
  <c r="H777"/>
  <c r="L777" s="1"/>
  <c r="H788"/>
  <c r="L788" s="1"/>
  <c r="H799"/>
  <c r="L799" s="1"/>
  <c r="H809"/>
  <c r="L809" s="1"/>
  <c r="H820"/>
  <c r="L820" s="1"/>
  <c r="H831"/>
  <c r="L831" s="1"/>
  <c r="H841"/>
  <c r="L841" s="1"/>
  <c r="H852"/>
  <c r="L852" s="1"/>
  <c r="H863"/>
  <c r="L863" s="1"/>
  <c r="H873"/>
  <c r="L873" s="1"/>
  <c r="H884"/>
  <c r="L884" s="1"/>
  <c r="H895"/>
  <c r="L895" s="1"/>
  <c r="H905"/>
  <c r="L905" s="1"/>
  <c r="H916"/>
  <c r="L916" s="1"/>
  <c r="H927"/>
  <c r="L927" s="1"/>
  <c r="H937"/>
  <c r="L937" s="1"/>
  <c r="H948"/>
  <c r="L948" s="1"/>
  <c r="H959"/>
  <c r="L959" s="1"/>
  <c r="H969"/>
  <c r="L969" s="1"/>
  <c r="H980"/>
  <c r="L980" s="1"/>
  <c r="H991"/>
  <c r="L991" s="1"/>
  <c r="H1001"/>
  <c r="L1001" s="1"/>
  <c r="H1012"/>
  <c r="L1012" s="1"/>
  <c r="H1023"/>
  <c r="L1023" s="1"/>
  <c r="H1033"/>
  <c r="L1033" s="1"/>
  <c r="H1044"/>
  <c r="L1044" s="1"/>
  <c r="H1055"/>
  <c r="L1055" s="1"/>
  <c r="H1065"/>
  <c r="L1065" s="1"/>
  <c r="H1076"/>
  <c r="L1076" s="1"/>
  <c r="H1087"/>
  <c r="L1087" s="1"/>
  <c r="H1097"/>
  <c r="L1097" s="1"/>
  <c r="H1108"/>
  <c r="L1108" s="1"/>
  <c r="H1119"/>
  <c r="L1119" s="1"/>
  <c r="H1129"/>
  <c r="L1129" s="1"/>
  <c r="H1140"/>
  <c r="L1140" s="1"/>
  <c r="H1151"/>
  <c r="L1151" s="1"/>
  <c r="H1161"/>
  <c r="L1161" s="1"/>
  <c r="H1172"/>
  <c r="L1172" s="1"/>
  <c r="H1183"/>
  <c r="L1183" s="1"/>
  <c r="H1193"/>
  <c r="L1193" s="1"/>
  <c r="H1204"/>
  <c r="L1204" s="1"/>
  <c r="H1215"/>
  <c r="L1215" s="1"/>
  <c r="H1225"/>
  <c r="L1225" s="1"/>
  <c r="H1236"/>
  <c r="L1236" s="1"/>
  <c r="H1247"/>
  <c r="L1247" s="1"/>
  <c r="H1257"/>
  <c r="L1257" s="1"/>
  <c r="H1268"/>
  <c r="L1268" s="1"/>
  <c r="H1279"/>
  <c r="L1279" s="1"/>
  <c r="H1289"/>
  <c r="L1289" s="1"/>
  <c r="H1300"/>
  <c r="L1300" s="1"/>
  <c r="H1311"/>
  <c r="L1311" s="1"/>
  <c r="H1321"/>
  <c r="L1321" s="1"/>
  <c r="H1332"/>
  <c r="L1332" s="1"/>
  <c r="H1343"/>
  <c r="L1343" s="1"/>
  <c r="H1353"/>
  <c r="L1353" s="1"/>
  <c r="H1364"/>
  <c r="L1364" s="1"/>
  <c r="H1375"/>
  <c r="L1375" s="1"/>
  <c r="H1385"/>
  <c r="L1385" s="1"/>
  <c r="H1396"/>
  <c r="L1396" s="1"/>
  <c r="H1407"/>
  <c r="L1407" s="1"/>
  <c r="H1417"/>
  <c r="L1417" s="1"/>
  <c r="H1428"/>
  <c r="L1428" s="1"/>
  <c r="H1437"/>
  <c r="L1437" s="1"/>
  <c r="H1445"/>
  <c r="L1445" s="1"/>
  <c r="H1453"/>
  <c r="L1453" s="1"/>
  <c r="H1461"/>
  <c r="L1461" s="1"/>
  <c r="H1469"/>
  <c r="L1469" s="1"/>
  <c r="H1477"/>
  <c r="L1477" s="1"/>
  <c r="H1485"/>
  <c r="L1485" s="1"/>
  <c r="H1493"/>
  <c r="L1493" s="1"/>
  <c r="H1501"/>
  <c r="L1501" s="1"/>
  <c r="H1509"/>
  <c r="L1509" s="1"/>
  <c r="H1517"/>
  <c r="L1517" s="1"/>
  <c r="H1525"/>
  <c r="L1525" s="1"/>
  <c r="H1533"/>
  <c r="L1533" s="1"/>
  <c r="H1541"/>
  <c r="L1541" s="1"/>
  <c r="H1549"/>
  <c r="L1549" s="1"/>
  <c r="H1557"/>
  <c r="L1557" s="1"/>
  <c r="H1565"/>
  <c r="L1565" s="1"/>
  <c r="H1573"/>
  <c r="L1573" s="1"/>
  <c r="H1581"/>
  <c r="L1581" s="1"/>
  <c r="H1589"/>
  <c r="L1589" s="1"/>
  <c r="H1597"/>
  <c r="L1597" s="1"/>
  <c r="H1605"/>
  <c r="L1605" s="1"/>
  <c r="H1613"/>
  <c r="L1613" s="1"/>
  <c r="H1621"/>
  <c r="L1621" s="1"/>
  <c r="H1629"/>
  <c r="L1629" s="1"/>
  <c r="H1637"/>
  <c r="L1637" s="1"/>
  <c r="H1645"/>
  <c r="L1645" s="1"/>
  <c r="H1653"/>
  <c r="L1653" s="1"/>
  <c r="H1661"/>
  <c r="L1661" s="1"/>
  <c r="H1669"/>
  <c r="L1669" s="1"/>
  <c r="H1677"/>
  <c r="L1677" s="1"/>
  <c r="H1685"/>
  <c r="L1685" s="1"/>
  <c r="H1693"/>
  <c r="L1693" s="1"/>
  <c r="H1701"/>
  <c r="L1701" s="1"/>
  <c r="H1709"/>
  <c r="L1709" s="1"/>
  <c r="H1717"/>
  <c r="L1717" s="1"/>
  <c r="H1725"/>
  <c r="L1725" s="1"/>
  <c r="H1733"/>
  <c r="L1733" s="1"/>
  <c r="H1741"/>
  <c r="L1741" s="1"/>
  <c r="H1749"/>
  <c r="L1749" s="1"/>
  <c r="H1757"/>
  <c r="L1757" s="1"/>
  <c r="H1765"/>
  <c r="L1765" s="1"/>
  <c r="H1773"/>
  <c r="L1773" s="1"/>
  <c r="H1781"/>
  <c r="L1781" s="1"/>
  <c r="H1789"/>
  <c r="L1789" s="1"/>
  <c r="H1797"/>
  <c r="L1797" s="1"/>
  <c r="H1805"/>
  <c r="L1805" s="1"/>
  <c r="H1813"/>
  <c r="L1813" s="1"/>
  <c r="H1821"/>
  <c r="L1821" s="1"/>
  <c r="H1829"/>
  <c r="L1829" s="1"/>
  <c r="H1837"/>
  <c r="L1837" s="1"/>
  <c r="H1845"/>
  <c r="L1845" s="1"/>
  <c r="H1853"/>
  <c r="L1853" s="1"/>
  <c r="H1861"/>
  <c r="L1861" s="1"/>
  <c r="H1869"/>
  <c r="L1869" s="1"/>
  <c r="H1877"/>
  <c r="L1877" s="1"/>
  <c r="H1885"/>
  <c r="L1885" s="1"/>
  <c r="H1893"/>
  <c r="L1893" s="1"/>
  <c r="H1901"/>
  <c r="L1901" s="1"/>
  <c r="H1909"/>
  <c r="L1909" s="1"/>
  <c r="H1917"/>
  <c r="L1917" s="1"/>
  <c r="H1925"/>
  <c r="L1925" s="1"/>
  <c r="H1933"/>
  <c r="L1933" s="1"/>
  <c r="H1941"/>
  <c r="L1941" s="1"/>
  <c r="H1949"/>
  <c r="L1949" s="1"/>
  <c r="H1957"/>
  <c r="L1957" s="1"/>
  <c r="H1965"/>
  <c r="L1965" s="1"/>
  <c r="H1973"/>
  <c r="L1973" s="1"/>
  <c r="H1981"/>
  <c r="L1981" s="1"/>
  <c r="H1989"/>
  <c r="L1989" s="1"/>
  <c r="H1997"/>
  <c r="L1997" s="1"/>
  <c r="H2005"/>
  <c r="L2005" s="1"/>
  <c r="H2013"/>
  <c r="L2013" s="1"/>
  <c r="H2021"/>
  <c r="L2021" s="1"/>
  <c r="H2029"/>
  <c r="L2029" s="1"/>
  <c r="H2037"/>
  <c r="L2037" s="1"/>
  <c r="H2045"/>
  <c r="L2045" s="1"/>
  <c r="H2053"/>
  <c r="L2053" s="1"/>
  <c r="H2061"/>
  <c r="L2061" s="1"/>
  <c r="H2069"/>
  <c r="L2069" s="1"/>
  <c r="H2077"/>
  <c r="L2077" s="1"/>
  <c r="H2085"/>
  <c r="L2085" s="1"/>
  <c r="H2093"/>
  <c r="L2093" s="1"/>
  <c r="H2101"/>
  <c r="L2101" s="1"/>
  <c r="H2109"/>
  <c r="L2109" s="1"/>
  <c r="H2117"/>
  <c r="L2117" s="1"/>
  <c r="H2125"/>
  <c r="L2125" s="1"/>
  <c r="H2133"/>
  <c r="L2133" s="1"/>
  <c r="H2141"/>
  <c r="L2141" s="1"/>
  <c r="H2149"/>
  <c r="L2149" s="1"/>
  <c r="H2157"/>
  <c r="L2157" s="1"/>
  <c r="H2165"/>
  <c r="L2165" s="1"/>
  <c r="H2173"/>
  <c r="L2173" s="1"/>
  <c r="H2181"/>
  <c r="L2181" s="1"/>
  <c r="H2189"/>
  <c r="L2189" s="1"/>
  <c r="H2197"/>
  <c r="L2197" s="1"/>
  <c r="H2205"/>
  <c r="L2205" s="1"/>
  <c r="H2213"/>
  <c r="L2213" s="1"/>
  <c r="H2221"/>
  <c r="L2221" s="1"/>
  <c r="H2229"/>
  <c r="L2229" s="1"/>
  <c r="H2237"/>
  <c r="L2237" s="1"/>
  <c r="H2245"/>
  <c r="L2245" s="1"/>
  <c r="H2253"/>
  <c r="L2253" s="1"/>
  <c r="H2261"/>
  <c r="L2261" s="1"/>
  <c r="H2269"/>
  <c r="L2269" s="1"/>
  <c r="H2277"/>
  <c r="L2277" s="1"/>
  <c r="H2285"/>
  <c r="L2285" s="1"/>
  <c r="H2293"/>
  <c r="L2293" s="1"/>
  <c r="H2301"/>
  <c r="L2301" s="1"/>
  <c r="H2309"/>
  <c r="L2309" s="1"/>
  <c r="H2317"/>
  <c r="L2317" s="1"/>
  <c r="H2325"/>
  <c r="L2325" s="1"/>
  <c r="H2333"/>
  <c r="L2333" s="1"/>
  <c r="H2341"/>
  <c r="L2341" s="1"/>
  <c r="H2349"/>
  <c r="L2349" s="1"/>
  <c r="H2357"/>
  <c r="L2357" s="1"/>
  <c r="H2365"/>
  <c r="L2365" s="1"/>
  <c r="H2373"/>
  <c r="L2373" s="1"/>
  <c r="H2381"/>
  <c r="L2381" s="1"/>
  <c r="H2389"/>
  <c r="L2389" s="1"/>
  <c r="H2397"/>
  <c r="L2397" s="1"/>
  <c r="H2405"/>
  <c r="L2405" s="1"/>
  <c r="H2413"/>
  <c r="L2413" s="1"/>
  <c r="H2421"/>
  <c r="L2421" s="1"/>
  <c r="H2429"/>
  <c r="L2429" s="1"/>
  <c r="H2437"/>
  <c r="L2437" s="1"/>
  <c r="H2445"/>
  <c r="L2445" s="1"/>
  <c r="H2453"/>
  <c r="L2453" s="1"/>
  <c r="H2461"/>
  <c r="L2461" s="1"/>
  <c r="H2469"/>
  <c r="L2469" s="1"/>
  <c r="H2477"/>
  <c r="L2477" s="1"/>
  <c r="H2485"/>
  <c r="L2485" s="1"/>
  <c r="H2493"/>
  <c r="L2493" s="1"/>
  <c r="H2501"/>
  <c r="L2501" s="1"/>
  <c r="H2509"/>
  <c r="L2509" s="1"/>
  <c r="H2517"/>
  <c r="L2517" s="1"/>
  <c r="H2525"/>
  <c r="L2525" s="1"/>
  <c r="H2533"/>
  <c r="L2533" s="1"/>
  <c r="H2541"/>
  <c r="L2541" s="1"/>
  <c r="H2549"/>
  <c r="L2549" s="1"/>
  <c r="H2557"/>
  <c r="L2557" s="1"/>
  <c r="H24"/>
  <c r="L24" s="1"/>
  <c r="H109"/>
  <c r="L109" s="1"/>
  <c r="H216"/>
  <c r="L216" s="1"/>
  <c r="H301"/>
  <c r="L301" s="1"/>
  <c r="H408"/>
  <c r="L408" s="1"/>
  <c r="H493"/>
  <c r="L493" s="1"/>
  <c r="H600"/>
  <c r="L600" s="1"/>
  <c r="H655"/>
  <c r="L655" s="1"/>
  <c r="H687"/>
  <c r="L687" s="1"/>
  <c r="H729"/>
  <c r="L729" s="1"/>
  <c r="H8"/>
  <c r="L8" s="1"/>
  <c r="H29"/>
  <c r="L29" s="1"/>
  <c r="H51"/>
  <c r="L51" s="1"/>
  <c r="H72"/>
  <c r="L72" s="1"/>
  <c r="H93"/>
  <c r="L93" s="1"/>
  <c r="H115"/>
  <c r="L115" s="1"/>
  <c r="H136"/>
  <c r="L136" s="1"/>
  <c r="H157"/>
  <c r="L157" s="1"/>
  <c r="H179"/>
  <c r="L179" s="1"/>
  <c r="H200"/>
  <c r="L200" s="1"/>
  <c r="H221"/>
  <c r="L221" s="1"/>
  <c r="H243"/>
  <c r="L243" s="1"/>
  <c r="H264"/>
  <c r="L264" s="1"/>
  <c r="H285"/>
  <c r="L285" s="1"/>
  <c r="H307"/>
  <c r="L307" s="1"/>
  <c r="H328"/>
  <c r="L328" s="1"/>
  <c r="H349"/>
  <c r="L349" s="1"/>
  <c r="H371"/>
  <c r="L371" s="1"/>
  <c r="H392"/>
  <c r="L392" s="1"/>
  <c r="H413"/>
  <c r="L413" s="1"/>
  <c r="H435"/>
  <c r="L435" s="1"/>
  <c r="H456"/>
  <c r="L456" s="1"/>
  <c r="H477"/>
  <c r="L477" s="1"/>
  <c r="H499"/>
  <c r="L499" s="1"/>
  <c r="H520"/>
  <c r="L520" s="1"/>
  <c r="H541"/>
  <c r="L541" s="1"/>
  <c r="H563"/>
  <c r="L563" s="1"/>
  <c r="H584"/>
  <c r="L584" s="1"/>
  <c r="H605"/>
  <c r="L605" s="1"/>
  <c r="H627"/>
  <c r="L627" s="1"/>
  <c r="H637"/>
  <c r="L637" s="1"/>
  <c r="H648"/>
  <c r="L648" s="1"/>
  <c r="H659"/>
  <c r="L659" s="1"/>
  <c r="H669"/>
  <c r="L669" s="1"/>
  <c r="H680"/>
  <c r="L680" s="1"/>
  <c r="H691"/>
  <c r="L691" s="1"/>
  <c r="H701"/>
  <c r="L701" s="1"/>
  <c r="H712"/>
  <c r="L712" s="1"/>
  <c r="H723"/>
  <c r="L723" s="1"/>
  <c r="H733"/>
  <c r="L733" s="1"/>
  <c r="H744"/>
  <c r="L744" s="1"/>
  <c r="H755"/>
  <c r="L755" s="1"/>
  <c r="H765"/>
  <c r="L765" s="1"/>
  <c r="H776"/>
  <c r="L776" s="1"/>
  <c r="H787"/>
  <c r="L787" s="1"/>
  <c r="H797"/>
  <c r="L797" s="1"/>
  <c r="H808"/>
  <c r="L808" s="1"/>
  <c r="H819"/>
  <c r="L819" s="1"/>
  <c r="H829"/>
  <c r="L829" s="1"/>
  <c r="H840"/>
  <c r="L840" s="1"/>
  <c r="H851"/>
  <c r="L851" s="1"/>
  <c r="H861"/>
  <c r="L861" s="1"/>
  <c r="H872"/>
  <c r="L872" s="1"/>
  <c r="H883"/>
  <c r="L883" s="1"/>
  <c r="H893"/>
  <c r="L893" s="1"/>
  <c r="H904"/>
  <c r="L904" s="1"/>
  <c r="H915"/>
  <c r="L915" s="1"/>
  <c r="H925"/>
  <c r="L925" s="1"/>
  <c r="H936"/>
  <c r="L936" s="1"/>
  <c r="H947"/>
  <c r="L947" s="1"/>
  <c r="H957"/>
  <c r="L957" s="1"/>
  <c r="H968"/>
  <c r="L968" s="1"/>
  <c r="H979"/>
  <c r="L979" s="1"/>
  <c r="H989"/>
  <c r="L989" s="1"/>
  <c r="H1000"/>
  <c r="L1000" s="1"/>
  <c r="H1011"/>
  <c r="L1011" s="1"/>
  <c r="H1021"/>
  <c r="L1021" s="1"/>
  <c r="H1032"/>
  <c r="L1032" s="1"/>
  <c r="H1043"/>
  <c r="L1043" s="1"/>
  <c r="H1053"/>
  <c r="L1053" s="1"/>
  <c r="H1064"/>
  <c r="L1064" s="1"/>
  <c r="H1075"/>
  <c r="L1075" s="1"/>
  <c r="H1085"/>
  <c r="L1085" s="1"/>
  <c r="H1096"/>
  <c r="L1096" s="1"/>
  <c r="H1107"/>
  <c r="L1107" s="1"/>
  <c r="H1117"/>
  <c r="L1117" s="1"/>
  <c r="H1128"/>
  <c r="L1128" s="1"/>
  <c r="H1139"/>
  <c r="L1139" s="1"/>
  <c r="H1149"/>
  <c r="L1149" s="1"/>
  <c r="H1160"/>
  <c r="L1160" s="1"/>
  <c r="H1171"/>
  <c r="L1171" s="1"/>
  <c r="H1181"/>
  <c r="L1181" s="1"/>
  <c r="H1192"/>
  <c r="L1192" s="1"/>
  <c r="H1203"/>
  <c r="L1203" s="1"/>
  <c r="H1213"/>
  <c r="L1213" s="1"/>
  <c r="H1224"/>
  <c r="L1224" s="1"/>
  <c r="H1235"/>
  <c r="L1235" s="1"/>
  <c r="H1245"/>
  <c r="L1245" s="1"/>
  <c r="H1256"/>
  <c r="L1256" s="1"/>
  <c r="H1267"/>
  <c r="L1267" s="1"/>
  <c r="H1277"/>
  <c r="L1277" s="1"/>
  <c r="H1288"/>
  <c r="L1288" s="1"/>
  <c r="H1299"/>
  <c r="L1299" s="1"/>
  <c r="H1309"/>
  <c r="L1309" s="1"/>
  <c r="H1320"/>
  <c r="L1320" s="1"/>
  <c r="H1331"/>
  <c r="L1331" s="1"/>
  <c r="H1341"/>
  <c r="L1341" s="1"/>
  <c r="H1352"/>
  <c r="L1352" s="1"/>
  <c r="H1363"/>
  <c r="L1363" s="1"/>
  <c r="H1373"/>
  <c r="L1373" s="1"/>
  <c r="H1384"/>
  <c r="L1384" s="1"/>
  <c r="H1395"/>
  <c r="L1395" s="1"/>
  <c r="H1405"/>
  <c r="L1405" s="1"/>
  <c r="H1416"/>
  <c r="L1416" s="1"/>
  <c r="H1427"/>
  <c r="L1427" s="1"/>
  <c r="H1436"/>
  <c r="L1436" s="1"/>
  <c r="H1444"/>
  <c r="L1444" s="1"/>
  <c r="H1452"/>
  <c r="L1452" s="1"/>
  <c r="H1460"/>
  <c r="L1460" s="1"/>
  <c r="H1468"/>
  <c r="L1468" s="1"/>
  <c r="H1476"/>
  <c r="L1476" s="1"/>
  <c r="H1484"/>
  <c r="L1484" s="1"/>
  <c r="H1492"/>
  <c r="L1492" s="1"/>
  <c r="H1500"/>
  <c r="L1500" s="1"/>
  <c r="H1508"/>
  <c r="L1508" s="1"/>
  <c r="H1516"/>
  <c r="L1516" s="1"/>
  <c r="H1524"/>
  <c r="L1524" s="1"/>
  <c r="H1532"/>
  <c r="L1532" s="1"/>
  <c r="H1540"/>
  <c r="L1540" s="1"/>
  <c r="H1548"/>
  <c r="L1548" s="1"/>
  <c r="H1556"/>
  <c r="L1556" s="1"/>
  <c r="H1564"/>
  <c r="L1564" s="1"/>
  <c r="H1572"/>
  <c r="L1572" s="1"/>
  <c r="H1580"/>
  <c r="L1580" s="1"/>
  <c r="H1588"/>
  <c r="L1588" s="1"/>
  <c r="H1596"/>
  <c r="L1596" s="1"/>
  <c r="H1604"/>
  <c r="L1604" s="1"/>
  <c r="H1612"/>
  <c r="L1612" s="1"/>
  <c r="H1620"/>
  <c r="L1620" s="1"/>
  <c r="H1628"/>
  <c r="L1628" s="1"/>
  <c r="H1636"/>
  <c r="L1636" s="1"/>
  <c r="H1644"/>
  <c r="L1644" s="1"/>
  <c r="H1652"/>
  <c r="L1652" s="1"/>
  <c r="H1660"/>
  <c r="L1660" s="1"/>
  <c r="H1668"/>
  <c r="L1668" s="1"/>
  <c r="H1676"/>
  <c r="L1676" s="1"/>
  <c r="H1684"/>
  <c r="L1684" s="1"/>
  <c r="H1692"/>
  <c r="L1692" s="1"/>
  <c r="H1700"/>
  <c r="L1700" s="1"/>
  <c r="H1708"/>
  <c r="L1708" s="1"/>
  <c r="H1716"/>
  <c r="L1716" s="1"/>
  <c r="H1724"/>
  <c r="L1724" s="1"/>
  <c r="H1732"/>
  <c r="L1732" s="1"/>
  <c r="H1740"/>
  <c r="L1740" s="1"/>
  <c r="H1748"/>
  <c r="L1748" s="1"/>
  <c r="H1756"/>
  <c r="L1756" s="1"/>
  <c r="H1764"/>
  <c r="L1764" s="1"/>
  <c r="H1772"/>
  <c r="L1772" s="1"/>
  <c r="H1780"/>
  <c r="L1780" s="1"/>
  <c r="H1788"/>
  <c r="L1788" s="1"/>
  <c r="H1796"/>
  <c r="L1796" s="1"/>
  <c r="H1804"/>
  <c r="L1804" s="1"/>
  <c r="H1812"/>
  <c r="L1812" s="1"/>
  <c r="H1820"/>
  <c r="L1820" s="1"/>
  <c r="H1828"/>
  <c r="L1828" s="1"/>
  <c r="H1836"/>
  <c r="L1836" s="1"/>
  <c r="H1844"/>
  <c r="L1844" s="1"/>
  <c r="H1852"/>
  <c r="L1852" s="1"/>
  <c r="H1860"/>
  <c r="L1860" s="1"/>
  <c r="H1868"/>
  <c r="L1868" s="1"/>
  <c r="H1876"/>
  <c r="L1876" s="1"/>
  <c r="H1884"/>
  <c r="L1884" s="1"/>
  <c r="H1892"/>
  <c r="L1892" s="1"/>
  <c r="H1900"/>
  <c r="L1900" s="1"/>
  <c r="H1908"/>
  <c r="L1908" s="1"/>
  <c r="H1916"/>
  <c r="L1916" s="1"/>
  <c r="H1924"/>
  <c r="L1924" s="1"/>
  <c r="H1932"/>
  <c r="L1932" s="1"/>
  <c r="H1940"/>
  <c r="L1940" s="1"/>
  <c r="H1948"/>
  <c r="L1948" s="1"/>
  <c r="H1956"/>
  <c r="L1956" s="1"/>
  <c r="H1964"/>
  <c r="L1964" s="1"/>
  <c r="H1972"/>
  <c r="L1972" s="1"/>
  <c r="H1980"/>
  <c r="L1980" s="1"/>
  <c r="H1988"/>
  <c r="L1988" s="1"/>
  <c r="H1996"/>
  <c r="L1996" s="1"/>
  <c r="H2004"/>
  <c r="L2004" s="1"/>
  <c r="H2012"/>
  <c r="L2012" s="1"/>
  <c r="H2020"/>
  <c r="L2020" s="1"/>
  <c r="H2028"/>
  <c r="L2028" s="1"/>
  <c r="H2036"/>
  <c r="L2036" s="1"/>
  <c r="H2044"/>
  <c r="L2044" s="1"/>
  <c r="H2052"/>
  <c r="L2052" s="1"/>
  <c r="H2060"/>
  <c r="L2060" s="1"/>
  <c r="H2068"/>
  <c r="L2068" s="1"/>
  <c r="H2076"/>
  <c r="L2076" s="1"/>
  <c r="H2084"/>
  <c r="L2084" s="1"/>
  <c r="H2092"/>
  <c r="L2092" s="1"/>
  <c r="H2100"/>
  <c r="L2100" s="1"/>
  <c r="H2108"/>
  <c r="L2108" s="1"/>
  <c r="H2116"/>
  <c r="L2116" s="1"/>
  <c r="H2124"/>
  <c r="L2124" s="1"/>
  <c r="H2132"/>
  <c r="L2132" s="1"/>
  <c r="H2140"/>
  <c r="L2140" s="1"/>
  <c r="H2148"/>
  <c r="L2148" s="1"/>
  <c r="H2156"/>
  <c r="L2156" s="1"/>
  <c r="H2164"/>
  <c r="L2164" s="1"/>
  <c r="H2172"/>
  <c r="L2172" s="1"/>
  <c r="H2180"/>
  <c r="L2180" s="1"/>
  <c r="H2188"/>
  <c r="L2188" s="1"/>
  <c r="H2196"/>
  <c r="L2196" s="1"/>
  <c r="H2204"/>
  <c r="L2204" s="1"/>
  <c r="H2212"/>
  <c r="L2212" s="1"/>
  <c r="H2220"/>
  <c r="L2220" s="1"/>
  <c r="H2228"/>
  <c r="L2228" s="1"/>
  <c r="H2236"/>
  <c r="L2236" s="1"/>
  <c r="H2244"/>
  <c r="L2244" s="1"/>
  <c r="H2252"/>
  <c r="L2252" s="1"/>
  <c r="H2260"/>
  <c r="L2260" s="1"/>
  <c r="H2268"/>
  <c r="L2268" s="1"/>
  <c r="H2276"/>
  <c r="L2276" s="1"/>
  <c r="H2284"/>
  <c r="L2284" s="1"/>
  <c r="H2292"/>
  <c r="L2292" s="1"/>
  <c r="H2300"/>
  <c r="L2300" s="1"/>
  <c r="H2308"/>
  <c r="L2308" s="1"/>
  <c r="H2316"/>
  <c r="L2316" s="1"/>
  <c r="H2324"/>
  <c r="L2324" s="1"/>
  <c r="H2332"/>
  <c r="L2332" s="1"/>
  <c r="H2340"/>
  <c r="L2340" s="1"/>
  <c r="H2348"/>
  <c r="L2348" s="1"/>
  <c r="H2356"/>
  <c r="L2356" s="1"/>
  <c r="H2364"/>
  <c r="L2364" s="1"/>
  <c r="H2372"/>
  <c r="L2372" s="1"/>
  <c r="H2380"/>
  <c r="L2380" s="1"/>
  <c r="H2388"/>
  <c r="L2388" s="1"/>
  <c r="H2396"/>
  <c r="L2396" s="1"/>
  <c r="H2404"/>
  <c r="L2404" s="1"/>
  <c r="H2412"/>
  <c r="L2412" s="1"/>
  <c r="H2420"/>
  <c r="L2420" s="1"/>
  <c r="H2428"/>
  <c r="L2428" s="1"/>
  <c r="H2436"/>
  <c r="L2436" s="1"/>
  <c r="H2444"/>
  <c r="L2444" s="1"/>
  <c r="H2452"/>
  <c r="L2452" s="1"/>
  <c r="H2460"/>
  <c r="L2460" s="1"/>
  <c r="H2468"/>
  <c r="L2468" s="1"/>
  <c r="H2476"/>
  <c r="L2476" s="1"/>
  <c r="H2484"/>
  <c r="L2484" s="1"/>
  <c r="H2492"/>
  <c r="L2492" s="1"/>
  <c r="H2500"/>
  <c r="L2500" s="1"/>
  <c r="H2508"/>
  <c r="L2508" s="1"/>
  <c r="H2516"/>
  <c r="L2516" s="1"/>
  <c r="H2524"/>
  <c r="L2524" s="1"/>
  <c r="H2532"/>
  <c r="L2532" s="1"/>
  <c r="H2540"/>
  <c r="L2540" s="1"/>
  <c r="H2548"/>
  <c r="L2548" s="1"/>
  <c r="H2556"/>
  <c r="L2556" s="1"/>
  <c r="H3"/>
  <c r="L3" s="1"/>
  <c r="H45"/>
  <c r="L45" s="1"/>
  <c r="H88"/>
  <c r="L88" s="1"/>
  <c r="H131"/>
  <c r="L131" s="1"/>
  <c r="H173"/>
  <c r="L173" s="1"/>
  <c r="H195"/>
  <c r="L195" s="1"/>
  <c r="H259"/>
  <c r="L259" s="1"/>
  <c r="H280"/>
  <c r="L280" s="1"/>
  <c r="H344"/>
  <c r="L344" s="1"/>
  <c r="H365"/>
  <c r="L365" s="1"/>
  <c r="H429"/>
  <c r="L429" s="1"/>
  <c r="H451"/>
  <c r="L451" s="1"/>
  <c r="H515"/>
  <c r="L515" s="1"/>
  <c r="H536"/>
  <c r="L536" s="1"/>
  <c r="H579"/>
  <c r="L579" s="1"/>
  <c r="H621"/>
  <c r="L621" s="1"/>
  <c r="H633"/>
  <c r="L633" s="1"/>
  <c r="H665"/>
  <c r="L665" s="1"/>
  <c r="H676"/>
  <c r="L676" s="1"/>
  <c r="H708"/>
  <c r="L708" s="1"/>
  <c r="H719"/>
  <c r="L719" s="1"/>
  <c r="H751"/>
  <c r="L751" s="1"/>
  <c r="H761"/>
  <c r="L761" s="1"/>
  <c r="H793"/>
  <c r="L793" s="1"/>
  <c r="H815"/>
  <c r="L815" s="1"/>
  <c r="H857"/>
  <c r="L857" s="1"/>
  <c r="H900"/>
  <c r="L900" s="1"/>
  <c r="H943"/>
  <c r="L943" s="1"/>
  <c r="H985"/>
  <c r="L985" s="1"/>
  <c r="H1028"/>
  <c r="L1028" s="1"/>
  <c r="H1071"/>
  <c r="L1071" s="1"/>
  <c r="H1113"/>
  <c r="L1113" s="1"/>
  <c r="H1156"/>
  <c r="L1156" s="1"/>
  <c r="H1199"/>
  <c r="L1199" s="1"/>
  <c r="H1241"/>
  <c r="L1241" s="1"/>
  <c r="H1284"/>
  <c r="L1284" s="1"/>
  <c r="H1327"/>
  <c r="L1327" s="1"/>
  <c r="H1369"/>
  <c r="L1369" s="1"/>
  <c r="H1412"/>
  <c r="L1412" s="1"/>
  <c r="H1449"/>
  <c r="L1449" s="1"/>
  <c r="H1481"/>
  <c r="L1481" s="1"/>
  <c r="H1513"/>
  <c r="L1513" s="1"/>
  <c r="H1545"/>
  <c r="L1545" s="1"/>
  <c r="H1577"/>
  <c r="L1577" s="1"/>
  <c r="H1609"/>
  <c r="L1609" s="1"/>
  <c r="H1641"/>
  <c r="L1641" s="1"/>
  <c r="H1673"/>
  <c r="L1673" s="1"/>
  <c r="H1705"/>
  <c r="L1705" s="1"/>
  <c r="H1737"/>
  <c r="L1737" s="1"/>
  <c r="H1769"/>
  <c r="L1769" s="1"/>
  <c r="H1801"/>
  <c r="L1801" s="1"/>
  <c r="H1833"/>
  <c r="L1833" s="1"/>
  <c r="H1865"/>
  <c r="L1865" s="1"/>
  <c r="H1897"/>
  <c r="L1897" s="1"/>
  <c r="H1929"/>
  <c r="L1929" s="1"/>
  <c r="H1961"/>
  <c r="L1961" s="1"/>
  <c r="H1993"/>
  <c r="L1993" s="1"/>
  <c r="H2025"/>
  <c r="L2025" s="1"/>
  <c r="H2057"/>
  <c r="L2057" s="1"/>
  <c r="H2089"/>
  <c r="L2089" s="1"/>
  <c r="H2121"/>
  <c r="L2121" s="1"/>
  <c r="H2153"/>
  <c r="L2153" s="1"/>
  <c r="H2185"/>
  <c r="L2185" s="1"/>
  <c r="H2217"/>
  <c r="L2217" s="1"/>
  <c r="H2249"/>
  <c r="L2249" s="1"/>
  <c r="H2281"/>
  <c r="L2281" s="1"/>
  <c r="H2313"/>
  <c r="L2313" s="1"/>
  <c r="H2345"/>
  <c r="L2345" s="1"/>
  <c r="H2377"/>
  <c r="L2377" s="1"/>
  <c r="H2409"/>
  <c r="L2409" s="1"/>
  <c r="H2441"/>
  <c r="L2441" s="1"/>
  <c r="H2473"/>
  <c r="L2473" s="1"/>
  <c r="H2505"/>
  <c r="L2505" s="1"/>
  <c r="H2537"/>
  <c r="L2537" s="1"/>
  <c r="H868"/>
  <c r="L868" s="1"/>
  <c r="H1745"/>
  <c r="L1745" s="1"/>
  <c r="H1905"/>
  <c r="L1905" s="1"/>
  <c r="H2065"/>
  <c r="L2065" s="1"/>
  <c r="H2193"/>
  <c r="L2193" s="1"/>
  <c r="H2321"/>
  <c r="L2321" s="1"/>
  <c r="H2449"/>
  <c r="L2449" s="1"/>
  <c r="H804"/>
  <c r="L804" s="1"/>
  <c r="H847"/>
  <c r="L847" s="1"/>
  <c r="H889"/>
  <c r="L889" s="1"/>
  <c r="H932"/>
  <c r="L932" s="1"/>
  <c r="H975"/>
  <c r="L975" s="1"/>
  <c r="H1017"/>
  <c r="L1017" s="1"/>
  <c r="H1060"/>
  <c r="L1060" s="1"/>
  <c r="H1103"/>
  <c r="L1103" s="1"/>
  <c r="H1145"/>
  <c r="L1145" s="1"/>
  <c r="H1188"/>
  <c r="L1188" s="1"/>
  <c r="H1231"/>
  <c r="L1231" s="1"/>
  <c r="H1273"/>
  <c r="L1273" s="1"/>
  <c r="H1316"/>
  <c r="L1316" s="1"/>
  <c r="H1359"/>
  <c r="L1359" s="1"/>
  <c r="H1401"/>
  <c r="L1401" s="1"/>
  <c r="H1441"/>
  <c r="L1441" s="1"/>
  <c r="H1473"/>
  <c r="L1473" s="1"/>
  <c r="H1505"/>
  <c r="L1505" s="1"/>
  <c r="H1537"/>
  <c r="L1537" s="1"/>
  <c r="H1569"/>
  <c r="L1569" s="1"/>
  <c r="H1601"/>
  <c r="L1601" s="1"/>
  <c r="H1633"/>
  <c r="L1633" s="1"/>
  <c r="H1665"/>
  <c r="L1665" s="1"/>
  <c r="H1697"/>
  <c r="L1697" s="1"/>
  <c r="H1729"/>
  <c r="L1729" s="1"/>
  <c r="H1761"/>
  <c r="L1761" s="1"/>
  <c r="H1793"/>
  <c r="L1793" s="1"/>
  <c r="H1825"/>
  <c r="L1825" s="1"/>
  <c r="H1857"/>
  <c r="L1857" s="1"/>
  <c r="H1889"/>
  <c r="L1889" s="1"/>
  <c r="H1921"/>
  <c r="L1921" s="1"/>
  <c r="H1953"/>
  <c r="L1953" s="1"/>
  <c r="H1985"/>
  <c r="L1985" s="1"/>
  <c r="H2017"/>
  <c r="L2017" s="1"/>
  <c r="H2049"/>
  <c r="L2049" s="1"/>
  <c r="H2081"/>
  <c r="L2081" s="1"/>
  <c r="H2113"/>
  <c r="L2113" s="1"/>
  <c r="H2145"/>
  <c r="L2145" s="1"/>
  <c r="H2177"/>
  <c r="L2177" s="1"/>
  <c r="H2209"/>
  <c r="L2209" s="1"/>
  <c r="H2241"/>
  <c r="L2241" s="1"/>
  <c r="H2273"/>
  <c r="L2273" s="1"/>
  <c r="H2305"/>
  <c r="L2305" s="1"/>
  <c r="H2337"/>
  <c r="L2337" s="1"/>
  <c r="H2369"/>
  <c r="L2369" s="1"/>
  <c r="H2401"/>
  <c r="L2401" s="1"/>
  <c r="H2433"/>
  <c r="L2433" s="1"/>
  <c r="H2465"/>
  <c r="L2465" s="1"/>
  <c r="H2497"/>
  <c r="L2497" s="1"/>
  <c r="H2529"/>
  <c r="L2529" s="1"/>
  <c r="H2561"/>
  <c r="L2561" s="1"/>
  <c r="H1521"/>
  <c r="L1521" s="1"/>
  <c r="H1713"/>
  <c r="L1713" s="1"/>
  <c r="H1873"/>
  <c r="L1873" s="1"/>
  <c r="H2033"/>
  <c r="L2033" s="1"/>
  <c r="H2161"/>
  <c r="L2161" s="1"/>
  <c r="H2289"/>
  <c r="L2289" s="1"/>
  <c r="H2417"/>
  <c r="L2417" s="1"/>
  <c r="H2545"/>
  <c r="L2545" s="1"/>
  <c r="H783"/>
  <c r="L783" s="1"/>
  <c r="H836"/>
  <c r="L836" s="1"/>
  <c r="H879"/>
  <c r="L879" s="1"/>
  <c r="H921"/>
  <c r="L921" s="1"/>
  <c r="H964"/>
  <c r="L964" s="1"/>
  <c r="H1007"/>
  <c r="L1007" s="1"/>
  <c r="H1049"/>
  <c r="L1049" s="1"/>
  <c r="H1092"/>
  <c r="L1092" s="1"/>
  <c r="H1135"/>
  <c r="L1135" s="1"/>
  <c r="H1177"/>
  <c r="L1177" s="1"/>
  <c r="H1220"/>
  <c r="L1220" s="1"/>
  <c r="H1263"/>
  <c r="L1263" s="1"/>
  <c r="H1305"/>
  <c r="L1305" s="1"/>
  <c r="H1348"/>
  <c r="L1348" s="1"/>
  <c r="H1391"/>
  <c r="L1391" s="1"/>
  <c r="H1433"/>
  <c r="L1433" s="1"/>
  <c r="H1465"/>
  <c r="L1465" s="1"/>
  <c r="H1497"/>
  <c r="L1497" s="1"/>
  <c r="H1529"/>
  <c r="L1529" s="1"/>
  <c r="H1561"/>
  <c r="L1561" s="1"/>
  <c r="H1593"/>
  <c r="L1593" s="1"/>
  <c r="H1625"/>
  <c r="L1625" s="1"/>
  <c r="H1657"/>
  <c r="L1657" s="1"/>
  <c r="H1689"/>
  <c r="L1689" s="1"/>
  <c r="H1721"/>
  <c r="L1721" s="1"/>
  <c r="H1753"/>
  <c r="L1753" s="1"/>
  <c r="H1785"/>
  <c r="L1785" s="1"/>
  <c r="H1817"/>
  <c r="L1817" s="1"/>
  <c r="H1849"/>
  <c r="L1849" s="1"/>
  <c r="H1881"/>
  <c r="L1881" s="1"/>
  <c r="H1913"/>
  <c r="L1913" s="1"/>
  <c r="H1945"/>
  <c r="L1945" s="1"/>
  <c r="H1977"/>
  <c r="L1977" s="1"/>
  <c r="H2009"/>
  <c r="L2009" s="1"/>
  <c r="H2041"/>
  <c r="L2041" s="1"/>
  <c r="H2073"/>
  <c r="L2073" s="1"/>
  <c r="H2105"/>
  <c r="L2105" s="1"/>
  <c r="H2137"/>
  <c r="L2137" s="1"/>
  <c r="H2169"/>
  <c r="L2169" s="1"/>
  <c r="H2201"/>
  <c r="L2201" s="1"/>
  <c r="H2233"/>
  <c r="L2233" s="1"/>
  <c r="H2265"/>
  <c r="L2265" s="1"/>
  <c r="H2297"/>
  <c r="L2297" s="1"/>
  <c r="H2329"/>
  <c r="L2329" s="1"/>
  <c r="H2361"/>
  <c r="L2361" s="1"/>
  <c r="H2393"/>
  <c r="L2393" s="1"/>
  <c r="H2425"/>
  <c r="L2425" s="1"/>
  <c r="H2457"/>
  <c r="L2457" s="1"/>
  <c r="H2489"/>
  <c r="L2489" s="1"/>
  <c r="H2521"/>
  <c r="L2521" s="1"/>
  <c r="H2553"/>
  <c r="L2553" s="1"/>
  <c r="H772"/>
  <c r="L772" s="1"/>
  <c r="H825"/>
  <c r="L825" s="1"/>
  <c r="H911"/>
  <c r="L911" s="1"/>
  <c r="H953"/>
  <c r="L953" s="1"/>
  <c r="H996"/>
  <c r="L996" s="1"/>
  <c r="H1039"/>
  <c r="L1039" s="1"/>
  <c r="H1081"/>
  <c r="L1081" s="1"/>
  <c r="H1124"/>
  <c r="L1124" s="1"/>
  <c r="H1167"/>
  <c r="L1167" s="1"/>
  <c r="H1209"/>
  <c r="L1209" s="1"/>
  <c r="H1252"/>
  <c r="L1252" s="1"/>
  <c r="H1295"/>
  <c r="L1295" s="1"/>
  <c r="H1337"/>
  <c r="L1337" s="1"/>
  <c r="H1380"/>
  <c r="L1380" s="1"/>
  <c r="H1423"/>
  <c r="L1423" s="1"/>
  <c r="H1457"/>
  <c r="L1457" s="1"/>
  <c r="H1489"/>
  <c r="L1489" s="1"/>
  <c r="H1553"/>
  <c r="L1553" s="1"/>
  <c r="H1585"/>
  <c r="L1585" s="1"/>
  <c r="H1617"/>
  <c r="L1617" s="1"/>
  <c r="H1649"/>
  <c r="L1649" s="1"/>
  <c r="H1681"/>
  <c r="L1681" s="1"/>
  <c r="H1777"/>
  <c r="L1777" s="1"/>
  <c r="H1809"/>
  <c r="L1809" s="1"/>
  <c r="H1841"/>
  <c r="L1841" s="1"/>
  <c r="H1937"/>
  <c r="L1937" s="1"/>
  <c r="H1969"/>
  <c r="L1969" s="1"/>
  <c r="H2001"/>
  <c r="L2001" s="1"/>
  <c r="H2097"/>
  <c r="L2097" s="1"/>
  <c r="H2129"/>
  <c r="L2129" s="1"/>
  <c r="H2225"/>
  <c r="L2225" s="1"/>
  <c r="H2257"/>
  <c r="L2257" s="1"/>
  <c r="H2353"/>
  <c r="L2353" s="1"/>
  <c r="H2385"/>
  <c r="L2385" s="1"/>
  <c r="H2481"/>
  <c r="L2481" s="1"/>
  <c r="H2513"/>
  <c r="L2513" s="1"/>
  <c r="D31" i="5"/>
  <c r="D38"/>
  <c r="D45"/>
  <c r="D37"/>
  <c r="D44"/>
  <c r="D36"/>
  <c r="D35"/>
  <c r="D39"/>
  <c r="D30"/>
  <c r="D43"/>
  <c r="D34"/>
  <c r="D41"/>
  <c r="D33"/>
  <c r="D42"/>
  <c r="D40"/>
  <c r="E30"/>
  <c r="E31"/>
  <c r="E32"/>
  <c r="E33"/>
  <c r="E34"/>
  <c r="E35"/>
  <c r="E36"/>
  <c r="E37"/>
  <c r="E38"/>
  <c r="E39"/>
  <c r="E40"/>
  <c r="E41"/>
  <c r="E42"/>
  <c r="E43"/>
  <c r="E44"/>
  <c r="E45"/>
  <c r="G31" l="1"/>
  <c r="G33"/>
  <c r="G34"/>
  <c r="G35"/>
  <c r="G38"/>
  <c r="G39"/>
  <c r="G42"/>
  <c r="G44"/>
  <c r="G45"/>
  <c r="G18"/>
  <c r="G43" s="1"/>
  <c r="G15"/>
  <c r="G40" s="1"/>
  <c r="G16"/>
  <c r="G41" s="1"/>
  <c r="G11"/>
  <c r="G12" s="1"/>
  <c r="G37" s="1"/>
  <c r="G7"/>
  <c r="G32" s="1"/>
  <c r="G36" l="1"/>
  <c r="G30"/>
</calcChain>
</file>

<file path=xl/connections.xml><?xml version="1.0" encoding="utf-8"?>
<connections xmlns="http://schemas.openxmlformats.org/spreadsheetml/2006/main">
  <connection id="1" keepAlive="1" name="Запрос — getData" description="Соединение с запросом &quot;getData&quot; в книге." type="5" refreshedVersion="0" background="1">
    <dbPr connection="Provider=Microsoft.Mashup.OleDb.1;Data Source=$Workbook$;Location=getData;Extended Properties=&quot;&quot;" command="SELECT * FROM [getData]"/>
  </connection>
  <connection id="2" keepAlive="1" name="Запрос — localhost:3306: msfo" description="Соединение с запросом &quot;localhost:3306: msfo&quot; в книге." type="5" refreshedVersion="6" background="1" saveData="1">
    <dbPr connection="Provider=Microsoft.Mashup.OleDb.1;Data Source=$Workbook$;Location=localhost:3306: msfo;Extended Properties=&quot;&quot;" command="SELECT * FROM [localhost:3306: msfo]"/>
  </connection>
  <connection id="3" keepAlive="1" name="Запрос — Сектора" description="Соединение с запросом &quot;Сектора&quot; в книге." type="5" refreshedVersion="6" background="1" saveData="1">
    <dbPr connection="Provider=Microsoft.Mashup.OleDb.1;Data Source=$Workbook$;Location=Сектора;Extended Properties=&quot;&quot;" command="SELECT * FROM [Сектора]"/>
  </connection>
</connections>
</file>

<file path=xl/sharedStrings.xml><?xml version="1.0" encoding="utf-8"?>
<sst xmlns="http://schemas.openxmlformats.org/spreadsheetml/2006/main" count="20596" uniqueCount="67">
  <si>
    <t>Горнодобывающие</t>
  </si>
  <si>
    <t>Бухгалтерский баланс</t>
  </si>
  <si>
    <t>Внеоборотные активы</t>
  </si>
  <si>
    <t>Оборотные активы</t>
  </si>
  <si>
    <t>Отчет о прибылях и убытках</t>
  </si>
  <si>
    <t>Активы</t>
  </si>
  <si>
    <t>Капитал</t>
  </si>
  <si>
    <t>Cash Flow</t>
  </si>
  <si>
    <t>Долгосрочные обязательства</t>
  </si>
  <si>
    <t>Краткосрочные обязательства</t>
  </si>
  <si>
    <t>Пассивы</t>
  </si>
  <si>
    <t>Уровень закредитованности</t>
  </si>
  <si>
    <t>Выручка</t>
  </si>
  <si>
    <t>Чистая прибыль</t>
  </si>
  <si>
    <t>Выручка в долларах</t>
  </si>
  <si>
    <t>Чистая прибыль в долларах</t>
  </si>
  <si>
    <t>CFO</t>
  </si>
  <si>
    <t>CFO в долларах</t>
  </si>
  <si>
    <t>Количество акций, (в млн. штук)</t>
  </si>
  <si>
    <t>Цена на дату, руб.</t>
  </si>
  <si>
    <t>Биржевой</t>
  </si>
  <si>
    <t>year</t>
  </si>
  <si>
    <t>sector</t>
  </si>
  <si>
    <t>ticker</t>
  </si>
  <si>
    <t>showing</t>
  </si>
  <si>
    <t>value</t>
  </si>
  <si>
    <t>Курс доллара</t>
  </si>
  <si>
    <t>Поля для заполнения</t>
  </si>
  <si>
    <t>Вычисляемые поля</t>
  </si>
  <si>
    <t>ticker_sector</t>
  </si>
  <si>
    <t>id_year</t>
  </si>
  <si>
    <t>id</t>
  </si>
  <si>
    <t>Металлургия</t>
  </si>
  <si>
    <t>Нефтегаз</t>
  </si>
  <si>
    <t>Ритейл</t>
  </si>
  <si>
    <t>ALRS</t>
  </si>
  <si>
    <t>GMKN</t>
  </si>
  <si>
    <t>LNZL</t>
  </si>
  <si>
    <t>POLY</t>
  </si>
  <si>
    <t>CHMF</t>
  </si>
  <si>
    <t>MAGN</t>
  </si>
  <si>
    <t>MTLR</t>
  </si>
  <si>
    <t>NLMK</t>
  </si>
  <si>
    <t>BANE</t>
  </si>
  <si>
    <t>GAZP</t>
  </si>
  <si>
    <t>LKOH</t>
  </si>
  <si>
    <t>NVTK</t>
  </si>
  <si>
    <t>ROSN</t>
  </si>
  <si>
    <t>SIBN</t>
  </si>
  <si>
    <t>LNTA</t>
  </si>
  <si>
    <t>MGNT</t>
  </si>
  <si>
    <t>MVID</t>
  </si>
  <si>
    <t>HYDR</t>
  </si>
  <si>
    <t>Электрогенерация</t>
  </si>
  <si>
    <t>IRAO</t>
  </si>
  <si>
    <t>TGKA</t>
  </si>
  <si>
    <t>type_statement</t>
  </si>
  <si>
    <t>id_showing</t>
  </si>
  <si>
    <t>id_company</t>
  </si>
  <si>
    <t>Нет проверки на уже имеющиеся данные. Нельзя несколько раз нажимать INSERT, будут дубликаты</t>
  </si>
  <si>
    <t>Тикер</t>
  </si>
  <si>
    <t>Сектор</t>
  </si>
  <si>
    <t>Год</t>
  </si>
  <si>
    <t>Тип отчета</t>
  </si>
  <si>
    <t>Показатель</t>
  </si>
  <si>
    <t>Значение</t>
  </si>
  <si>
    <t>SQL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</si>
</sst>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1" fillId="2" borderId="4" xfId="0" applyFont="1" applyFill="1" applyBorder="1"/>
    <xf numFmtId="0" fontId="1" fillId="2" borderId="5" xfId="0" applyFont="1" applyFill="1" applyBorder="1"/>
    <xf numFmtId="0" fontId="0" fillId="0" borderId="10" xfId="0" applyBorder="1"/>
    <xf numFmtId="0" fontId="0" fillId="3" borderId="3" xfId="0" applyFill="1" applyBorder="1"/>
    <xf numFmtId="0" fontId="0" fillId="0" borderId="14" xfId="0" applyBorder="1"/>
    <xf numFmtId="0" fontId="0" fillId="0" borderId="11" xfId="0" applyBorder="1"/>
    <xf numFmtId="0" fontId="0" fillId="3" borderId="11" xfId="0" applyFill="1" applyBorder="1"/>
    <xf numFmtId="0" fontId="1" fillId="4" borderId="11" xfId="0" applyFont="1" applyFill="1" applyBorder="1"/>
    <xf numFmtId="0" fontId="3" fillId="0" borderId="0" xfId="0" applyFont="1"/>
    <xf numFmtId="3" fontId="1" fillId="4" borderId="1" xfId="0" applyNumberFormat="1" applyFont="1" applyFill="1" applyBorder="1"/>
    <xf numFmtId="9" fontId="1" fillId="4" borderId="1" xfId="1" applyFont="1" applyFill="1" applyBorder="1"/>
    <xf numFmtId="3" fontId="0" fillId="3" borderId="1" xfId="0" applyNumberFormat="1" applyFill="1" applyBorder="1"/>
    <xf numFmtId="3" fontId="0" fillId="3" borderId="13" xfId="0" applyNumberFormat="1" applyFill="1" applyBorder="1"/>
    <xf numFmtId="0" fontId="0" fillId="0" borderId="17" xfId="0" applyBorder="1"/>
    <xf numFmtId="0" fontId="0" fillId="0" borderId="20" xfId="0" applyBorder="1"/>
    <xf numFmtId="0" fontId="0" fillId="0" borderId="16" xfId="0" applyBorder="1"/>
    <xf numFmtId="0" fontId="1" fillId="2" borderId="6" xfId="0" applyFont="1" applyFill="1" applyBorder="1"/>
    <xf numFmtId="0" fontId="0" fillId="0" borderId="9" xfId="0" applyBorder="1"/>
    <xf numFmtId="0" fontId="0" fillId="0" borderId="22" xfId="0" applyBorder="1"/>
    <xf numFmtId="0" fontId="0" fillId="0" borderId="15" xfId="0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3" fontId="1" fillId="4" borderId="12" xfId="0" applyNumberFormat="1" applyFont="1" applyFill="1" applyBorder="1"/>
    <xf numFmtId="0" fontId="0" fillId="0" borderId="0" xfId="0" applyNumberFormat="1"/>
    <xf numFmtId="0" fontId="1" fillId="5" borderId="0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2">
    <cellStyle name="Обычный" xfId="0" builtinId="0"/>
    <cellStyle name="Процентный" xfId="1" builtinId="5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Тикер" tableColumnId="19"/>
      <queryTableField id="2" name="Сектор" tableColumnId="20"/>
      <queryTableField id="3" name="Год" tableColumnId="21"/>
      <queryTableField id="4" name="Тип отчета" tableColumnId="22"/>
      <queryTableField id="5" name="Показатель" tableColumnId="23"/>
      <queryTableField id="6" name="Значение" tableColumnId="24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ticker" tableColumnId="13"/>
      <queryTableField id="2" name="sector" tableColumnId="14"/>
      <queryTableField id="3" name="year" tableColumnId="15"/>
      <queryTableField id="4" name="type_statement" tableColumnId="16"/>
      <queryTableField id="5" name="showing" tableColumnId="17"/>
      <queryTableField id="6" name="value" tableColumnId="18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year" displayName="year" ref="L2:M11" totalsRowShown="0">
  <autoFilter ref="L2:M11"/>
  <tableColumns count="2">
    <tableColumn id="2" name="year"/>
    <tableColumn id="1" name="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cker" displayName="ticker" ref="O2:P22" totalsRowShown="0">
  <autoFilter ref="O2:P22"/>
  <tableColumns count="2">
    <tableColumn id="1" name="ticker"/>
    <tableColumn id="2" name="sec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icker_sector" displayName="ticker_sector" ref="R2:S22" totalsRowShown="0">
  <autoFilter ref="R2:S22"/>
  <tableColumns count="2">
    <tableColumn id="1" name="ticker_sector">
      <calculatedColumnFormula>ticker[[#This Row],[ticker]]&amp;ticker[[#This Row],[sector]]</calculatedColumnFormula>
    </tableColumn>
    <tableColumn id="2" name="i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showing" displayName="showing" ref="U2:V18" totalsRowShown="0">
  <autoFilter ref="U2:V18"/>
  <tableColumns count="2">
    <tableColumn id="1" name="showing"/>
    <tableColumn id="2" name="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Сектора" displayName="Сектора" ref="A1:F2561" tableType="queryTable" totalsRowShown="0">
  <autoFilter ref="A1:F2561"/>
  <tableColumns count="6">
    <tableColumn id="19" uniqueName="19" name="Тикер" queryTableFieldId="1" dataDxfId="5"/>
    <tableColumn id="20" uniqueName="20" name="Сектор" queryTableFieldId="2" dataDxfId="4"/>
    <tableColumn id="21" uniqueName="21" name="Год" queryTableFieldId="3" dataDxfId="3"/>
    <tableColumn id="22" uniqueName="22" name="Тип отчета" queryTableFieldId="4" dataDxfId="2"/>
    <tableColumn id="23" uniqueName="23" name="Показатель" queryTableFieldId="5" dataDxfId="1"/>
    <tableColumn id="24" uniqueName="24" name="Значение" queryTableFieldId="6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localhost_3306__msfo" displayName="localhost_3306__msfo" ref="A1:F2561" tableType="queryTable" totalsRowShown="0">
  <autoFilter ref="A1:F2561"/>
  <tableColumns count="6">
    <tableColumn id="13" uniqueName="13" name="ticker" queryTableFieldId="1"/>
    <tableColumn id="14" uniqueName="14" name="sector" queryTableFieldId="2"/>
    <tableColumn id="15" uniqueName="15" name="year" queryTableFieldId="3"/>
    <tableColumn id="16" uniqueName="16" name="type_statement" queryTableFieldId="4"/>
    <tableColumn id="17" uniqueName="17" name="showing" queryTableFieldId="5"/>
    <tableColumn id="18" uniqueName="18" name="valu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B1:V45"/>
  <sheetViews>
    <sheetView tabSelected="1" workbookViewId="0">
      <selection activeCell="E5" sqref="E5:E12"/>
    </sheetView>
  </sheetViews>
  <sheetFormatPr defaultRowHeight="15"/>
  <cols>
    <col min="2" max="2" width="8.85546875" customWidth="1"/>
    <col min="3" max="3" width="21.28515625" customWidth="1"/>
    <col min="4" max="4" width="15.28515625" bestFit="1" customWidth="1"/>
    <col min="5" max="5" width="28.85546875" customWidth="1"/>
    <col min="6" max="6" width="32.42578125" customWidth="1"/>
    <col min="7" max="7" width="12" bestFit="1" customWidth="1"/>
    <col min="8" max="8" width="9.140625" customWidth="1"/>
    <col min="15" max="15" width="12.42578125" bestFit="1" customWidth="1"/>
    <col min="16" max="16" width="19" bestFit="1" customWidth="1"/>
    <col min="18" max="18" width="24.7109375" bestFit="1" customWidth="1"/>
    <col min="21" max="21" width="31.140625" bestFit="1" customWidth="1"/>
  </cols>
  <sheetData>
    <row r="1" spans="2:22">
      <c r="C1" s="9" t="s">
        <v>26</v>
      </c>
      <c r="D1" s="10">
        <v>30.4</v>
      </c>
      <c r="F1" s="9" t="s">
        <v>27</v>
      </c>
      <c r="G1" s="10"/>
    </row>
    <row r="2" spans="2:22">
      <c r="F2" s="9" t="s">
        <v>28</v>
      </c>
      <c r="G2" s="11"/>
      <c r="L2" t="s">
        <v>21</v>
      </c>
      <c r="M2" t="s">
        <v>31</v>
      </c>
      <c r="O2" t="s">
        <v>23</v>
      </c>
      <c r="P2" t="s">
        <v>22</v>
      </c>
      <c r="R2" t="s">
        <v>29</v>
      </c>
      <c r="S2" t="s">
        <v>31</v>
      </c>
      <c r="U2" t="s">
        <v>24</v>
      </c>
      <c r="V2" t="s">
        <v>31</v>
      </c>
    </row>
    <row r="3" spans="2:22" ht="15.75" thickBot="1">
      <c r="L3">
        <v>2010</v>
      </c>
      <c r="M3">
        <v>0</v>
      </c>
      <c r="O3" t="s">
        <v>35</v>
      </c>
      <c r="P3" t="s">
        <v>0</v>
      </c>
      <c r="R3" t="str">
        <f>ticker[[#This Row],[ticker]]&amp;ticker[[#This Row],[sector]]</f>
        <v>ALRSГорнодобывающие</v>
      </c>
      <c r="S3">
        <v>1</v>
      </c>
      <c r="U3" t="s">
        <v>2</v>
      </c>
      <c r="V3">
        <v>1</v>
      </c>
    </row>
    <row r="4" spans="2:22" ht="15.75" thickBot="1">
      <c r="B4" s="20" t="s">
        <v>23</v>
      </c>
      <c r="C4" s="5" t="s">
        <v>22</v>
      </c>
      <c r="D4" s="4" t="s">
        <v>21</v>
      </c>
      <c r="E4" s="20" t="s">
        <v>56</v>
      </c>
      <c r="F4" s="5" t="s">
        <v>24</v>
      </c>
      <c r="G4" s="5" t="s">
        <v>25</v>
      </c>
      <c r="L4">
        <v>2011</v>
      </c>
      <c r="M4">
        <v>1</v>
      </c>
      <c r="O4" t="s">
        <v>36</v>
      </c>
      <c r="P4" t="s">
        <v>0</v>
      </c>
      <c r="R4" t="str">
        <f>ticker[[#This Row],[ticker]]&amp;ticker[[#This Row],[sector]]</f>
        <v>GMKNГорнодобывающие</v>
      </c>
      <c r="S4">
        <v>2</v>
      </c>
      <c r="U4" t="s">
        <v>3</v>
      </c>
      <c r="V4">
        <v>2</v>
      </c>
    </row>
    <row r="5" spans="2:22">
      <c r="B5" s="30" t="s">
        <v>44</v>
      </c>
      <c r="C5" s="32" t="str">
        <f>VLOOKUP(B5,ticker[],2,FALSE)</f>
        <v>Нефтегаз</v>
      </c>
      <c r="D5" s="38">
        <v>2014</v>
      </c>
      <c r="E5" s="34" t="s">
        <v>1</v>
      </c>
      <c r="F5" s="17" t="s">
        <v>2</v>
      </c>
      <c r="G5" s="15">
        <v>11716315</v>
      </c>
      <c r="L5">
        <v>2012</v>
      </c>
      <c r="M5">
        <v>2</v>
      </c>
      <c r="O5" t="s">
        <v>37</v>
      </c>
      <c r="P5" t="s">
        <v>0</v>
      </c>
      <c r="R5" t="str">
        <f>ticker[[#This Row],[ticker]]&amp;ticker[[#This Row],[sector]]</f>
        <v>LNZLГорнодобывающие</v>
      </c>
      <c r="S5">
        <v>3</v>
      </c>
      <c r="U5" t="s">
        <v>5</v>
      </c>
      <c r="V5">
        <v>3</v>
      </c>
    </row>
    <row r="6" spans="2:22">
      <c r="B6" s="30"/>
      <c r="C6" s="32"/>
      <c r="D6" s="38"/>
      <c r="E6" s="34"/>
      <c r="F6" s="17" t="s">
        <v>3</v>
      </c>
      <c r="G6" s="15">
        <v>3461155</v>
      </c>
      <c r="L6">
        <v>2013</v>
      </c>
      <c r="M6">
        <v>3</v>
      </c>
      <c r="O6" t="s">
        <v>38</v>
      </c>
      <c r="P6" t="s">
        <v>0</v>
      </c>
      <c r="R6" t="str">
        <f>ticker[[#This Row],[ticker]]&amp;ticker[[#This Row],[sector]]</f>
        <v>POLYГорнодобывающие</v>
      </c>
      <c r="S6">
        <v>4</v>
      </c>
      <c r="U6" t="s">
        <v>6</v>
      </c>
      <c r="V6">
        <v>4</v>
      </c>
    </row>
    <row r="7" spans="2:22">
      <c r="B7" s="30"/>
      <c r="C7" s="32"/>
      <c r="D7" s="38"/>
      <c r="E7" s="34"/>
      <c r="F7" s="17" t="s">
        <v>5</v>
      </c>
      <c r="G7" s="13">
        <f>G5+G6</f>
        <v>15177470</v>
      </c>
      <c r="L7">
        <v>2014</v>
      </c>
      <c r="M7">
        <v>4</v>
      </c>
      <c r="O7" t="s">
        <v>39</v>
      </c>
      <c r="P7" t="s">
        <v>32</v>
      </c>
      <c r="R7" t="str">
        <f>ticker[[#This Row],[ticker]]&amp;ticker[[#This Row],[sector]]</f>
        <v>CHMFМеталлургия</v>
      </c>
      <c r="S7">
        <v>5</v>
      </c>
      <c r="U7" t="s">
        <v>8</v>
      </c>
      <c r="V7">
        <v>5</v>
      </c>
    </row>
    <row r="8" spans="2:22">
      <c r="B8" s="30"/>
      <c r="C8" s="32"/>
      <c r="D8" s="38"/>
      <c r="E8" s="34"/>
      <c r="F8" s="17" t="s">
        <v>6</v>
      </c>
      <c r="G8" s="15">
        <v>10120021</v>
      </c>
      <c r="L8">
        <v>2015</v>
      </c>
      <c r="M8">
        <v>5</v>
      </c>
      <c r="O8" t="s">
        <v>40</v>
      </c>
      <c r="P8" t="s">
        <v>32</v>
      </c>
      <c r="R8" t="str">
        <f>ticker[[#This Row],[ticker]]&amp;ticker[[#This Row],[sector]]</f>
        <v>MAGNМеталлургия</v>
      </c>
      <c r="S8">
        <v>6</v>
      </c>
      <c r="U8" t="s">
        <v>9</v>
      </c>
      <c r="V8">
        <v>6</v>
      </c>
    </row>
    <row r="9" spans="2:22">
      <c r="B9" s="30"/>
      <c r="C9" s="32"/>
      <c r="D9" s="38"/>
      <c r="E9" s="34"/>
      <c r="F9" s="17" t="s">
        <v>8</v>
      </c>
      <c r="G9" s="15">
        <v>3201502</v>
      </c>
      <c r="L9">
        <v>2016</v>
      </c>
      <c r="M9">
        <v>6</v>
      </c>
      <c r="O9" t="s">
        <v>41</v>
      </c>
      <c r="P9" t="s">
        <v>32</v>
      </c>
      <c r="R9" t="str">
        <f>ticker[[#This Row],[ticker]]&amp;ticker[[#This Row],[sector]]</f>
        <v>MTLRМеталлургия</v>
      </c>
      <c r="S9">
        <v>7</v>
      </c>
      <c r="U9" t="s">
        <v>10</v>
      </c>
      <c r="V9">
        <v>7</v>
      </c>
    </row>
    <row r="10" spans="2:22">
      <c r="B10" s="30"/>
      <c r="C10" s="32"/>
      <c r="D10" s="38"/>
      <c r="E10" s="34"/>
      <c r="F10" s="17" t="s">
        <v>9</v>
      </c>
      <c r="G10" s="15">
        <v>1855947</v>
      </c>
      <c r="L10">
        <v>2017</v>
      </c>
      <c r="M10">
        <v>7</v>
      </c>
      <c r="O10" t="s">
        <v>42</v>
      </c>
      <c r="P10" t="s">
        <v>32</v>
      </c>
      <c r="R10" t="str">
        <f>ticker[[#This Row],[ticker]]&amp;ticker[[#This Row],[sector]]</f>
        <v>NLMKМеталлургия</v>
      </c>
      <c r="S10">
        <v>8</v>
      </c>
      <c r="U10" t="s">
        <v>11</v>
      </c>
      <c r="V10">
        <v>8</v>
      </c>
    </row>
    <row r="11" spans="2:22">
      <c r="B11" s="30"/>
      <c r="C11" s="32"/>
      <c r="D11" s="38"/>
      <c r="E11" s="34"/>
      <c r="F11" s="17" t="s">
        <v>10</v>
      </c>
      <c r="G11" s="13">
        <f>G8+G9+G10</f>
        <v>15177470</v>
      </c>
      <c r="L11">
        <v>2018</v>
      </c>
      <c r="M11">
        <v>8</v>
      </c>
      <c r="O11" t="s">
        <v>43</v>
      </c>
      <c r="P11" t="s">
        <v>33</v>
      </c>
      <c r="R11" t="str">
        <f>ticker[[#This Row],[ticker]]&amp;ticker[[#This Row],[sector]]</f>
        <v>BANEНефтегаз</v>
      </c>
      <c r="S11">
        <v>9</v>
      </c>
      <c r="U11" t="s">
        <v>12</v>
      </c>
      <c r="V11">
        <v>9</v>
      </c>
    </row>
    <row r="12" spans="2:22">
      <c r="B12" s="30"/>
      <c r="C12" s="32"/>
      <c r="D12" s="38"/>
      <c r="E12" s="35"/>
      <c r="F12" s="18" t="s">
        <v>11</v>
      </c>
      <c r="G12" s="14">
        <f>(G9+G10)/G11</f>
        <v>0.33322082007080234</v>
      </c>
      <c r="O12" t="s">
        <v>44</v>
      </c>
      <c r="P12" t="s">
        <v>33</v>
      </c>
      <c r="R12" t="str">
        <f>ticker[[#This Row],[ticker]]&amp;ticker[[#This Row],[sector]]</f>
        <v>GAZPНефтегаз</v>
      </c>
      <c r="S12">
        <v>10</v>
      </c>
      <c r="U12" t="s">
        <v>13</v>
      </c>
      <c r="V12">
        <v>10</v>
      </c>
    </row>
    <row r="13" spans="2:22">
      <c r="B13" s="30"/>
      <c r="C13" s="32"/>
      <c r="D13" s="38"/>
      <c r="E13" s="36" t="s">
        <v>4</v>
      </c>
      <c r="F13" s="19" t="s">
        <v>12</v>
      </c>
      <c r="G13" s="16">
        <v>5589811</v>
      </c>
      <c r="O13" t="s">
        <v>45</v>
      </c>
      <c r="P13" t="s">
        <v>33</v>
      </c>
      <c r="R13" t="str">
        <f>ticker[[#This Row],[ticker]]&amp;ticker[[#This Row],[sector]]</f>
        <v>LKOHНефтегаз</v>
      </c>
      <c r="S13">
        <v>11</v>
      </c>
      <c r="U13" t="s">
        <v>14</v>
      </c>
      <c r="V13">
        <v>11</v>
      </c>
    </row>
    <row r="14" spans="2:22">
      <c r="B14" s="30"/>
      <c r="C14" s="32"/>
      <c r="D14" s="38"/>
      <c r="E14" s="34"/>
      <c r="F14" s="17" t="s">
        <v>13</v>
      </c>
      <c r="G14" s="15">
        <v>157192</v>
      </c>
      <c r="O14" t="s">
        <v>46</v>
      </c>
      <c r="P14" t="s">
        <v>33</v>
      </c>
      <c r="R14" t="str">
        <f>ticker[[#This Row],[ticker]]&amp;ticker[[#This Row],[sector]]</f>
        <v>NVTKНефтегаз</v>
      </c>
      <c r="S14">
        <v>12</v>
      </c>
      <c r="U14" t="s">
        <v>15</v>
      </c>
      <c r="V14">
        <v>12</v>
      </c>
    </row>
    <row r="15" spans="2:22">
      <c r="B15" s="30"/>
      <c r="C15" s="32"/>
      <c r="D15" s="38"/>
      <c r="E15" s="34"/>
      <c r="F15" s="17" t="s">
        <v>14</v>
      </c>
      <c r="G15" s="13">
        <f>G13/D1</f>
        <v>183875.36184210528</v>
      </c>
      <c r="O15" t="s">
        <v>47</v>
      </c>
      <c r="P15" t="s">
        <v>33</v>
      </c>
      <c r="R15" t="str">
        <f>ticker[[#This Row],[ticker]]&amp;ticker[[#This Row],[sector]]</f>
        <v>ROSNНефтегаз</v>
      </c>
      <c r="S15">
        <v>13</v>
      </c>
      <c r="U15" t="s">
        <v>16</v>
      </c>
      <c r="V15">
        <v>13</v>
      </c>
    </row>
    <row r="16" spans="2:22">
      <c r="B16" s="30"/>
      <c r="C16" s="32"/>
      <c r="D16" s="38"/>
      <c r="E16" s="35"/>
      <c r="F16" s="18" t="s">
        <v>15</v>
      </c>
      <c r="G16" s="27">
        <f>G14/D1</f>
        <v>5170.7894736842109</v>
      </c>
      <c r="O16" t="s">
        <v>48</v>
      </c>
      <c r="P16" t="s">
        <v>33</v>
      </c>
      <c r="R16" t="str">
        <f>ticker[[#This Row],[ticker]]&amp;ticker[[#This Row],[sector]]</f>
        <v>SIBNНефтегаз</v>
      </c>
      <c r="S16">
        <v>14</v>
      </c>
      <c r="U16" t="s">
        <v>17</v>
      </c>
      <c r="V16">
        <v>14</v>
      </c>
    </row>
    <row r="17" spans="2:22">
      <c r="B17" s="30"/>
      <c r="C17" s="32"/>
      <c r="D17" s="38"/>
      <c r="E17" s="36" t="s">
        <v>7</v>
      </c>
      <c r="F17" s="19" t="s">
        <v>16</v>
      </c>
      <c r="G17" s="15">
        <v>1952736</v>
      </c>
      <c r="O17" t="s">
        <v>49</v>
      </c>
      <c r="P17" t="s">
        <v>34</v>
      </c>
      <c r="R17" t="str">
        <f>ticker[[#This Row],[ticker]]&amp;ticker[[#This Row],[sector]]</f>
        <v>LNTAРитейл</v>
      </c>
      <c r="S17">
        <v>15</v>
      </c>
      <c r="U17" t="s">
        <v>18</v>
      </c>
      <c r="V17">
        <v>15</v>
      </c>
    </row>
    <row r="18" spans="2:22">
      <c r="B18" s="30"/>
      <c r="C18" s="32"/>
      <c r="D18" s="38"/>
      <c r="E18" s="35"/>
      <c r="F18" s="18" t="s">
        <v>17</v>
      </c>
      <c r="G18" s="13">
        <f>G17/D1</f>
        <v>64234.736842105267</v>
      </c>
      <c r="O18" t="s">
        <v>50</v>
      </c>
      <c r="P18" t="s">
        <v>34</v>
      </c>
      <c r="R18" t="str">
        <f>ticker[[#This Row],[ticker]]&amp;ticker[[#This Row],[sector]]</f>
        <v>MGNTРитейл</v>
      </c>
      <c r="S18">
        <v>16</v>
      </c>
      <c r="U18" t="s">
        <v>19</v>
      </c>
      <c r="V18">
        <v>16</v>
      </c>
    </row>
    <row r="19" spans="2:22">
      <c r="B19" s="30"/>
      <c r="C19" s="32"/>
      <c r="D19" s="38"/>
      <c r="E19" s="34" t="s">
        <v>20</v>
      </c>
      <c r="F19" s="2" t="s">
        <v>18</v>
      </c>
      <c r="G19" s="15">
        <v>23000</v>
      </c>
      <c r="O19" t="s">
        <v>51</v>
      </c>
      <c r="P19" t="s">
        <v>34</v>
      </c>
      <c r="R19" t="str">
        <f>ticker[[#This Row],[ticker]]&amp;ticker[[#This Row],[sector]]</f>
        <v>MVIDРитейл</v>
      </c>
      <c r="S19">
        <v>17</v>
      </c>
    </row>
    <row r="20" spans="2:22" ht="15.75" thickBot="1">
      <c r="B20" s="31"/>
      <c r="C20" s="33"/>
      <c r="D20" s="39"/>
      <c r="E20" s="37"/>
      <c r="F20" s="3" t="s">
        <v>19</v>
      </c>
      <c r="G20" s="7">
        <v>130.31</v>
      </c>
      <c r="O20" t="s">
        <v>52</v>
      </c>
      <c r="P20" t="s">
        <v>53</v>
      </c>
      <c r="R20" t="str">
        <f>ticker[[#This Row],[ticker]]&amp;ticker[[#This Row],[sector]]</f>
        <v>HYDRЭлектрогенерация</v>
      </c>
      <c r="S20">
        <v>18</v>
      </c>
    </row>
    <row r="21" spans="2:22">
      <c r="O21" t="s">
        <v>54</v>
      </c>
      <c r="P21" t="s">
        <v>53</v>
      </c>
      <c r="R21" t="str">
        <f>ticker[[#This Row],[ticker]]&amp;ticker[[#This Row],[sector]]</f>
        <v>IRAOЭлектрогенерация</v>
      </c>
      <c r="S21">
        <v>19</v>
      </c>
    </row>
    <row r="22" spans="2:22">
      <c r="B22" s="12"/>
      <c r="O22" t="s">
        <v>55</v>
      </c>
      <c r="P22" t="s">
        <v>53</v>
      </c>
      <c r="R22" t="str">
        <f>ticker[[#This Row],[ticker]]&amp;ticker[[#This Row],[sector]]</f>
        <v>TGKAЭлектрогенерация</v>
      </c>
      <c r="S22">
        <v>20</v>
      </c>
    </row>
    <row r="23" spans="2:22">
      <c r="B23" s="12"/>
    </row>
    <row r="24" spans="2:22">
      <c r="B24" s="12"/>
    </row>
    <row r="25" spans="2:22">
      <c r="B25" s="12"/>
      <c r="E25" s="12" t="s">
        <v>59</v>
      </c>
    </row>
    <row r="26" spans="2:22">
      <c r="B26" s="12"/>
    </row>
    <row r="27" spans="2:22">
      <c r="B27" s="12"/>
    </row>
    <row r="28" spans="2:22">
      <c r="B28" s="12"/>
    </row>
    <row r="29" spans="2:22">
      <c r="D29" s="24" t="s">
        <v>58</v>
      </c>
      <c r="E29" s="25" t="s">
        <v>30</v>
      </c>
      <c r="F29" s="25" t="s">
        <v>57</v>
      </c>
      <c r="G29" s="26" t="s">
        <v>25</v>
      </c>
    </row>
    <row r="30" spans="2:22">
      <c r="D30" s="21">
        <f>VLOOKUP($B$5&amp;$C$5,ticker_sector[],2,FALSE)</f>
        <v>10</v>
      </c>
      <c r="E30" s="1">
        <f>VLOOKUP($D$5,year[],2,FALSE)</f>
        <v>4</v>
      </c>
      <c r="F30" s="1">
        <v>1</v>
      </c>
      <c r="G30" s="6">
        <f>G5</f>
        <v>11716315</v>
      </c>
    </row>
    <row r="31" spans="2:22">
      <c r="D31" s="21">
        <f>VLOOKUP($B$5&amp;$C$5,ticker_sector[],2,FALSE)</f>
        <v>10</v>
      </c>
      <c r="E31" s="1">
        <f>VLOOKUP($D$5,year[],2,FALSE)</f>
        <v>4</v>
      </c>
      <c r="F31" s="1">
        <v>2</v>
      </c>
      <c r="G31" s="6">
        <f t="shared" ref="G31:G45" si="0">G6</f>
        <v>3461155</v>
      </c>
    </row>
    <row r="32" spans="2:22">
      <c r="D32" s="21">
        <f>VLOOKUP($B$5&amp;$C$5,ticker_sector[],2,FALSE)</f>
        <v>10</v>
      </c>
      <c r="E32" s="1">
        <f>VLOOKUP($D$5,year[],2,FALSE)</f>
        <v>4</v>
      </c>
      <c r="F32" s="1">
        <v>3</v>
      </c>
      <c r="G32" s="6">
        <f t="shared" si="0"/>
        <v>15177470</v>
      </c>
    </row>
    <row r="33" spans="4:7">
      <c r="D33" s="21">
        <f>VLOOKUP($B$5&amp;$C$5,ticker_sector[],2,FALSE)</f>
        <v>10</v>
      </c>
      <c r="E33" s="1">
        <f>VLOOKUP($D$5,year[],2,FALSE)</f>
        <v>4</v>
      </c>
      <c r="F33" s="1">
        <v>4</v>
      </c>
      <c r="G33" s="6">
        <f t="shared" si="0"/>
        <v>10120021</v>
      </c>
    </row>
    <row r="34" spans="4:7">
      <c r="D34" s="21">
        <f>VLOOKUP($B$5&amp;$C$5,ticker_sector[],2,FALSE)</f>
        <v>10</v>
      </c>
      <c r="E34" s="1">
        <f>VLOOKUP($D$5,year[],2,FALSE)</f>
        <v>4</v>
      </c>
      <c r="F34" s="1">
        <v>5</v>
      </c>
      <c r="G34" s="6">
        <f t="shared" si="0"/>
        <v>3201502</v>
      </c>
    </row>
    <row r="35" spans="4:7">
      <c r="D35" s="21">
        <f>VLOOKUP($B$5&amp;$C$5,ticker_sector[],2,FALSE)</f>
        <v>10</v>
      </c>
      <c r="E35" s="1">
        <f>VLOOKUP($D$5,year[],2,FALSE)</f>
        <v>4</v>
      </c>
      <c r="F35" s="1">
        <v>6</v>
      </c>
      <c r="G35" s="6">
        <f t="shared" si="0"/>
        <v>1855947</v>
      </c>
    </row>
    <row r="36" spans="4:7">
      <c r="D36" s="21">
        <f>VLOOKUP($B$5&amp;$C$5,ticker_sector[],2,FALSE)</f>
        <v>10</v>
      </c>
      <c r="E36" s="1">
        <f>VLOOKUP($D$5,year[],2,FALSE)</f>
        <v>4</v>
      </c>
      <c r="F36" s="1">
        <v>7</v>
      </c>
      <c r="G36" s="6">
        <f t="shared" si="0"/>
        <v>15177470</v>
      </c>
    </row>
    <row r="37" spans="4:7">
      <c r="D37" s="21">
        <f>VLOOKUP($B$5&amp;$C$5,ticker_sector[],2,FALSE)</f>
        <v>10</v>
      </c>
      <c r="E37" s="1">
        <f>VLOOKUP($D$5,year[],2,FALSE)</f>
        <v>4</v>
      </c>
      <c r="F37" s="1">
        <v>8</v>
      </c>
      <c r="G37" s="6">
        <f t="shared" si="0"/>
        <v>0.33322082007080234</v>
      </c>
    </row>
    <row r="38" spans="4:7">
      <c r="D38" s="21">
        <f>VLOOKUP($B$5&amp;$C$5,ticker_sector[],2,FALSE)</f>
        <v>10</v>
      </c>
      <c r="E38" s="1">
        <f>VLOOKUP($D$5,year[],2,FALSE)</f>
        <v>4</v>
      </c>
      <c r="F38" s="1">
        <v>9</v>
      </c>
      <c r="G38" s="6">
        <f t="shared" si="0"/>
        <v>5589811</v>
      </c>
    </row>
    <row r="39" spans="4:7">
      <c r="D39" s="21">
        <f>VLOOKUP($B$5&amp;$C$5,ticker_sector[],2,FALSE)</f>
        <v>10</v>
      </c>
      <c r="E39" s="1">
        <f>VLOOKUP($D$5,year[],2,FALSE)</f>
        <v>4</v>
      </c>
      <c r="F39" s="1">
        <v>10</v>
      </c>
      <c r="G39" s="6">
        <f t="shared" si="0"/>
        <v>157192</v>
      </c>
    </row>
    <row r="40" spans="4:7">
      <c r="D40" s="21">
        <f>VLOOKUP($B$5&amp;$C$5,ticker_sector[],2,FALSE)</f>
        <v>10</v>
      </c>
      <c r="E40" s="1">
        <f>VLOOKUP($D$5,year[],2,FALSE)</f>
        <v>4</v>
      </c>
      <c r="F40" s="1">
        <v>11</v>
      </c>
      <c r="G40" s="6">
        <f t="shared" si="0"/>
        <v>183875.36184210528</v>
      </c>
    </row>
    <row r="41" spans="4:7">
      <c r="D41" s="21">
        <f>VLOOKUP($B$5&amp;$C$5,ticker_sector[],2,FALSE)</f>
        <v>10</v>
      </c>
      <c r="E41" s="1">
        <f>VLOOKUP($D$5,year[],2,FALSE)</f>
        <v>4</v>
      </c>
      <c r="F41" s="1">
        <v>12</v>
      </c>
      <c r="G41" s="6">
        <f t="shared" si="0"/>
        <v>5170.7894736842109</v>
      </c>
    </row>
    <row r="42" spans="4:7">
      <c r="D42" s="21">
        <f>VLOOKUP($B$5&amp;$C$5,ticker_sector[],2,FALSE)</f>
        <v>10</v>
      </c>
      <c r="E42" s="1">
        <f>VLOOKUP($D$5,year[],2,FALSE)</f>
        <v>4</v>
      </c>
      <c r="F42" s="1">
        <v>13</v>
      </c>
      <c r="G42" s="6">
        <f t="shared" si="0"/>
        <v>1952736</v>
      </c>
    </row>
    <row r="43" spans="4:7">
      <c r="D43" s="21">
        <f>VLOOKUP($B$5&amp;$C$5,ticker_sector[],2,FALSE)</f>
        <v>10</v>
      </c>
      <c r="E43" s="1">
        <f>VLOOKUP($D$5,year[],2,FALSE)</f>
        <v>4</v>
      </c>
      <c r="F43" s="1">
        <v>14</v>
      </c>
      <c r="G43" s="6">
        <f t="shared" si="0"/>
        <v>64234.736842105267</v>
      </c>
    </row>
    <row r="44" spans="4:7">
      <c r="D44" s="21">
        <f>VLOOKUP($B$5&amp;$C$5,ticker_sector[],2,FALSE)</f>
        <v>10</v>
      </c>
      <c r="E44" s="1">
        <f>VLOOKUP($D$5,year[],2,FALSE)</f>
        <v>4</v>
      </c>
      <c r="F44" s="1">
        <v>15</v>
      </c>
      <c r="G44" s="6">
        <f t="shared" si="0"/>
        <v>23000</v>
      </c>
    </row>
    <row r="45" spans="4:7">
      <c r="D45" s="8">
        <f>VLOOKUP($B$5&amp;$C$5,ticker_sector[],2,FALSE)</f>
        <v>10</v>
      </c>
      <c r="E45" s="22">
        <f>VLOOKUP($D$5,year[],2,FALSE)</f>
        <v>4</v>
      </c>
      <c r="F45" s="22">
        <v>16</v>
      </c>
      <c r="G45" s="23">
        <f t="shared" si="0"/>
        <v>130.31</v>
      </c>
    </row>
  </sheetData>
  <mergeCells count="7">
    <mergeCell ref="B5:B20"/>
    <mergeCell ref="C5:C20"/>
    <mergeCell ref="E5:E12"/>
    <mergeCell ref="E13:E16"/>
    <mergeCell ref="E17:E18"/>
    <mergeCell ref="E19:E20"/>
    <mergeCell ref="D5:D20"/>
  </mergeCells>
  <dataValidations count="2">
    <dataValidation type="list" allowBlank="1" showInputMessage="1" showErrorMessage="1" sqref="B5:B20">
      <formula1>$O$3:$O$22</formula1>
    </dataValidation>
    <dataValidation type="list" allowBlank="1" showInputMessage="1" showErrorMessage="1" sqref="D5:D20">
      <formula1>$L$3:$L$11</formula1>
    </dataValidation>
  </dataValidations>
  <pageMargins left="0.7" right="0.7" top="0.75" bottom="0.75" header="0.3" footer="0.3"/>
  <pageSetup paperSize="9" orientation="portrait" r:id="rId1"/>
  <legacyDrawing r:id="rId2"/>
  <controls>
    <control shapeId="1031" r:id="rId3" name="btn_Update"/>
    <control shapeId="1027" r:id="rId4" name="btn_Select"/>
    <control shapeId="1026" r:id="rId5" name="btn_Insert"/>
  </controls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L2561"/>
  <sheetViews>
    <sheetView topLeftCell="D1" workbookViewId="0">
      <selection activeCell="M7" sqref="M7"/>
    </sheetView>
  </sheetViews>
  <sheetFormatPr defaultRowHeight="15"/>
  <cols>
    <col min="1" max="1" width="8.7109375" bestFit="1" customWidth="1"/>
    <col min="2" max="2" width="19" bestFit="1" customWidth="1"/>
    <col min="3" max="3" width="6.5703125" bestFit="1" customWidth="1"/>
    <col min="4" max="4" width="27.42578125" bestFit="1" customWidth="1"/>
    <col min="5" max="5" width="31.140625" bestFit="1" customWidth="1"/>
    <col min="6" max="6" width="12.7109375" bestFit="1" customWidth="1"/>
    <col min="8" max="8" width="13.7109375" customWidth="1"/>
    <col min="9" max="9" width="11.28515625" customWidth="1"/>
    <col min="10" max="10" width="14.85546875" customWidth="1"/>
    <col min="11" max="11" width="11" customWidth="1"/>
  </cols>
  <sheetData>
    <row r="1" spans="1:12">
      <c r="A1" s="28" t="s">
        <v>60</v>
      </c>
      <c r="B1" s="28" t="s">
        <v>61</v>
      </c>
      <c r="C1" s="28" t="s">
        <v>62</v>
      </c>
      <c r="D1" s="28" t="s">
        <v>63</v>
      </c>
      <c r="E1" s="28" t="s">
        <v>64</v>
      </c>
      <c r="F1" s="28" t="s">
        <v>65</v>
      </c>
      <c r="H1" s="29" t="s">
        <v>58</v>
      </c>
      <c r="I1" s="29" t="s">
        <v>30</v>
      </c>
      <c r="J1" s="29" t="s">
        <v>57</v>
      </c>
      <c r="K1" s="29" t="s">
        <v>25</v>
      </c>
      <c r="L1" s="29" t="s">
        <v>66</v>
      </c>
    </row>
    <row r="2" spans="1:12">
      <c r="A2" s="28" t="s">
        <v>35</v>
      </c>
      <c r="B2" s="28" t="s">
        <v>0</v>
      </c>
      <c r="C2" s="28">
        <v>2010</v>
      </c>
      <c r="D2" s="28" t="s">
        <v>1</v>
      </c>
      <c r="E2" s="28" t="s">
        <v>2</v>
      </c>
      <c r="F2" s="28">
        <v>173659</v>
      </c>
      <c r="H2">
        <f>VLOOKUP(A2&amp;B2,ticker_sector[],2,FALSE)</f>
        <v>1</v>
      </c>
      <c r="I2">
        <f>VLOOKUP(C2,year[],2,FALSE)</f>
        <v>0</v>
      </c>
      <c r="J2">
        <f>VLOOKUP(E2,showing[],2,FALSE)</f>
        <v>1</v>
      </c>
      <c r="K2">
        <f>Сектора[[#This Row],[Значение]]</f>
        <v>173659</v>
      </c>
      <c r="L2" t="str">
        <f>"INSERT INTO msfo.statements (id_company, id_year, id_showing, value) VALUES ("&amp;H2&amp; ","&amp;I2&amp; ","&amp;J2&amp; ","&amp;K2&amp;");"</f>
        <v>INSERT INTO msfo.statements (id_company, id_year, id_showing, value) VALUES (1,0,1,173659);</v>
      </c>
    </row>
    <row r="3" spans="1:12">
      <c r="A3" s="28" t="s">
        <v>35</v>
      </c>
      <c r="B3" s="28" t="s">
        <v>0</v>
      </c>
      <c r="C3" s="28">
        <v>2011</v>
      </c>
      <c r="D3" s="28" t="s">
        <v>1</v>
      </c>
      <c r="E3" s="28" t="s">
        <v>2</v>
      </c>
      <c r="F3" s="28">
        <v>173322</v>
      </c>
      <c r="H3">
        <f>VLOOKUP(A3&amp;B3,ticker_sector[],2,FALSE)</f>
        <v>1</v>
      </c>
      <c r="I3">
        <f>VLOOKUP(C3,year[],2,FALSE)</f>
        <v>1</v>
      </c>
      <c r="J3">
        <f>VLOOKUP(E3,showing[],2,FALSE)</f>
        <v>1</v>
      </c>
      <c r="K3">
        <f>Сектора[[#This Row],[Значение]]</f>
        <v>173322</v>
      </c>
      <c r="L3" t="str">
        <f t="shared" ref="L3:L66" si="0">"INSERT INTO msfo.statements (id_company, id_year, id_showing, value) VALUES ("&amp;H3&amp; ","&amp;I3&amp; ","&amp;J3&amp; ","&amp;K3&amp;");"</f>
        <v>INSERT INTO msfo.statements (id_company, id_year, id_showing, value) VALUES (1,1,1,173322);</v>
      </c>
    </row>
    <row r="4" spans="1:12">
      <c r="A4" s="28" t="s">
        <v>35</v>
      </c>
      <c r="B4" s="28" t="s">
        <v>0</v>
      </c>
      <c r="C4" s="28">
        <v>2012</v>
      </c>
      <c r="D4" s="28" t="s">
        <v>1</v>
      </c>
      <c r="E4" s="28" t="s">
        <v>2</v>
      </c>
      <c r="F4" s="28">
        <v>175550</v>
      </c>
      <c r="H4">
        <f>VLOOKUP(A4&amp;B4,ticker_sector[],2,FALSE)</f>
        <v>1</v>
      </c>
      <c r="I4">
        <f>VLOOKUP(C4,year[],2,FALSE)</f>
        <v>2</v>
      </c>
      <c r="J4">
        <f>VLOOKUP(E4,showing[],2,FALSE)</f>
        <v>1</v>
      </c>
      <c r="K4">
        <f>Сектора[[#This Row],[Значение]]</f>
        <v>175550</v>
      </c>
      <c r="L4" t="str">
        <f t="shared" si="0"/>
        <v>INSERT INTO msfo.statements (id_company, id_year, id_showing, value) VALUES (1,2,1,175550);</v>
      </c>
    </row>
    <row r="5" spans="1:12">
      <c r="A5" s="28" t="s">
        <v>35</v>
      </c>
      <c r="B5" s="28" t="s">
        <v>0</v>
      </c>
      <c r="C5" s="28">
        <v>2013</v>
      </c>
      <c r="D5" s="28" t="s">
        <v>1</v>
      </c>
      <c r="E5" s="28" t="s">
        <v>2</v>
      </c>
      <c r="F5" s="28">
        <v>231018</v>
      </c>
      <c r="H5">
        <f>VLOOKUP(A5&amp;B5,ticker_sector[],2,FALSE)</f>
        <v>1</v>
      </c>
      <c r="I5">
        <f>VLOOKUP(C5,year[],2,FALSE)</f>
        <v>3</v>
      </c>
      <c r="J5">
        <f>VLOOKUP(E5,showing[],2,FALSE)</f>
        <v>1</v>
      </c>
      <c r="K5">
        <f>Сектора[[#This Row],[Значение]]</f>
        <v>231018</v>
      </c>
      <c r="L5" t="str">
        <f t="shared" si="0"/>
        <v>INSERT INTO msfo.statements (id_company, id_year, id_showing, value) VALUES (1,3,1,231018);</v>
      </c>
    </row>
    <row r="6" spans="1:12">
      <c r="A6" s="28" t="s">
        <v>35</v>
      </c>
      <c r="B6" s="28" t="s">
        <v>0</v>
      </c>
      <c r="C6" s="28">
        <v>2014</v>
      </c>
      <c r="D6" s="28" t="s">
        <v>1</v>
      </c>
      <c r="E6" s="28" t="s">
        <v>2</v>
      </c>
      <c r="F6" s="28">
        <v>225202</v>
      </c>
      <c r="H6">
        <f>VLOOKUP(A6&amp;B6,ticker_sector[],2,FALSE)</f>
        <v>1</v>
      </c>
      <c r="I6">
        <f>VLOOKUP(C6,year[],2,FALSE)</f>
        <v>4</v>
      </c>
      <c r="J6">
        <f>VLOOKUP(E6,showing[],2,FALSE)</f>
        <v>1</v>
      </c>
      <c r="K6">
        <f>Сектора[[#This Row],[Значение]]</f>
        <v>225202</v>
      </c>
      <c r="L6" t="str">
        <f t="shared" si="0"/>
        <v>INSERT INTO msfo.statements (id_company, id_year, id_showing, value) VALUES (1,4,1,225202);</v>
      </c>
    </row>
    <row r="7" spans="1:12">
      <c r="A7" s="28" t="s">
        <v>35</v>
      </c>
      <c r="B7" s="28" t="s">
        <v>0</v>
      </c>
      <c r="C7" s="28">
        <v>2015</v>
      </c>
      <c r="D7" s="28" t="s">
        <v>1</v>
      </c>
      <c r="E7" s="28" t="s">
        <v>2</v>
      </c>
      <c r="F7" s="28">
        <v>284156</v>
      </c>
      <c r="H7">
        <f>VLOOKUP(A7&amp;B7,ticker_sector[],2,FALSE)</f>
        <v>1</v>
      </c>
      <c r="I7">
        <f>VLOOKUP(C7,year[],2,FALSE)</f>
        <v>5</v>
      </c>
      <c r="J7">
        <f>VLOOKUP(E7,showing[],2,FALSE)</f>
        <v>1</v>
      </c>
      <c r="K7">
        <f>Сектора[[#This Row],[Значение]]</f>
        <v>284156</v>
      </c>
      <c r="L7" t="str">
        <f t="shared" si="0"/>
        <v>INSERT INTO msfo.statements (id_company, id_year, id_showing, value) VALUES (1,5,1,284156);</v>
      </c>
    </row>
    <row r="8" spans="1:12">
      <c r="A8" s="28" t="s">
        <v>35</v>
      </c>
      <c r="B8" s="28" t="s">
        <v>0</v>
      </c>
      <c r="C8" s="28">
        <v>2016</v>
      </c>
      <c r="D8" s="28" t="s">
        <v>1</v>
      </c>
      <c r="E8" s="28" t="s">
        <v>2</v>
      </c>
      <c r="F8" s="28">
        <v>298376</v>
      </c>
      <c r="H8">
        <f>VLOOKUP(A8&amp;B8,ticker_sector[],2,FALSE)</f>
        <v>1</v>
      </c>
      <c r="I8">
        <f>VLOOKUP(C8,year[],2,FALSE)</f>
        <v>6</v>
      </c>
      <c r="J8">
        <f>VLOOKUP(E8,showing[],2,FALSE)</f>
        <v>1</v>
      </c>
      <c r="K8">
        <f>Сектора[[#This Row],[Значение]]</f>
        <v>298376</v>
      </c>
      <c r="L8" t="str">
        <f t="shared" si="0"/>
        <v>INSERT INTO msfo.statements (id_company, id_year, id_showing, value) VALUES (1,6,1,298376);</v>
      </c>
    </row>
    <row r="9" spans="1:12">
      <c r="A9" s="28" t="s">
        <v>35</v>
      </c>
      <c r="B9" s="28" t="s">
        <v>0</v>
      </c>
      <c r="C9" s="28">
        <v>2017</v>
      </c>
      <c r="D9" s="28" t="s">
        <v>1</v>
      </c>
      <c r="E9" s="28" t="s">
        <v>2</v>
      </c>
      <c r="F9" s="28">
        <v>299858</v>
      </c>
      <c r="H9">
        <f>VLOOKUP(A9&amp;B9,ticker_sector[],2,FALSE)</f>
        <v>1</v>
      </c>
      <c r="I9">
        <f>VLOOKUP(C9,year[],2,FALSE)</f>
        <v>7</v>
      </c>
      <c r="J9">
        <f>VLOOKUP(E9,showing[],2,FALSE)</f>
        <v>1</v>
      </c>
      <c r="K9">
        <f>Сектора[[#This Row],[Значение]]</f>
        <v>299858</v>
      </c>
      <c r="L9" t="str">
        <f t="shared" si="0"/>
        <v>INSERT INTO msfo.statements (id_company, id_year, id_showing, value) VALUES (1,7,1,299858);</v>
      </c>
    </row>
    <row r="10" spans="1:12">
      <c r="A10" s="28" t="s">
        <v>35</v>
      </c>
      <c r="B10" s="28" t="s">
        <v>0</v>
      </c>
      <c r="C10" s="28">
        <v>2010</v>
      </c>
      <c r="D10" s="28" t="s">
        <v>1</v>
      </c>
      <c r="E10" s="28" t="s">
        <v>3</v>
      </c>
      <c r="F10" s="28">
        <v>62580</v>
      </c>
      <c r="H10">
        <f>VLOOKUP(A10&amp;B10,ticker_sector[],2,FALSE)</f>
        <v>1</v>
      </c>
      <c r="I10">
        <f>VLOOKUP(C10,year[],2,FALSE)</f>
        <v>0</v>
      </c>
      <c r="J10">
        <f>VLOOKUP(E10,showing[],2,FALSE)</f>
        <v>2</v>
      </c>
      <c r="K10">
        <f>Сектора[[#This Row],[Значение]]</f>
        <v>62580</v>
      </c>
      <c r="L10" t="str">
        <f t="shared" si="0"/>
        <v>INSERT INTO msfo.statements (id_company, id_year, id_showing, value) VALUES (1,0,2,62580);</v>
      </c>
    </row>
    <row r="11" spans="1:12">
      <c r="A11" s="28" t="s">
        <v>35</v>
      </c>
      <c r="B11" s="28" t="s">
        <v>0</v>
      </c>
      <c r="C11" s="28">
        <v>2011</v>
      </c>
      <c r="D11" s="28" t="s">
        <v>1</v>
      </c>
      <c r="E11" s="28" t="s">
        <v>3</v>
      </c>
      <c r="F11" s="28">
        <v>49105</v>
      </c>
      <c r="H11">
        <f>VLOOKUP(A11&amp;B11,ticker_sector[],2,FALSE)</f>
        <v>1</v>
      </c>
      <c r="I11">
        <f>VLOOKUP(C11,year[],2,FALSE)</f>
        <v>1</v>
      </c>
      <c r="J11">
        <f>VLOOKUP(E11,showing[],2,FALSE)</f>
        <v>2</v>
      </c>
      <c r="K11">
        <f>Сектора[[#This Row],[Значение]]</f>
        <v>49105</v>
      </c>
      <c r="L11" t="str">
        <f t="shared" si="0"/>
        <v>INSERT INTO msfo.statements (id_company, id_year, id_showing, value) VALUES (1,1,2,49105);</v>
      </c>
    </row>
    <row r="12" spans="1:12">
      <c r="A12" s="28" t="s">
        <v>35</v>
      </c>
      <c r="B12" s="28" t="s">
        <v>0</v>
      </c>
      <c r="C12" s="28">
        <v>2012</v>
      </c>
      <c r="D12" s="28" t="s">
        <v>1</v>
      </c>
      <c r="E12" s="28" t="s">
        <v>3</v>
      </c>
      <c r="F12" s="28">
        <v>65414</v>
      </c>
      <c r="H12">
        <f>VLOOKUP(A12&amp;B12,ticker_sector[],2,FALSE)</f>
        <v>1</v>
      </c>
      <c r="I12">
        <f>VLOOKUP(C12,year[],2,FALSE)</f>
        <v>2</v>
      </c>
      <c r="J12">
        <f>VLOOKUP(E12,showing[],2,FALSE)</f>
        <v>2</v>
      </c>
      <c r="K12">
        <f>Сектора[[#This Row],[Значение]]</f>
        <v>65414</v>
      </c>
      <c r="L12" t="str">
        <f t="shared" si="0"/>
        <v>INSERT INTO msfo.statements (id_company, id_year, id_showing, value) VALUES (1,2,2,65414);</v>
      </c>
    </row>
    <row r="13" spans="1:12">
      <c r="A13" s="28" t="s">
        <v>35</v>
      </c>
      <c r="B13" s="28" t="s">
        <v>0</v>
      </c>
      <c r="C13" s="28">
        <v>2013</v>
      </c>
      <c r="D13" s="28" t="s">
        <v>1</v>
      </c>
      <c r="E13" s="28" t="s">
        <v>3</v>
      </c>
      <c r="F13" s="28">
        <v>73691</v>
      </c>
      <c r="H13">
        <f>VLOOKUP(A13&amp;B13,ticker_sector[],2,FALSE)</f>
        <v>1</v>
      </c>
      <c r="I13">
        <f>VLOOKUP(C13,year[],2,FALSE)</f>
        <v>3</v>
      </c>
      <c r="J13">
        <f>VLOOKUP(E13,showing[],2,FALSE)</f>
        <v>2</v>
      </c>
      <c r="K13">
        <f>Сектора[[#This Row],[Значение]]</f>
        <v>73691</v>
      </c>
      <c r="L13" t="str">
        <f t="shared" si="0"/>
        <v>INSERT INTO msfo.statements (id_company, id_year, id_showing, value) VALUES (1,3,2,73691);</v>
      </c>
    </row>
    <row r="14" spans="1:12">
      <c r="A14" s="28" t="s">
        <v>35</v>
      </c>
      <c r="B14" s="28" t="s">
        <v>0</v>
      </c>
      <c r="C14" s="28">
        <v>2014</v>
      </c>
      <c r="D14" s="28" t="s">
        <v>1</v>
      </c>
      <c r="E14" s="28" t="s">
        <v>3</v>
      </c>
      <c r="F14" s="28">
        <v>129669</v>
      </c>
      <c r="H14">
        <f>VLOOKUP(A14&amp;B14,ticker_sector[],2,FALSE)</f>
        <v>1</v>
      </c>
      <c r="I14">
        <f>VLOOKUP(C14,year[],2,FALSE)</f>
        <v>4</v>
      </c>
      <c r="J14">
        <f>VLOOKUP(E14,showing[],2,FALSE)</f>
        <v>2</v>
      </c>
      <c r="K14">
        <f>Сектора[[#This Row],[Значение]]</f>
        <v>129669</v>
      </c>
      <c r="L14" t="str">
        <f t="shared" si="0"/>
        <v>INSERT INTO msfo.statements (id_company, id_year, id_showing, value) VALUES (1,4,2,129669);</v>
      </c>
    </row>
    <row r="15" spans="1:12">
      <c r="A15" s="28" t="s">
        <v>35</v>
      </c>
      <c r="B15" s="28" t="s">
        <v>0</v>
      </c>
      <c r="C15" s="28">
        <v>2015</v>
      </c>
      <c r="D15" s="28" t="s">
        <v>1</v>
      </c>
      <c r="E15" s="28" t="s">
        <v>3</v>
      </c>
      <c r="F15" s="28">
        <v>104093</v>
      </c>
      <c r="H15">
        <f>VLOOKUP(A15&amp;B15,ticker_sector[],2,FALSE)</f>
        <v>1</v>
      </c>
      <c r="I15">
        <f>VLOOKUP(C15,year[],2,FALSE)</f>
        <v>5</v>
      </c>
      <c r="J15">
        <f>VLOOKUP(E15,showing[],2,FALSE)</f>
        <v>2</v>
      </c>
      <c r="K15">
        <f>Сектора[[#This Row],[Значение]]</f>
        <v>104093</v>
      </c>
      <c r="L15" t="str">
        <f t="shared" si="0"/>
        <v>INSERT INTO msfo.statements (id_company, id_year, id_showing, value) VALUES (1,5,2,104093);</v>
      </c>
    </row>
    <row r="16" spans="1:12">
      <c r="A16" s="28" t="s">
        <v>35</v>
      </c>
      <c r="B16" s="28" t="s">
        <v>0</v>
      </c>
      <c r="C16" s="28">
        <v>2016</v>
      </c>
      <c r="D16" s="28" t="s">
        <v>1</v>
      </c>
      <c r="E16" s="28" t="s">
        <v>3</v>
      </c>
      <c r="F16" s="28">
        <v>136689</v>
      </c>
      <c r="H16">
        <f>VLOOKUP(A16&amp;B16,ticker_sector[],2,FALSE)</f>
        <v>1</v>
      </c>
      <c r="I16">
        <f>VLOOKUP(C16,year[],2,FALSE)</f>
        <v>6</v>
      </c>
      <c r="J16">
        <f>VLOOKUP(E16,showing[],2,FALSE)</f>
        <v>2</v>
      </c>
      <c r="K16">
        <f>Сектора[[#This Row],[Значение]]</f>
        <v>136689</v>
      </c>
      <c r="L16" t="str">
        <f t="shared" si="0"/>
        <v>INSERT INTO msfo.statements (id_company, id_year, id_showing, value) VALUES (1,6,2,136689);</v>
      </c>
    </row>
    <row r="17" spans="1:12">
      <c r="A17" s="28" t="s">
        <v>35</v>
      </c>
      <c r="B17" s="28" t="s">
        <v>0</v>
      </c>
      <c r="C17" s="28">
        <v>2017</v>
      </c>
      <c r="D17" s="28" t="s">
        <v>1</v>
      </c>
      <c r="E17" s="28" t="s">
        <v>3</v>
      </c>
      <c r="F17" s="28">
        <v>172856</v>
      </c>
      <c r="H17">
        <f>VLOOKUP(A17&amp;B17,ticker_sector[],2,FALSE)</f>
        <v>1</v>
      </c>
      <c r="I17">
        <f>VLOOKUP(C17,year[],2,FALSE)</f>
        <v>7</v>
      </c>
      <c r="J17">
        <f>VLOOKUP(E17,showing[],2,FALSE)</f>
        <v>2</v>
      </c>
      <c r="K17">
        <f>Сектора[[#This Row],[Значение]]</f>
        <v>172856</v>
      </c>
      <c r="L17" t="str">
        <f t="shared" si="0"/>
        <v>INSERT INTO msfo.statements (id_company, id_year, id_showing, value) VALUES (1,7,2,172856);</v>
      </c>
    </row>
    <row r="18" spans="1:12">
      <c r="A18" s="28" t="s">
        <v>35</v>
      </c>
      <c r="B18" s="28" t="s">
        <v>0</v>
      </c>
      <c r="C18" s="28">
        <v>2010</v>
      </c>
      <c r="D18" s="28" t="s">
        <v>1</v>
      </c>
      <c r="E18" s="28" t="s">
        <v>5</v>
      </c>
      <c r="F18" s="28">
        <v>236239</v>
      </c>
      <c r="H18">
        <f>VLOOKUP(A18&amp;B18,ticker_sector[],2,FALSE)</f>
        <v>1</v>
      </c>
      <c r="I18">
        <f>VLOOKUP(C18,year[],2,FALSE)</f>
        <v>0</v>
      </c>
      <c r="J18">
        <f>VLOOKUP(E18,showing[],2,FALSE)</f>
        <v>3</v>
      </c>
      <c r="K18">
        <f>Сектора[[#This Row],[Значение]]</f>
        <v>236239</v>
      </c>
      <c r="L18" t="str">
        <f t="shared" si="0"/>
        <v>INSERT INTO msfo.statements (id_company, id_year, id_showing, value) VALUES (1,0,3,236239);</v>
      </c>
    </row>
    <row r="19" spans="1:12">
      <c r="A19" s="28" t="s">
        <v>35</v>
      </c>
      <c r="B19" s="28" t="s">
        <v>0</v>
      </c>
      <c r="C19" s="28">
        <v>2011</v>
      </c>
      <c r="D19" s="28" t="s">
        <v>1</v>
      </c>
      <c r="E19" s="28" t="s">
        <v>5</v>
      </c>
      <c r="F19" s="28">
        <v>222427</v>
      </c>
      <c r="H19">
        <f>VLOOKUP(A19&amp;B19,ticker_sector[],2,FALSE)</f>
        <v>1</v>
      </c>
      <c r="I19">
        <f>VLOOKUP(C19,year[],2,FALSE)</f>
        <v>1</v>
      </c>
      <c r="J19">
        <f>VLOOKUP(E19,showing[],2,FALSE)</f>
        <v>3</v>
      </c>
      <c r="K19">
        <f>Сектора[[#This Row],[Значение]]</f>
        <v>222427</v>
      </c>
      <c r="L19" t="str">
        <f t="shared" si="0"/>
        <v>INSERT INTO msfo.statements (id_company, id_year, id_showing, value) VALUES (1,1,3,222427);</v>
      </c>
    </row>
    <row r="20" spans="1:12">
      <c r="A20" s="28" t="s">
        <v>35</v>
      </c>
      <c r="B20" s="28" t="s">
        <v>0</v>
      </c>
      <c r="C20" s="28">
        <v>2012</v>
      </c>
      <c r="D20" s="28" t="s">
        <v>1</v>
      </c>
      <c r="E20" s="28" t="s">
        <v>5</v>
      </c>
      <c r="F20" s="28">
        <v>240964</v>
      </c>
      <c r="H20">
        <f>VLOOKUP(A20&amp;B20,ticker_sector[],2,FALSE)</f>
        <v>1</v>
      </c>
      <c r="I20">
        <f>VLOOKUP(C20,year[],2,FALSE)</f>
        <v>2</v>
      </c>
      <c r="J20">
        <f>VLOOKUP(E20,showing[],2,FALSE)</f>
        <v>3</v>
      </c>
      <c r="K20">
        <f>Сектора[[#This Row],[Значение]]</f>
        <v>240964</v>
      </c>
      <c r="L20" t="str">
        <f t="shared" si="0"/>
        <v>INSERT INTO msfo.statements (id_company, id_year, id_showing, value) VALUES (1,2,3,240964);</v>
      </c>
    </row>
    <row r="21" spans="1:12">
      <c r="A21" s="28" t="s">
        <v>35</v>
      </c>
      <c r="B21" s="28" t="s">
        <v>0</v>
      </c>
      <c r="C21" s="28">
        <v>2013</v>
      </c>
      <c r="D21" s="28" t="s">
        <v>1</v>
      </c>
      <c r="E21" s="28" t="s">
        <v>5</v>
      </c>
      <c r="F21" s="28">
        <v>304709</v>
      </c>
      <c r="H21">
        <f>VLOOKUP(A21&amp;B21,ticker_sector[],2,FALSE)</f>
        <v>1</v>
      </c>
      <c r="I21">
        <f>VLOOKUP(C21,year[],2,FALSE)</f>
        <v>3</v>
      </c>
      <c r="J21">
        <f>VLOOKUP(E21,showing[],2,FALSE)</f>
        <v>3</v>
      </c>
      <c r="K21">
        <f>Сектора[[#This Row],[Значение]]</f>
        <v>304709</v>
      </c>
      <c r="L21" t="str">
        <f t="shared" si="0"/>
        <v>INSERT INTO msfo.statements (id_company, id_year, id_showing, value) VALUES (1,3,3,304709);</v>
      </c>
    </row>
    <row r="22" spans="1:12">
      <c r="A22" s="28" t="s">
        <v>35</v>
      </c>
      <c r="B22" s="28" t="s">
        <v>0</v>
      </c>
      <c r="C22" s="28">
        <v>2014</v>
      </c>
      <c r="D22" s="28" t="s">
        <v>1</v>
      </c>
      <c r="E22" s="28" t="s">
        <v>5</v>
      </c>
      <c r="F22" s="28">
        <v>354871</v>
      </c>
      <c r="H22">
        <f>VLOOKUP(A22&amp;B22,ticker_sector[],2,FALSE)</f>
        <v>1</v>
      </c>
      <c r="I22">
        <f>VLOOKUP(C22,year[],2,FALSE)</f>
        <v>4</v>
      </c>
      <c r="J22">
        <f>VLOOKUP(E22,showing[],2,FALSE)</f>
        <v>3</v>
      </c>
      <c r="K22">
        <f>Сектора[[#This Row],[Значение]]</f>
        <v>354871</v>
      </c>
      <c r="L22" t="str">
        <f t="shared" si="0"/>
        <v>INSERT INTO msfo.statements (id_company, id_year, id_showing, value) VALUES (1,4,3,354871);</v>
      </c>
    </row>
    <row r="23" spans="1:12">
      <c r="A23" s="28" t="s">
        <v>35</v>
      </c>
      <c r="B23" s="28" t="s">
        <v>0</v>
      </c>
      <c r="C23" s="28">
        <v>2015</v>
      </c>
      <c r="D23" s="28" t="s">
        <v>1</v>
      </c>
      <c r="E23" s="28" t="s">
        <v>5</v>
      </c>
      <c r="F23" s="28">
        <v>388249</v>
      </c>
      <c r="H23">
        <f>VLOOKUP(A23&amp;B23,ticker_sector[],2,FALSE)</f>
        <v>1</v>
      </c>
      <c r="I23">
        <f>VLOOKUP(C23,year[],2,FALSE)</f>
        <v>5</v>
      </c>
      <c r="J23">
        <f>VLOOKUP(E23,showing[],2,FALSE)</f>
        <v>3</v>
      </c>
      <c r="K23">
        <f>Сектора[[#This Row],[Значение]]</f>
        <v>388249</v>
      </c>
      <c r="L23" t="str">
        <f t="shared" si="0"/>
        <v>INSERT INTO msfo.statements (id_company, id_year, id_showing, value) VALUES (1,5,3,388249);</v>
      </c>
    </row>
    <row r="24" spans="1:12">
      <c r="A24" s="28" t="s">
        <v>35</v>
      </c>
      <c r="B24" s="28" t="s">
        <v>0</v>
      </c>
      <c r="C24" s="28">
        <v>2016</v>
      </c>
      <c r="D24" s="28" t="s">
        <v>1</v>
      </c>
      <c r="E24" s="28" t="s">
        <v>5</v>
      </c>
      <c r="F24" s="28">
        <v>435065</v>
      </c>
      <c r="H24">
        <f>VLOOKUP(A24&amp;B24,ticker_sector[],2,FALSE)</f>
        <v>1</v>
      </c>
      <c r="I24">
        <f>VLOOKUP(C24,year[],2,FALSE)</f>
        <v>6</v>
      </c>
      <c r="J24">
        <f>VLOOKUP(E24,showing[],2,FALSE)</f>
        <v>3</v>
      </c>
      <c r="K24">
        <f>Сектора[[#This Row],[Значение]]</f>
        <v>435065</v>
      </c>
      <c r="L24" t="str">
        <f t="shared" si="0"/>
        <v>INSERT INTO msfo.statements (id_company, id_year, id_showing, value) VALUES (1,6,3,435065);</v>
      </c>
    </row>
    <row r="25" spans="1:12">
      <c r="A25" s="28" t="s">
        <v>35</v>
      </c>
      <c r="B25" s="28" t="s">
        <v>0</v>
      </c>
      <c r="C25" s="28">
        <v>2017</v>
      </c>
      <c r="D25" s="28" t="s">
        <v>1</v>
      </c>
      <c r="E25" s="28" t="s">
        <v>5</v>
      </c>
      <c r="F25" s="28">
        <v>472714</v>
      </c>
      <c r="H25">
        <f>VLOOKUP(A25&amp;B25,ticker_sector[],2,FALSE)</f>
        <v>1</v>
      </c>
      <c r="I25">
        <f>VLOOKUP(C25,year[],2,FALSE)</f>
        <v>7</v>
      </c>
      <c r="J25">
        <f>VLOOKUP(E25,showing[],2,FALSE)</f>
        <v>3</v>
      </c>
      <c r="K25">
        <f>Сектора[[#This Row],[Значение]]</f>
        <v>472714</v>
      </c>
      <c r="L25" t="str">
        <f t="shared" si="0"/>
        <v>INSERT INTO msfo.statements (id_company, id_year, id_showing, value) VALUES (1,7,3,472714);</v>
      </c>
    </row>
    <row r="26" spans="1:12">
      <c r="A26" s="28" t="s">
        <v>35</v>
      </c>
      <c r="B26" s="28" t="s">
        <v>0</v>
      </c>
      <c r="C26" s="28">
        <v>2010</v>
      </c>
      <c r="D26" s="28" t="s">
        <v>1</v>
      </c>
      <c r="E26" s="28" t="s">
        <v>6</v>
      </c>
      <c r="F26" s="28">
        <v>80721</v>
      </c>
      <c r="H26">
        <f>VLOOKUP(A26&amp;B26,ticker_sector[],2,FALSE)</f>
        <v>1</v>
      </c>
      <c r="I26">
        <f>VLOOKUP(C26,year[],2,FALSE)</f>
        <v>0</v>
      </c>
      <c r="J26">
        <f>VLOOKUP(E26,showing[],2,FALSE)</f>
        <v>4</v>
      </c>
      <c r="K26">
        <f>Сектора[[#This Row],[Значение]]</f>
        <v>80721</v>
      </c>
      <c r="L26" t="str">
        <f t="shared" si="0"/>
        <v>INSERT INTO msfo.statements (id_company, id_year, id_showing, value) VALUES (1,0,4,80721);</v>
      </c>
    </row>
    <row r="27" spans="1:12">
      <c r="A27" s="28" t="s">
        <v>35</v>
      </c>
      <c r="B27" s="28" t="s">
        <v>0</v>
      </c>
      <c r="C27" s="28">
        <v>2011</v>
      </c>
      <c r="D27" s="28" t="s">
        <v>1</v>
      </c>
      <c r="E27" s="28" t="s">
        <v>6</v>
      </c>
      <c r="F27" s="28">
        <v>92610</v>
      </c>
      <c r="H27">
        <f>VLOOKUP(A27&amp;B27,ticker_sector[],2,FALSE)</f>
        <v>1</v>
      </c>
      <c r="I27">
        <f>VLOOKUP(C27,year[],2,FALSE)</f>
        <v>1</v>
      </c>
      <c r="J27">
        <f>VLOOKUP(E27,showing[],2,FALSE)</f>
        <v>4</v>
      </c>
      <c r="K27">
        <f>Сектора[[#This Row],[Значение]]</f>
        <v>92610</v>
      </c>
      <c r="L27" t="str">
        <f t="shared" si="0"/>
        <v>INSERT INTO msfo.statements (id_company, id_year, id_showing, value) VALUES (1,1,4,92610);</v>
      </c>
    </row>
    <row r="28" spans="1:12">
      <c r="A28" s="28" t="s">
        <v>35</v>
      </c>
      <c r="B28" s="28" t="s">
        <v>0</v>
      </c>
      <c r="C28" s="28">
        <v>2012</v>
      </c>
      <c r="D28" s="28" t="s">
        <v>1</v>
      </c>
      <c r="E28" s="28" t="s">
        <v>6</v>
      </c>
      <c r="F28" s="28">
        <v>113097</v>
      </c>
      <c r="H28">
        <f>VLOOKUP(A28&amp;B28,ticker_sector[],2,FALSE)</f>
        <v>1</v>
      </c>
      <c r="I28">
        <f>VLOOKUP(C28,year[],2,FALSE)</f>
        <v>2</v>
      </c>
      <c r="J28">
        <f>VLOOKUP(E28,showing[],2,FALSE)</f>
        <v>4</v>
      </c>
      <c r="K28">
        <f>Сектора[[#This Row],[Значение]]</f>
        <v>113097</v>
      </c>
      <c r="L28" t="str">
        <f t="shared" si="0"/>
        <v>INSERT INTO msfo.statements (id_company, id_year, id_showing, value) VALUES (1,2,4,113097);</v>
      </c>
    </row>
    <row r="29" spans="1:12">
      <c r="A29" s="28" t="s">
        <v>35</v>
      </c>
      <c r="B29" s="28" t="s">
        <v>0</v>
      </c>
      <c r="C29" s="28">
        <v>2013</v>
      </c>
      <c r="D29" s="28" t="s">
        <v>1</v>
      </c>
      <c r="E29" s="28" t="s">
        <v>6</v>
      </c>
      <c r="F29" s="28">
        <v>137849</v>
      </c>
      <c r="H29">
        <f>VLOOKUP(A29&amp;B29,ticker_sector[],2,FALSE)</f>
        <v>1</v>
      </c>
      <c r="I29">
        <f>VLOOKUP(C29,year[],2,FALSE)</f>
        <v>3</v>
      </c>
      <c r="J29">
        <f>VLOOKUP(E29,showing[],2,FALSE)</f>
        <v>4</v>
      </c>
      <c r="K29">
        <f>Сектора[[#This Row],[Значение]]</f>
        <v>137849</v>
      </c>
      <c r="L29" t="str">
        <f t="shared" si="0"/>
        <v>INSERT INTO msfo.statements (id_company, id_year, id_showing, value) VALUES (1,3,4,137849);</v>
      </c>
    </row>
    <row r="30" spans="1:12">
      <c r="A30" s="28" t="s">
        <v>35</v>
      </c>
      <c r="B30" s="28" t="s">
        <v>0</v>
      </c>
      <c r="C30" s="28">
        <v>2014</v>
      </c>
      <c r="D30" s="28" t="s">
        <v>1</v>
      </c>
      <c r="E30" s="28" t="s">
        <v>6</v>
      </c>
      <c r="F30" s="28">
        <v>159461</v>
      </c>
      <c r="H30">
        <f>VLOOKUP(A30&amp;B30,ticker_sector[],2,FALSE)</f>
        <v>1</v>
      </c>
      <c r="I30">
        <f>VLOOKUP(C30,year[],2,FALSE)</f>
        <v>4</v>
      </c>
      <c r="J30">
        <f>VLOOKUP(E30,showing[],2,FALSE)</f>
        <v>4</v>
      </c>
      <c r="K30">
        <f>Сектора[[#This Row],[Значение]]</f>
        <v>159461</v>
      </c>
      <c r="L30" t="str">
        <f t="shared" si="0"/>
        <v>INSERT INTO msfo.statements (id_company, id_year, id_showing, value) VALUES (1,4,4,159461);</v>
      </c>
    </row>
    <row r="31" spans="1:12">
      <c r="A31" s="28" t="s">
        <v>35</v>
      </c>
      <c r="B31" s="28" t="s">
        <v>0</v>
      </c>
      <c r="C31" s="28">
        <v>2015</v>
      </c>
      <c r="D31" s="28" t="s">
        <v>1</v>
      </c>
      <c r="E31" s="28" t="s">
        <v>6</v>
      </c>
      <c r="F31" s="28">
        <v>137174</v>
      </c>
      <c r="H31">
        <f>VLOOKUP(A31&amp;B31,ticker_sector[],2,FALSE)</f>
        <v>1</v>
      </c>
      <c r="I31">
        <f>VLOOKUP(C31,year[],2,FALSE)</f>
        <v>5</v>
      </c>
      <c r="J31">
        <f>VLOOKUP(E31,showing[],2,FALSE)</f>
        <v>4</v>
      </c>
      <c r="K31">
        <f>Сектора[[#This Row],[Значение]]</f>
        <v>137174</v>
      </c>
      <c r="L31" t="str">
        <f t="shared" si="0"/>
        <v>INSERT INTO msfo.statements (id_company, id_year, id_showing, value) VALUES (1,5,4,137174);</v>
      </c>
    </row>
    <row r="32" spans="1:12">
      <c r="A32" s="28" t="s">
        <v>35</v>
      </c>
      <c r="B32" s="28" t="s">
        <v>0</v>
      </c>
      <c r="C32" s="28">
        <v>2016</v>
      </c>
      <c r="D32" s="28" t="s">
        <v>1</v>
      </c>
      <c r="E32" s="28" t="s">
        <v>6</v>
      </c>
      <c r="F32" s="28">
        <v>151485</v>
      </c>
      <c r="H32">
        <f>VLOOKUP(A32&amp;B32,ticker_sector[],2,FALSE)</f>
        <v>1</v>
      </c>
      <c r="I32">
        <f>VLOOKUP(C32,year[],2,FALSE)</f>
        <v>6</v>
      </c>
      <c r="J32">
        <f>VLOOKUP(E32,showing[],2,FALSE)</f>
        <v>4</v>
      </c>
      <c r="K32">
        <f>Сектора[[#This Row],[Значение]]</f>
        <v>151485</v>
      </c>
      <c r="L32" t="str">
        <f t="shared" si="0"/>
        <v>INSERT INTO msfo.statements (id_company, id_year, id_showing, value) VALUES (1,6,4,151485);</v>
      </c>
    </row>
    <row r="33" spans="1:12">
      <c r="A33" s="28" t="s">
        <v>35</v>
      </c>
      <c r="B33" s="28" t="s">
        <v>0</v>
      </c>
      <c r="C33" s="28">
        <v>2017</v>
      </c>
      <c r="D33" s="28" t="s">
        <v>1</v>
      </c>
      <c r="E33" s="28" t="s">
        <v>6</v>
      </c>
      <c r="F33" s="28">
        <v>256970</v>
      </c>
      <c r="H33">
        <f>VLOOKUP(A33&amp;B33,ticker_sector[],2,FALSE)</f>
        <v>1</v>
      </c>
      <c r="I33">
        <f>VLOOKUP(C33,year[],2,FALSE)</f>
        <v>7</v>
      </c>
      <c r="J33">
        <f>VLOOKUP(E33,showing[],2,FALSE)</f>
        <v>4</v>
      </c>
      <c r="K33">
        <f>Сектора[[#This Row],[Значение]]</f>
        <v>256970</v>
      </c>
      <c r="L33" t="str">
        <f t="shared" si="0"/>
        <v>INSERT INTO msfo.statements (id_company, id_year, id_showing, value) VALUES (1,7,4,256970);</v>
      </c>
    </row>
    <row r="34" spans="1:12">
      <c r="A34" s="28" t="s">
        <v>35</v>
      </c>
      <c r="B34" s="28" t="s">
        <v>0</v>
      </c>
      <c r="C34" s="28">
        <v>2010</v>
      </c>
      <c r="D34" s="28" t="s">
        <v>1</v>
      </c>
      <c r="E34" s="28" t="s">
        <v>8</v>
      </c>
      <c r="F34" s="28">
        <v>36279</v>
      </c>
      <c r="H34">
        <f>VLOOKUP(A34&amp;B34,ticker_sector[],2,FALSE)</f>
        <v>1</v>
      </c>
      <c r="I34">
        <f>VLOOKUP(C34,year[],2,FALSE)</f>
        <v>0</v>
      </c>
      <c r="J34">
        <f>VLOOKUP(E34,showing[],2,FALSE)</f>
        <v>5</v>
      </c>
      <c r="K34">
        <f>Сектора[[#This Row],[Значение]]</f>
        <v>36279</v>
      </c>
      <c r="L34" t="str">
        <f t="shared" si="0"/>
        <v>INSERT INTO msfo.statements (id_company, id_year, id_showing, value) VALUES (1,0,5,36279);</v>
      </c>
    </row>
    <row r="35" spans="1:12">
      <c r="A35" s="28" t="s">
        <v>35</v>
      </c>
      <c r="B35" s="28" t="s">
        <v>0</v>
      </c>
      <c r="C35" s="28">
        <v>2011</v>
      </c>
      <c r="D35" s="28" t="s">
        <v>1</v>
      </c>
      <c r="E35" s="28" t="s">
        <v>8</v>
      </c>
      <c r="F35" s="28">
        <v>98935</v>
      </c>
      <c r="H35">
        <f>VLOOKUP(A35&amp;B35,ticker_sector[],2,FALSE)</f>
        <v>1</v>
      </c>
      <c r="I35">
        <f>VLOOKUP(C35,year[],2,FALSE)</f>
        <v>1</v>
      </c>
      <c r="J35">
        <f>VLOOKUP(E35,showing[],2,FALSE)</f>
        <v>5</v>
      </c>
      <c r="K35">
        <f>Сектора[[#This Row],[Значение]]</f>
        <v>98935</v>
      </c>
      <c r="L35" t="str">
        <f t="shared" si="0"/>
        <v>INSERT INTO msfo.statements (id_company, id_year, id_showing, value) VALUES (1,1,5,98935);</v>
      </c>
    </row>
    <row r="36" spans="1:12">
      <c r="A36" s="28" t="s">
        <v>35</v>
      </c>
      <c r="B36" s="28" t="s">
        <v>0</v>
      </c>
      <c r="C36" s="28">
        <v>2012</v>
      </c>
      <c r="D36" s="28" t="s">
        <v>1</v>
      </c>
      <c r="E36" s="28" t="s">
        <v>8</v>
      </c>
      <c r="F36" s="28">
        <v>84557</v>
      </c>
      <c r="H36">
        <f>VLOOKUP(A36&amp;B36,ticker_sector[],2,FALSE)</f>
        <v>1</v>
      </c>
      <c r="I36">
        <f>VLOOKUP(C36,year[],2,FALSE)</f>
        <v>2</v>
      </c>
      <c r="J36">
        <f>VLOOKUP(E36,showing[],2,FALSE)</f>
        <v>5</v>
      </c>
      <c r="K36">
        <f>Сектора[[#This Row],[Значение]]</f>
        <v>84557</v>
      </c>
      <c r="L36" t="str">
        <f t="shared" si="0"/>
        <v>INSERT INTO msfo.statements (id_company, id_year, id_showing, value) VALUES (1,2,5,84557);</v>
      </c>
    </row>
    <row r="37" spans="1:12">
      <c r="A37" s="28" t="s">
        <v>35</v>
      </c>
      <c r="B37" s="28" t="s">
        <v>0</v>
      </c>
      <c r="C37" s="28">
        <v>2013</v>
      </c>
      <c r="D37" s="28" t="s">
        <v>1</v>
      </c>
      <c r="E37" s="28" t="s">
        <v>8</v>
      </c>
      <c r="F37" s="28">
        <v>109630</v>
      </c>
      <c r="H37">
        <f>VLOOKUP(A37&amp;B37,ticker_sector[],2,FALSE)</f>
        <v>1</v>
      </c>
      <c r="I37">
        <f>VLOOKUP(C37,year[],2,FALSE)</f>
        <v>3</v>
      </c>
      <c r="J37">
        <f>VLOOKUP(E37,showing[],2,FALSE)</f>
        <v>5</v>
      </c>
      <c r="K37">
        <f>Сектора[[#This Row],[Значение]]</f>
        <v>109630</v>
      </c>
      <c r="L37" t="str">
        <f t="shared" si="0"/>
        <v>INSERT INTO msfo.statements (id_company, id_year, id_showing, value) VALUES (1,3,5,109630);</v>
      </c>
    </row>
    <row r="38" spans="1:12">
      <c r="A38" s="28" t="s">
        <v>35</v>
      </c>
      <c r="B38" s="28" t="s">
        <v>0</v>
      </c>
      <c r="C38" s="28">
        <v>2014</v>
      </c>
      <c r="D38" s="28" t="s">
        <v>1</v>
      </c>
      <c r="E38" s="28" t="s">
        <v>8</v>
      </c>
      <c r="F38" s="28">
        <v>101703</v>
      </c>
      <c r="H38">
        <f>VLOOKUP(A38&amp;B38,ticker_sector[],2,FALSE)</f>
        <v>1</v>
      </c>
      <c r="I38">
        <f>VLOOKUP(C38,year[],2,FALSE)</f>
        <v>4</v>
      </c>
      <c r="J38">
        <f>VLOOKUP(E38,showing[],2,FALSE)</f>
        <v>5</v>
      </c>
      <c r="K38">
        <f>Сектора[[#This Row],[Значение]]</f>
        <v>101703</v>
      </c>
      <c r="L38" t="str">
        <f t="shared" si="0"/>
        <v>INSERT INTO msfo.statements (id_company, id_year, id_showing, value) VALUES (1,4,5,101703);</v>
      </c>
    </row>
    <row r="39" spans="1:12">
      <c r="A39" s="28" t="s">
        <v>35</v>
      </c>
      <c r="B39" s="28" t="s">
        <v>0</v>
      </c>
      <c r="C39" s="28">
        <v>2015</v>
      </c>
      <c r="D39" s="28" t="s">
        <v>1</v>
      </c>
      <c r="E39" s="28" t="s">
        <v>8</v>
      </c>
      <c r="F39" s="28">
        <v>197799</v>
      </c>
      <c r="H39">
        <f>VLOOKUP(A39&amp;B39,ticker_sector[],2,FALSE)</f>
        <v>1</v>
      </c>
      <c r="I39">
        <f>VLOOKUP(C39,year[],2,FALSE)</f>
        <v>5</v>
      </c>
      <c r="J39">
        <f>VLOOKUP(E39,showing[],2,FALSE)</f>
        <v>5</v>
      </c>
      <c r="K39">
        <f>Сектора[[#This Row],[Значение]]</f>
        <v>197799</v>
      </c>
      <c r="L39" t="str">
        <f t="shared" si="0"/>
        <v>INSERT INTO msfo.statements (id_company, id_year, id_showing, value) VALUES (1,5,5,197799);</v>
      </c>
    </row>
    <row r="40" spans="1:12">
      <c r="A40" s="28" t="s">
        <v>35</v>
      </c>
      <c r="B40" s="28" t="s">
        <v>0</v>
      </c>
      <c r="C40" s="28">
        <v>2016</v>
      </c>
      <c r="D40" s="28" t="s">
        <v>1</v>
      </c>
      <c r="E40" s="28" t="s">
        <v>8</v>
      </c>
      <c r="F40" s="28">
        <v>227830</v>
      </c>
      <c r="H40">
        <f>VLOOKUP(A40&amp;B40,ticker_sector[],2,FALSE)</f>
        <v>1</v>
      </c>
      <c r="I40">
        <f>VLOOKUP(C40,year[],2,FALSE)</f>
        <v>6</v>
      </c>
      <c r="J40">
        <f>VLOOKUP(E40,showing[],2,FALSE)</f>
        <v>5</v>
      </c>
      <c r="K40">
        <f>Сектора[[#This Row],[Значение]]</f>
        <v>227830</v>
      </c>
      <c r="L40" t="str">
        <f t="shared" si="0"/>
        <v>INSERT INTO msfo.statements (id_company, id_year, id_showing, value) VALUES (1,6,5,227830);</v>
      </c>
    </row>
    <row r="41" spans="1:12">
      <c r="A41" s="28" t="s">
        <v>35</v>
      </c>
      <c r="B41" s="28" t="s">
        <v>0</v>
      </c>
      <c r="C41" s="28">
        <v>2017</v>
      </c>
      <c r="D41" s="28" t="s">
        <v>1</v>
      </c>
      <c r="E41" s="28" t="s">
        <v>8</v>
      </c>
      <c r="F41" s="28">
        <v>179332</v>
      </c>
      <c r="H41">
        <f>VLOOKUP(A41&amp;B41,ticker_sector[],2,FALSE)</f>
        <v>1</v>
      </c>
      <c r="I41">
        <f>VLOOKUP(C41,year[],2,FALSE)</f>
        <v>7</v>
      </c>
      <c r="J41">
        <f>VLOOKUP(E41,showing[],2,FALSE)</f>
        <v>5</v>
      </c>
      <c r="K41">
        <f>Сектора[[#This Row],[Значение]]</f>
        <v>179332</v>
      </c>
      <c r="L41" t="str">
        <f t="shared" si="0"/>
        <v>INSERT INTO msfo.statements (id_company, id_year, id_showing, value) VALUES (1,7,5,179332);</v>
      </c>
    </row>
    <row r="42" spans="1:12">
      <c r="A42" s="28" t="s">
        <v>35</v>
      </c>
      <c r="B42" s="28" t="s">
        <v>0</v>
      </c>
      <c r="C42" s="28">
        <v>2010</v>
      </c>
      <c r="D42" s="28" t="s">
        <v>1</v>
      </c>
      <c r="E42" s="28" t="s">
        <v>9</v>
      </c>
      <c r="F42" s="28">
        <v>119239</v>
      </c>
      <c r="H42">
        <f>VLOOKUP(A42&amp;B42,ticker_sector[],2,FALSE)</f>
        <v>1</v>
      </c>
      <c r="I42">
        <f>VLOOKUP(C42,year[],2,FALSE)</f>
        <v>0</v>
      </c>
      <c r="J42">
        <f>VLOOKUP(E42,showing[],2,FALSE)</f>
        <v>6</v>
      </c>
      <c r="K42">
        <f>Сектора[[#This Row],[Значение]]</f>
        <v>119239</v>
      </c>
      <c r="L42" t="str">
        <f t="shared" si="0"/>
        <v>INSERT INTO msfo.statements (id_company, id_year, id_showing, value) VALUES (1,0,6,119239);</v>
      </c>
    </row>
    <row r="43" spans="1:12">
      <c r="A43" s="28" t="s">
        <v>35</v>
      </c>
      <c r="B43" s="28" t="s">
        <v>0</v>
      </c>
      <c r="C43" s="28">
        <v>2011</v>
      </c>
      <c r="D43" s="28" t="s">
        <v>1</v>
      </c>
      <c r="E43" s="28" t="s">
        <v>9</v>
      </c>
      <c r="F43" s="28">
        <v>30882</v>
      </c>
      <c r="H43">
        <f>VLOOKUP(A43&amp;B43,ticker_sector[],2,FALSE)</f>
        <v>1</v>
      </c>
      <c r="I43">
        <f>VLOOKUP(C43,year[],2,FALSE)</f>
        <v>1</v>
      </c>
      <c r="J43">
        <f>VLOOKUP(E43,showing[],2,FALSE)</f>
        <v>6</v>
      </c>
      <c r="K43">
        <f>Сектора[[#This Row],[Значение]]</f>
        <v>30882</v>
      </c>
      <c r="L43" t="str">
        <f t="shared" si="0"/>
        <v>INSERT INTO msfo.statements (id_company, id_year, id_showing, value) VALUES (1,1,6,30882);</v>
      </c>
    </row>
    <row r="44" spans="1:12">
      <c r="A44" s="28" t="s">
        <v>35</v>
      </c>
      <c r="B44" s="28" t="s">
        <v>0</v>
      </c>
      <c r="C44" s="28">
        <v>2012</v>
      </c>
      <c r="D44" s="28" t="s">
        <v>1</v>
      </c>
      <c r="E44" s="28" t="s">
        <v>9</v>
      </c>
      <c r="F44" s="28">
        <v>43310</v>
      </c>
      <c r="H44">
        <f>VLOOKUP(A44&amp;B44,ticker_sector[],2,FALSE)</f>
        <v>1</v>
      </c>
      <c r="I44">
        <f>VLOOKUP(C44,year[],2,FALSE)</f>
        <v>2</v>
      </c>
      <c r="J44">
        <f>VLOOKUP(E44,showing[],2,FALSE)</f>
        <v>6</v>
      </c>
      <c r="K44">
        <f>Сектора[[#This Row],[Значение]]</f>
        <v>43310</v>
      </c>
      <c r="L44" t="str">
        <f t="shared" si="0"/>
        <v>INSERT INTO msfo.statements (id_company, id_year, id_showing, value) VALUES (1,2,6,43310);</v>
      </c>
    </row>
    <row r="45" spans="1:12">
      <c r="A45" s="28" t="s">
        <v>35</v>
      </c>
      <c r="B45" s="28" t="s">
        <v>0</v>
      </c>
      <c r="C45" s="28">
        <v>2013</v>
      </c>
      <c r="D45" s="28" t="s">
        <v>1</v>
      </c>
      <c r="E45" s="28" t="s">
        <v>9</v>
      </c>
      <c r="F45" s="28">
        <v>57230</v>
      </c>
      <c r="H45">
        <f>VLOOKUP(A45&amp;B45,ticker_sector[],2,FALSE)</f>
        <v>1</v>
      </c>
      <c r="I45">
        <f>VLOOKUP(C45,year[],2,FALSE)</f>
        <v>3</v>
      </c>
      <c r="J45">
        <f>VLOOKUP(E45,showing[],2,FALSE)</f>
        <v>6</v>
      </c>
      <c r="K45">
        <f>Сектора[[#This Row],[Значение]]</f>
        <v>57230</v>
      </c>
      <c r="L45" t="str">
        <f t="shared" si="0"/>
        <v>INSERT INTO msfo.statements (id_company, id_year, id_showing, value) VALUES (1,3,6,57230);</v>
      </c>
    </row>
    <row r="46" spans="1:12">
      <c r="A46" s="28" t="s">
        <v>35</v>
      </c>
      <c r="B46" s="28" t="s">
        <v>0</v>
      </c>
      <c r="C46" s="28">
        <v>2014</v>
      </c>
      <c r="D46" s="28" t="s">
        <v>1</v>
      </c>
      <c r="E46" s="28" t="s">
        <v>9</v>
      </c>
      <c r="F46" s="28">
        <v>93707</v>
      </c>
      <c r="H46">
        <f>VLOOKUP(A46&amp;B46,ticker_sector[],2,FALSE)</f>
        <v>1</v>
      </c>
      <c r="I46">
        <f>VLOOKUP(C46,year[],2,FALSE)</f>
        <v>4</v>
      </c>
      <c r="J46">
        <f>VLOOKUP(E46,showing[],2,FALSE)</f>
        <v>6</v>
      </c>
      <c r="K46">
        <f>Сектора[[#This Row],[Значение]]</f>
        <v>93707</v>
      </c>
      <c r="L46" t="str">
        <f t="shared" si="0"/>
        <v>INSERT INTO msfo.statements (id_company, id_year, id_showing, value) VALUES (1,4,6,93707);</v>
      </c>
    </row>
    <row r="47" spans="1:12">
      <c r="A47" s="28" t="s">
        <v>35</v>
      </c>
      <c r="B47" s="28" t="s">
        <v>0</v>
      </c>
      <c r="C47" s="28">
        <v>2015</v>
      </c>
      <c r="D47" s="28" t="s">
        <v>1</v>
      </c>
      <c r="E47" s="28" t="s">
        <v>9</v>
      </c>
      <c r="F47" s="28">
        <v>53276</v>
      </c>
      <c r="H47">
        <f>VLOOKUP(A47&amp;B47,ticker_sector[],2,FALSE)</f>
        <v>1</v>
      </c>
      <c r="I47">
        <f>VLOOKUP(C47,year[],2,FALSE)</f>
        <v>5</v>
      </c>
      <c r="J47">
        <f>VLOOKUP(E47,showing[],2,FALSE)</f>
        <v>6</v>
      </c>
      <c r="K47">
        <f>Сектора[[#This Row],[Значение]]</f>
        <v>53276</v>
      </c>
      <c r="L47" t="str">
        <f t="shared" si="0"/>
        <v>INSERT INTO msfo.statements (id_company, id_year, id_showing, value) VALUES (1,5,6,53276);</v>
      </c>
    </row>
    <row r="48" spans="1:12">
      <c r="A48" s="28" t="s">
        <v>35</v>
      </c>
      <c r="B48" s="28" t="s">
        <v>0</v>
      </c>
      <c r="C48" s="28">
        <v>2016</v>
      </c>
      <c r="D48" s="28" t="s">
        <v>1</v>
      </c>
      <c r="E48" s="28" t="s">
        <v>9</v>
      </c>
      <c r="F48" s="28">
        <v>55750</v>
      </c>
      <c r="H48">
        <f>VLOOKUP(A48&amp;B48,ticker_sector[],2,FALSE)</f>
        <v>1</v>
      </c>
      <c r="I48">
        <f>VLOOKUP(C48,year[],2,FALSE)</f>
        <v>6</v>
      </c>
      <c r="J48">
        <f>VLOOKUP(E48,showing[],2,FALSE)</f>
        <v>6</v>
      </c>
      <c r="K48">
        <f>Сектора[[#This Row],[Значение]]</f>
        <v>55750</v>
      </c>
      <c r="L48" t="str">
        <f t="shared" si="0"/>
        <v>INSERT INTO msfo.statements (id_company, id_year, id_showing, value) VALUES (1,6,6,55750);</v>
      </c>
    </row>
    <row r="49" spans="1:12">
      <c r="A49" s="28" t="s">
        <v>35</v>
      </c>
      <c r="B49" s="28" t="s">
        <v>0</v>
      </c>
      <c r="C49" s="28">
        <v>2017</v>
      </c>
      <c r="D49" s="28" t="s">
        <v>1</v>
      </c>
      <c r="E49" s="28" t="s">
        <v>9</v>
      </c>
      <c r="F49" s="28">
        <v>36412</v>
      </c>
      <c r="H49">
        <f>VLOOKUP(A49&amp;B49,ticker_sector[],2,FALSE)</f>
        <v>1</v>
      </c>
      <c r="I49">
        <f>VLOOKUP(C49,year[],2,FALSE)</f>
        <v>7</v>
      </c>
      <c r="J49">
        <f>VLOOKUP(E49,showing[],2,FALSE)</f>
        <v>6</v>
      </c>
      <c r="K49">
        <f>Сектора[[#This Row],[Значение]]</f>
        <v>36412</v>
      </c>
      <c r="L49" t="str">
        <f t="shared" si="0"/>
        <v>INSERT INTO msfo.statements (id_company, id_year, id_showing, value) VALUES (1,7,6,36412);</v>
      </c>
    </row>
    <row r="50" spans="1:12">
      <c r="A50" s="28" t="s">
        <v>35</v>
      </c>
      <c r="B50" s="28" t="s">
        <v>0</v>
      </c>
      <c r="C50" s="28">
        <v>2010</v>
      </c>
      <c r="D50" s="28" t="s">
        <v>1</v>
      </c>
      <c r="E50" s="28" t="s">
        <v>10</v>
      </c>
      <c r="F50" s="28">
        <v>236239</v>
      </c>
      <c r="H50">
        <f>VLOOKUP(A50&amp;B50,ticker_sector[],2,FALSE)</f>
        <v>1</v>
      </c>
      <c r="I50">
        <f>VLOOKUP(C50,year[],2,FALSE)</f>
        <v>0</v>
      </c>
      <c r="J50">
        <f>VLOOKUP(E50,showing[],2,FALSE)</f>
        <v>7</v>
      </c>
      <c r="K50">
        <f>Сектора[[#This Row],[Значение]]</f>
        <v>236239</v>
      </c>
      <c r="L50" t="str">
        <f t="shared" si="0"/>
        <v>INSERT INTO msfo.statements (id_company, id_year, id_showing, value) VALUES (1,0,7,236239);</v>
      </c>
    </row>
    <row r="51" spans="1:12">
      <c r="A51" s="28" t="s">
        <v>35</v>
      </c>
      <c r="B51" s="28" t="s">
        <v>0</v>
      </c>
      <c r="C51" s="28">
        <v>2011</v>
      </c>
      <c r="D51" s="28" t="s">
        <v>1</v>
      </c>
      <c r="E51" s="28" t="s">
        <v>10</v>
      </c>
      <c r="F51" s="28">
        <v>222427</v>
      </c>
      <c r="H51">
        <f>VLOOKUP(A51&amp;B51,ticker_sector[],2,FALSE)</f>
        <v>1</v>
      </c>
      <c r="I51">
        <f>VLOOKUP(C51,year[],2,FALSE)</f>
        <v>1</v>
      </c>
      <c r="J51">
        <f>VLOOKUP(E51,showing[],2,FALSE)</f>
        <v>7</v>
      </c>
      <c r="K51">
        <f>Сектора[[#This Row],[Значение]]</f>
        <v>222427</v>
      </c>
      <c r="L51" t="str">
        <f t="shared" si="0"/>
        <v>INSERT INTO msfo.statements (id_company, id_year, id_showing, value) VALUES (1,1,7,222427);</v>
      </c>
    </row>
    <row r="52" spans="1:12">
      <c r="A52" s="28" t="s">
        <v>35</v>
      </c>
      <c r="B52" s="28" t="s">
        <v>0</v>
      </c>
      <c r="C52" s="28">
        <v>2012</v>
      </c>
      <c r="D52" s="28" t="s">
        <v>1</v>
      </c>
      <c r="E52" s="28" t="s">
        <v>10</v>
      </c>
      <c r="F52" s="28">
        <v>240964</v>
      </c>
      <c r="H52">
        <f>VLOOKUP(A52&amp;B52,ticker_sector[],2,FALSE)</f>
        <v>1</v>
      </c>
      <c r="I52">
        <f>VLOOKUP(C52,year[],2,FALSE)</f>
        <v>2</v>
      </c>
      <c r="J52">
        <f>VLOOKUP(E52,showing[],2,FALSE)</f>
        <v>7</v>
      </c>
      <c r="K52">
        <f>Сектора[[#This Row],[Значение]]</f>
        <v>240964</v>
      </c>
      <c r="L52" t="str">
        <f t="shared" si="0"/>
        <v>INSERT INTO msfo.statements (id_company, id_year, id_showing, value) VALUES (1,2,7,240964);</v>
      </c>
    </row>
    <row r="53" spans="1:12">
      <c r="A53" s="28" t="s">
        <v>35</v>
      </c>
      <c r="B53" s="28" t="s">
        <v>0</v>
      </c>
      <c r="C53" s="28">
        <v>2013</v>
      </c>
      <c r="D53" s="28" t="s">
        <v>1</v>
      </c>
      <c r="E53" s="28" t="s">
        <v>10</v>
      </c>
      <c r="F53" s="28">
        <v>304709</v>
      </c>
      <c r="H53">
        <f>VLOOKUP(A53&amp;B53,ticker_sector[],2,FALSE)</f>
        <v>1</v>
      </c>
      <c r="I53">
        <f>VLOOKUP(C53,year[],2,FALSE)</f>
        <v>3</v>
      </c>
      <c r="J53">
        <f>VLOOKUP(E53,showing[],2,FALSE)</f>
        <v>7</v>
      </c>
      <c r="K53">
        <f>Сектора[[#This Row],[Значение]]</f>
        <v>304709</v>
      </c>
      <c r="L53" t="str">
        <f t="shared" si="0"/>
        <v>INSERT INTO msfo.statements (id_company, id_year, id_showing, value) VALUES (1,3,7,304709);</v>
      </c>
    </row>
    <row r="54" spans="1:12">
      <c r="A54" s="28" t="s">
        <v>35</v>
      </c>
      <c r="B54" s="28" t="s">
        <v>0</v>
      </c>
      <c r="C54" s="28">
        <v>2014</v>
      </c>
      <c r="D54" s="28" t="s">
        <v>1</v>
      </c>
      <c r="E54" s="28" t="s">
        <v>10</v>
      </c>
      <c r="F54" s="28">
        <v>354871</v>
      </c>
      <c r="H54">
        <f>VLOOKUP(A54&amp;B54,ticker_sector[],2,FALSE)</f>
        <v>1</v>
      </c>
      <c r="I54">
        <f>VLOOKUP(C54,year[],2,FALSE)</f>
        <v>4</v>
      </c>
      <c r="J54">
        <f>VLOOKUP(E54,showing[],2,FALSE)</f>
        <v>7</v>
      </c>
      <c r="K54">
        <f>Сектора[[#This Row],[Значение]]</f>
        <v>354871</v>
      </c>
      <c r="L54" t="str">
        <f t="shared" si="0"/>
        <v>INSERT INTO msfo.statements (id_company, id_year, id_showing, value) VALUES (1,4,7,354871);</v>
      </c>
    </row>
    <row r="55" spans="1:12">
      <c r="A55" s="28" t="s">
        <v>35</v>
      </c>
      <c r="B55" s="28" t="s">
        <v>0</v>
      </c>
      <c r="C55" s="28">
        <v>2015</v>
      </c>
      <c r="D55" s="28" t="s">
        <v>1</v>
      </c>
      <c r="E55" s="28" t="s">
        <v>10</v>
      </c>
      <c r="F55" s="28">
        <v>388249</v>
      </c>
      <c r="H55">
        <f>VLOOKUP(A55&amp;B55,ticker_sector[],2,FALSE)</f>
        <v>1</v>
      </c>
      <c r="I55">
        <f>VLOOKUP(C55,year[],2,FALSE)</f>
        <v>5</v>
      </c>
      <c r="J55">
        <f>VLOOKUP(E55,showing[],2,FALSE)</f>
        <v>7</v>
      </c>
      <c r="K55">
        <f>Сектора[[#This Row],[Значение]]</f>
        <v>388249</v>
      </c>
      <c r="L55" t="str">
        <f t="shared" si="0"/>
        <v>INSERT INTO msfo.statements (id_company, id_year, id_showing, value) VALUES (1,5,7,388249);</v>
      </c>
    </row>
    <row r="56" spans="1:12">
      <c r="A56" s="28" t="s">
        <v>35</v>
      </c>
      <c r="B56" s="28" t="s">
        <v>0</v>
      </c>
      <c r="C56" s="28">
        <v>2016</v>
      </c>
      <c r="D56" s="28" t="s">
        <v>1</v>
      </c>
      <c r="E56" s="28" t="s">
        <v>10</v>
      </c>
      <c r="F56" s="28">
        <v>435065</v>
      </c>
      <c r="H56">
        <f>VLOOKUP(A56&amp;B56,ticker_sector[],2,FALSE)</f>
        <v>1</v>
      </c>
      <c r="I56">
        <f>VLOOKUP(C56,year[],2,FALSE)</f>
        <v>6</v>
      </c>
      <c r="J56">
        <f>VLOOKUP(E56,showing[],2,FALSE)</f>
        <v>7</v>
      </c>
      <c r="K56">
        <f>Сектора[[#This Row],[Значение]]</f>
        <v>435065</v>
      </c>
      <c r="L56" t="str">
        <f t="shared" si="0"/>
        <v>INSERT INTO msfo.statements (id_company, id_year, id_showing, value) VALUES (1,6,7,435065);</v>
      </c>
    </row>
    <row r="57" spans="1:12">
      <c r="A57" s="28" t="s">
        <v>35</v>
      </c>
      <c r="B57" s="28" t="s">
        <v>0</v>
      </c>
      <c r="C57" s="28">
        <v>2017</v>
      </c>
      <c r="D57" s="28" t="s">
        <v>1</v>
      </c>
      <c r="E57" s="28" t="s">
        <v>10</v>
      </c>
      <c r="F57" s="28">
        <v>472714</v>
      </c>
      <c r="H57">
        <f>VLOOKUP(A57&amp;B57,ticker_sector[],2,FALSE)</f>
        <v>1</v>
      </c>
      <c r="I57">
        <f>VLOOKUP(C57,year[],2,FALSE)</f>
        <v>7</v>
      </c>
      <c r="J57">
        <f>VLOOKUP(E57,showing[],2,FALSE)</f>
        <v>7</v>
      </c>
      <c r="K57">
        <f>Сектора[[#This Row],[Значение]]</f>
        <v>472714</v>
      </c>
      <c r="L57" t="str">
        <f t="shared" si="0"/>
        <v>INSERT INTO msfo.statements (id_company, id_year, id_showing, value) VALUES (1,7,7,472714);</v>
      </c>
    </row>
    <row r="58" spans="1:12">
      <c r="A58" s="28" t="s">
        <v>35</v>
      </c>
      <c r="B58" s="28" t="s">
        <v>0</v>
      </c>
      <c r="C58" s="28">
        <v>2010</v>
      </c>
      <c r="D58" s="28" t="s">
        <v>1</v>
      </c>
      <c r="E58" s="28" t="s">
        <v>11</v>
      </c>
      <c r="F58" s="28">
        <v>0.65830790005037276</v>
      </c>
      <c r="H58">
        <f>VLOOKUP(A58&amp;B58,ticker_sector[],2,FALSE)</f>
        <v>1</v>
      </c>
      <c r="I58">
        <f>VLOOKUP(C58,year[],2,FALSE)</f>
        <v>0</v>
      </c>
      <c r="J58">
        <f>VLOOKUP(E58,showing[],2,FALSE)</f>
        <v>8</v>
      </c>
      <c r="K58">
        <f>Сектора[[#This Row],[Значение]]</f>
        <v>0.65830790005037276</v>
      </c>
      <c r="L58" t="str">
        <f t="shared" si="0"/>
        <v>INSERT INTO msfo.statements (id_company, id_year, id_showing, value) VALUES (1,0,8,0,658307900050373);</v>
      </c>
    </row>
    <row r="59" spans="1:12">
      <c r="A59" s="28" t="s">
        <v>35</v>
      </c>
      <c r="B59" s="28" t="s">
        <v>0</v>
      </c>
      <c r="C59" s="28">
        <v>2011</v>
      </c>
      <c r="D59" s="28" t="s">
        <v>1</v>
      </c>
      <c r="E59" s="28" t="s">
        <v>11</v>
      </c>
      <c r="F59" s="28">
        <v>0.58363867695918215</v>
      </c>
      <c r="H59">
        <f>VLOOKUP(A59&amp;B59,ticker_sector[],2,FALSE)</f>
        <v>1</v>
      </c>
      <c r="I59">
        <f>VLOOKUP(C59,year[],2,FALSE)</f>
        <v>1</v>
      </c>
      <c r="J59">
        <f>VLOOKUP(E59,showing[],2,FALSE)</f>
        <v>8</v>
      </c>
      <c r="K59">
        <f>Сектора[[#This Row],[Значение]]</f>
        <v>0.58363867695918215</v>
      </c>
      <c r="L59" t="str">
        <f t="shared" si="0"/>
        <v>INSERT INTO msfo.statements (id_company, id_year, id_showing, value) VALUES (1,1,8,0,583638676959182);</v>
      </c>
    </row>
    <row r="60" spans="1:12">
      <c r="A60" s="28" t="s">
        <v>35</v>
      </c>
      <c r="B60" s="28" t="s">
        <v>0</v>
      </c>
      <c r="C60" s="28">
        <v>2012</v>
      </c>
      <c r="D60" s="28" t="s">
        <v>1</v>
      </c>
      <c r="E60" s="28" t="s">
        <v>11</v>
      </c>
      <c r="F60" s="28">
        <v>0.53064773161136103</v>
      </c>
      <c r="H60">
        <f>VLOOKUP(A60&amp;B60,ticker_sector[],2,FALSE)</f>
        <v>1</v>
      </c>
      <c r="I60">
        <f>VLOOKUP(C60,year[],2,FALSE)</f>
        <v>2</v>
      </c>
      <c r="J60">
        <f>VLOOKUP(E60,showing[],2,FALSE)</f>
        <v>8</v>
      </c>
      <c r="K60">
        <f>Сектора[[#This Row],[Значение]]</f>
        <v>0.53064773161136103</v>
      </c>
      <c r="L60" t="str">
        <f t="shared" si="0"/>
        <v>INSERT INTO msfo.statements (id_company, id_year, id_showing, value) VALUES (1,2,8,0,530647731611361);</v>
      </c>
    </row>
    <row r="61" spans="1:12">
      <c r="A61" s="28" t="s">
        <v>35</v>
      </c>
      <c r="B61" s="28" t="s">
        <v>0</v>
      </c>
      <c r="C61" s="28">
        <v>2013</v>
      </c>
      <c r="D61" s="28" t="s">
        <v>1</v>
      </c>
      <c r="E61" s="28" t="s">
        <v>11</v>
      </c>
      <c r="F61" s="28">
        <v>0.54760443570751105</v>
      </c>
      <c r="H61">
        <f>VLOOKUP(A61&amp;B61,ticker_sector[],2,FALSE)</f>
        <v>1</v>
      </c>
      <c r="I61">
        <f>VLOOKUP(C61,year[],2,FALSE)</f>
        <v>3</v>
      </c>
      <c r="J61">
        <f>VLOOKUP(E61,showing[],2,FALSE)</f>
        <v>8</v>
      </c>
      <c r="K61">
        <f>Сектора[[#This Row],[Значение]]</f>
        <v>0.54760443570751105</v>
      </c>
      <c r="L61" t="str">
        <f t="shared" si="0"/>
        <v>INSERT INTO msfo.statements (id_company, id_year, id_showing, value) VALUES (1,3,8,0,547604435707511);</v>
      </c>
    </row>
    <row r="62" spans="1:12">
      <c r="A62" s="28" t="s">
        <v>35</v>
      </c>
      <c r="B62" s="28" t="s">
        <v>0</v>
      </c>
      <c r="C62" s="28">
        <v>2014</v>
      </c>
      <c r="D62" s="28" t="s">
        <v>1</v>
      </c>
      <c r="E62" s="28" t="s">
        <v>11</v>
      </c>
      <c r="F62" s="28">
        <v>0.55065079986812104</v>
      </c>
      <c r="H62">
        <f>VLOOKUP(A62&amp;B62,ticker_sector[],2,FALSE)</f>
        <v>1</v>
      </c>
      <c r="I62">
        <f>VLOOKUP(C62,year[],2,FALSE)</f>
        <v>4</v>
      </c>
      <c r="J62">
        <f>VLOOKUP(E62,showing[],2,FALSE)</f>
        <v>8</v>
      </c>
      <c r="K62">
        <f>Сектора[[#This Row],[Значение]]</f>
        <v>0.55065079986812104</v>
      </c>
      <c r="L62" t="str">
        <f t="shared" si="0"/>
        <v>INSERT INTO msfo.statements (id_company, id_year, id_showing, value) VALUES (1,4,8,0,550650799868121);</v>
      </c>
    </row>
    <row r="63" spans="1:12">
      <c r="A63" s="28" t="s">
        <v>35</v>
      </c>
      <c r="B63" s="28" t="s">
        <v>0</v>
      </c>
      <c r="C63" s="28">
        <v>2015</v>
      </c>
      <c r="D63" s="28" t="s">
        <v>1</v>
      </c>
      <c r="E63" s="28" t="s">
        <v>11</v>
      </c>
      <c r="F63" s="28">
        <v>0.64668550337541109</v>
      </c>
      <c r="H63">
        <f>VLOOKUP(A63&amp;B63,ticker_sector[],2,FALSE)</f>
        <v>1</v>
      </c>
      <c r="I63">
        <f>VLOOKUP(C63,year[],2,FALSE)</f>
        <v>5</v>
      </c>
      <c r="J63">
        <f>VLOOKUP(E63,showing[],2,FALSE)</f>
        <v>8</v>
      </c>
      <c r="K63">
        <f>Сектора[[#This Row],[Значение]]</f>
        <v>0.64668550337541109</v>
      </c>
      <c r="L63" t="str">
        <f t="shared" si="0"/>
        <v>INSERT INTO msfo.statements (id_company, id_year, id_showing, value) VALUES (1,5,8,0,646685503375411);</v>
      </c>
    </row>
    <row r="64" spans="1:12">
      <c r="A64" s="28" t="s">
        <v>35</v>
      </c>
      <c r="B64" s="28" t="s">
        <v>0</v>
      </c>
      <c r="C64" s="28">
        <v>2016</v>
      </c>
      <c r="D64" s="28" t="s">
        <v>1</v>
      </c>
      <c r="E64" s="28" t="s">
        <v>11</v>
      </c>
      <c r="F64" s="28">
        <v>0.65181064898348517</v>
      </c>
      <c r="H64">
        <f>VLOOKUP(A64&amp;B64,ticker_sector[],2,FALSE)</f>
        <v>1</v>
      </c>
      <c r="I64">
        <f>VLOOKUP(C64,year[],2,FALSE)</f>
        <v>6</v>
      </c>
      <c r="J64">
        <f>VLOOKUP(E64,showing[],2,FALSE)</f>
        <v>8</v>
      </c>
      <c r="K64">
        <f>Сектора[[#This Row],[Значение]]</f>
        <v>0.65181064898348517</v>
      </c>
      <c r="L64" t="str">
        <f t="shared" si="0"/>
        <v>INSERT INTO msfo.statements (id_company, id_year, id_showing, value) VALUES (1,6,8,0,651810648983485);</v>
      </c>
    </row>
    <row r="65" spans="1:12">
      <c r="A65" s="28" t="s">
        <v>35</v>
      </c>
      <c r="B65" s="28" t="s">
        <v>0</v>
      </c>
      <c r="C65" s="28">
        <v>2017</v>
      </c>
      <c r="D65" s="28" t="s">
        <v>1</v>
      </c>
      <c r="E65" s="28" t="s">
        <v>11</v>
      </c>
      <c r="F65" s="28">
        <v>0.45639435261066946</v>
      </c>
      <c r="H65">
        <f>VLOOKUP(A65&amp;B65,ticker_sector[],2,FALSE)</f>
        <v>1</v>
      </c>
      <c r="I65">
        <f>VLOOKUP(C65,year[],2,FALSE)</f>
        <v>7</v>
      </c>
      <c r="J65">
        <f>VLOOKUP(E65,showing[],2,FALSE)</f>
        <v>8</v>
      </c>
      <c r="K65">
        <f>Сектора[[#This Row],[Значение]]</f>
        <v>0.45639435261066946</v>
      </c>
      <c r="L65" t="str">
        <f t="shared" si="0"/>
        <v>INSERT INTO msfo.statements (id_company, id_year, id_showing, value) VALUES (1,7,8,0,456394352610669);</v>
      </c>
    </row>
    <row r="66" spans="1:12">
      <c r="A66" s="28" t="s">
        <v>35</v>
      </c>
      <c r="B66" s="28" t="s">
        <v>0</v>
      </c>
      <c r="C66" s="28">
        <v>2010</v>
      </c>
      <c r="D66" s="28" t="s">
        <v>4</v>
      </c>
      <c r="E66" s="28" t="s">
        <v>12</v>
      </c>
      <c r="F66" s="28">
        <v>77949</v>
      </c>
      <c r="H66">
        <f>VLOOKUP(A66&amp;B66,ticker_sector[],2,FALSE)</f>
        <v>1</v>
      </c>
      <c r="I66">
        <f>VLOOKUP(C66,year[],2,FALSE)</f>
        <v>0</v>
      </c>
      <c r="J66">
        <f>VLOOKUP(E66,showing[],2,FALSE)</f>
        <v>9</v>
      </c>
      <c r="K66">
        <f>Сектора[[#This Row],[Значение]]</f>
        <v>77949</v>
      </c>
      <c r="L66" t="str">
        <f t="shared" si="0"/>
        <v>INSERT INTO msfo.statements (id_company, id_year, id_showing, value) VALUES (1,0,9,77949);</v>
      </c>
    </row>
    <row r="67" spans="1:12">
      <c r="A67" s="28" t="s">
        <v>35</v>
      </c>
      <c r="B67" s="28" t="s">
        <v>0</v>
      </c>
      <c r="C67" s="28">
        <v>2011</v>
      </c>
      <c r="D67" s="28" t="s">
        <v>4</v>
      </c>
      <c r="E67" s="28" t="s">
        <v>12</v>
      </c>
      <c r="F67" s="28">
        <v>113394</v>
      </c>
      <c r="H67">
        <f>VLOOKUP(A67&amp;B67,ticker_sector[],2,FALSE)</f>
        <v>1</v>
      </c>
      <c r="I67">
        <f>VLOOKUP(C67,year[],2,FALSE)</f>
        <v>1</v>
      </c>
      <c r="J67">
        <f>VLOOKUP(E67,showing[],2,FALSE)</f>
        <v>9</v>
      </c>
      <c r="K67">
        <f>Сектора[[#This Row],[Значение]]</f>
        <v>113394</v>
      </c>
      <c r="L67" t="str">
        <f t="shared" ref="L67:L130" si="1">"INSERT INTO msfo.statements (id_company, id_year, id_showing, value) VALUES ("&amp;H67&amp; ","&amp;I67&amp; ","&amp;J67&amp; ","&amp;K67&amp;");"</f>
        <v>INSERT INTO msfo.statements (id_company, id_year, id_showing, value) VALUES (1,1,9,113394);</v>
      </c>
    </row>
    <row r="68" spans="1:12">
      <c r="A68" s="28" t="s">
        <v>35</v>
      </c>
      <c r="B68" s="28" t="s">
        <v>0</v>
      </c>
      <c r="C68" s="28">
        <v>2012</v>
      </c>
      <c r="D68" s="28" t="s">
        <v>4</v>
      </c>
      <c r="E68" s="28" t="s">
        <v>12</v>
      </c>
      <c r="F68" s="28">
        <v>137732</v>
      </c>
      <c r="H68">
        <f>VLOOKUP(A68&amp;B68,ticker_sector[],2,FALSE)</f>
        <v>1</v>
      </c>
      <c r="I68">
        <f>VLOOKUP(C68,year[],2,FALSE)</f>
        <v>2</v>
      </c>
      <c r="J68">
        <f>VLOOKUP(E68,showing[],2,FALSE)</f>
        <v>9</v>
      </c>
      <c r="K68">
        <f>Сектора[[#This Row],[Значение]]</f>
        <v>137732</v>
      </c>
      <c r="L68" t="str">
        <f t="shared" si="1"/>
        <v>INSERT INTO msfo.statements (id_company, id_year, id_showing, value) VALUES (1,2,9,137732);</v>
      </c>
    </row>
    <row r="69" spans="1:12">
      <c r="A69" s="28" t="s">
        <v>35</v>
      </c>
      <c r="B69" s="28" t="s">
        <v>0</v>
      </c>
      <c r="C69" s="28">
        <v>2013</v>
      </c>
      <c r="D69" s="28" t="s">
        <v>4</v>
      </c>
      <c r="E69" s="28" t="s">
        <v>12</v>
      </c>
      <c r="F69" s="28">
        <v>150880</v>
      </c>
      <c r="H69">
        <f>VLOOKUP(A69&amp;B69,ticker_sector[],2,FALSE)</f>
        <v>1</v>
      </c>
      <c r="I69">
        <f>VLOOKUP(C69,year[],2,FALSE)</f>
        <v>3</v>
      </c>
      <c r="J69">
        <f>VLOOKUP(E69,showing[],2,FALSE)</f>
        <v>9</v>
      </c>
      <c r="K69">
        <f>Сектора[[#This Row],[Значение]]</f>
        <v>150880</v>
      </c>
      <c r="L69" t="str">
        <f t="shared" si="1"/>
        <v>INSERT INTO msfo.statements (id_company, id_year, id_showing, value) VALUES (1,3,9,150880);</v>
      </c>
    </row>
    <row r="70" spans="1:12">
      <c r="A70" s="28" t="s">
        <v>35</v>
      </c>
      <c r="B70" s="28" t="s">
        <v>0</v>
      </c>
      <c r="C70" s="28">
        <v>2014</v>
      </c>
      <c r="D70" s="28" t="s">
        <v>4</v>
      </c>
      <c r="E70" s="28" t="s">
        <v>12</v>
      </c>
      <c r="F70" s="28">
        <v>168505</v>
      </c>
      <c r="H70">
        <f>VLOOKUP(A70&amp;B70,ticker_sector[],2,FALSE)</f>
        <v>1</v>
      </c>
      <c r="I70">
        <f>VLOOKUP(C70,year[],2,FALSE)</f>
        <v>4</v>
      </c>
      <c r="J70">
        <f>VLOOKUP(E70,showing[],2,FALSE)</f>
        <v>9</v>
      </c>
      <c r="K70">
        <f>Сектора[[#This Row],[Значение]]</f>
        <v>168505</v>
      </c>
      <c r="L70" t="str">
        <f t="shared" si="1"/>
        <v>INSERT INTO msfo.statements (id_company, id_year, id_showing, value) VALUES (1,4,9,168505);</v>
      </c>
    </row>
    <row r="71" spans="1:12">
      <c r="A71" s="28" t="s">
        <v>35</v>
      </c>
      <c r="B71" s="28" t="s">
        <v>0</v>
      </c>
      <c r="C71" s="28">
        <v>2015</v>
      </c>
      <c r="D71" s="28" t="s">
        <v>4</v>
      </c>
      <c r="E71" s="28" t="s">
        <v>12</v>
      </c>
      <c r="F71" s="28">
        <v>207159</v>
      </c>
      <c r="H71">
        <f>VLOOKUP(A71&amp;B71,ticker_sector[],2,FALSE)</f>
        <v>1</v>
      </c>
      <c r="I71">
        <f>VLOOKUP(C71,year[],2,FALSE)</f>
        <v>5</v>
      </c>
      <c r="J71">
        <f>VLOOKUP(E71,showing[],2,FALSE)</f>
        <v>9</v>
      </c>
      <c r="K71">
        <f>Сектора[[#This Row],[Значение]]</f>
        <v>207159</v>
      </c>
      <c r="L71" t="str">
        <f t="shared" si="1"/>
        <v>INSERT INTO msfo.statements (id_company, id_year, id_showing, value) VALUES (1,5,9,207159);</v>
      </c>
    </row>
    <row r="72" spans="1:12">
      <c r="A72" s="28" t="s">
        <v>35</v>
      </c>
      <c r="B72" s="28" t="s">
        <v>0</v>
      </c>
      <c r="C72" s="28">
        <v>2016</v>
      </c>
      <c r="D72" s="28" t="s">
        <v>4</v>
      </c>
      <c r="E72" s="28" t="s">
        <v>12</v>
      </c>
      <c r="F72" s="28">
        <v>224524</v>
      </c>
      <c r="H72">
        <f>VLOOKUP(A72&amp;B72,ticker_sector[],2,FALSE)</f>
        <v>1</v>
      </c>
      <c r="I72">
        <f>VLOOKUP(C72,year[],2,FALSE)</f>
        <v>6</v>
      </c>
      <c r="J72">
        <f>VLOOKUP(E72,showing[],2,FALSE)</f>
        <v>9</v>
      </c>
      <c r="K72">
        <f>Сектора[[#This Row],[Значение]]</f>
        <v>224524</v>
      </c>
      <c r="L72" t="str">
        <f t="shared" si="1"/>
        <v>INSERT INTO msfo.statements (id_company, id_year, id_showing, value) VALUES (1,6,9,224524);</v>
      </c>
    </row>
    <row r="73" spans="1:12">
      <c r="A73" s="28" t="s">
        <v>35</v>
      </c>
      <c r="B73" s="28" t="s">
        <v>0</v>
      </c>
      <c r="C73" s="28">
        <v>2017</v>
      </c>
      <c r="D73" s="28" t="s">
        <v>4</v>
      </c>
      <c r="E73" s="28" t="s">
        <v>12</v>
      </c>
      <c r="F73" s="28">
        <v>317090</v>
      </c>
      <c r="H73">
        <f>VLOOKUP(A73&amp;B73,ticker_sector[],2,FALSE)</f>
        <v>1</v>
      </c>
      <c r="I73">
        <f>VLOOKUP(C73,year[],2,FALSE)</f>
        <v>7</v>
      </c>
      <c r="J73">
        <f>VLOOKUP(E73,showing[],2,FALSE)</f>
        <v>9</v>
      </c>
      <c r="K73">
        <f>Сектора[[#This Row],[Значение]]</f>
        <v>317090</v>
      </c>
      <c r="L73" t="str">
        <f t="shared" si="1"/>
        <v>INSERT INTO msfo.statements (id_company, id_year, id_showing, value) VALUES (1,7,9,317090);</v>
      </c>
    </row>
    <row r="74" spans="1:12">
      <c r="A74" s="28" t="s">
        <v>35</v>
      </c>
      <c r="B74" s="28" t="s">
        <v>0</v>
      </c>
      <c r="C74" s="28">
        <v>2010</v>
      </c>
      <c r="D74" s="28" t="s">
        <v>4</v>
      </c>
      <c r="E74" s="28" t="s">
        <v>13</v>
      </c>
      <c r="F74" s="28">
        <v>3437</v>
      </c>
      <c r="H74">
        <f>VLOOKUP(A74&amp;B74,ticker_sector[],2,FALSE)</f>
        <v>1</v>
      </c>
      <c r="I74">
        <f>VLOOKUP(C74,year[],2,FALSE)</f>
        <v>0</v>
      </c>
      <c r="J74">
        <f>VLOOKUP(E74,showing[],2,FALSE)</f>
        <v>10</v>
      </c>
      <c r="K74">
        <f>Сектора[[#This Row],[Значение]]</f>
        <v>3437</v>
      </c>
      <c r="L74" t="str">
        <f t="shared" si="1"/>
        <v>INSERT INTO msfo.statements (id_company, id_year, id_showing, value) VALUES (1,0,10,3437);</v>
      </c>
    </row>
    <row r="75" spans="1:12">
      <c r="A75" s="28" t="s">
        <v>35</v>
      </c>
      <c r="B75" s="28" t="s">
        <v>0</v>
      </c>
      <c r="C75" s="28">
        <v>2011</v>
      </c>
      <c r="D75" s="28" t="s">
        <v>4</v>
      </c>
      <c r="E75" s="28" t="s">
        <v>13</v>
      </c>
      <c r="F75" s="28">
        <v>11690</v>
      </c>
      <c r="H75">
        <f>VLOOKUP(A75&amp;B75,ticker_sector[],2,FALSE)</f>
        <v>1</v>
      </c>
      <c r="I75">
        <f>VLOOKUP(C75,year[],2,FALSE)</f>
        <v>1</v>
      </c>
      <c r="J75">
        <f>VLOOKUP(E75,showing[],2,FALSE)</f>
        <v>10</v>
      </c>
      <c r="K75">
        <f>Сектора[[#This Row],[Значение]]</f>
        <v>11690</v>
      </c>
      <c r="L75" t="str">
        <f t="shared" si="1"/>
        <v>INSERT INTO msfo.statements (id_company, id_year, id_showing, value) VALUES (1,1,10,11690);</v>
      </c>
    </row>
    <row r="76" spans="1:12">
      <c r="A76" s="28" t="s">
        <v>35</v>
      </c>
      <c r="B76" s="28" t="s">
        <v>0</v>
      </c>
      <c r="C76" s="28">
        <v>2012</v>
      </c>
      <c r="D76" s="28" t="s">
        <v>4</v>
      </c>
      <c r="E76" s="28" t="s">
        <v>13</v>
      </c>
      <c r="F76" s="28">
        <v>26480</v>
      </c>
      <c r="H76">
        <f>VLOOKUP(A76&amp;B76,ticker_sector[],2,FALSE)</f>
        <v>1</v>
      </c>
      <c r="I76">
        <f>VLOOKUP(C76,year[],2,FALSE)</f>
        <v>2</v>
      </c>
      <c r="J76">
        <f>VLOOKUP(E76,showing[],2,FALSE)</f>
        <v>10</v>
      </c>
      <c r="K76">
        <f>Сектора[[#This Row],[Значение]]</f>
        <v>26480</v>
      </c>
      <c r="L76" t="str">
        <f t="shared" si="1"/>
        <v>INSERT INTO msfo.statements (id_company, id_year, id_showing, value) VALUES (1,2,10,26480);</v>
      </c>
    </row>
    <row r="77" spans="1:12">
      <c r="A77" s="28" t="s">
        <v>35</v>
      </c>
      <c r="B77" s="28" t="s">
        <v>0</v>
      </c>
      <c r="C77" s="28">
        <v>2013</v>
      </c>
      <c r="D77" s="28" t="s">
        <v>4</v>
      </c>
      <c r="E77" s="28" t="s">
        <v>13</v>
      </c>
      <c r="F77" s="28">
        <v>32634</v>
      </c>
      <c r="H77">
        <f>VLOOKUP(A77&amp;B77,ticker_sector[],2,FALSE)</f>
        <v>1</v>
      </c>
      <c r="I77">
        <f>VLOOKUP(C77,year[],2,FALSE)</f>
        <v>3</v>
      </c>
      <c r="J77">
        <f>VLOOKUP(E77,showing[],2,FALSE)</f>
        <v>10</v>
      </c>
      <c r="K77">
        <f>Сектора[[#This Row],[Значение]]</f>
        <v>32634</v>
      </c>
      <c r="L77" t="str">
        <f t="shared" si="1"/>
        <v>INSERT INTO msfo.statements (id_company, id_year, id_showing, value) VALUES (1,3,10,32634);</v>
      </c>
    </row>
    <row r="78" spans="1:12">
      <c r="A78" s="28" t="s">
        <v>35</v>
      </c>
      <c r="B78" s="28" t="s">
        <v>0</v>
      </c>
      <c r="C78" s="28">
        <v>2014</v>
      </c>
      <c r="D78" s="28" t="s">
        <v>4</v>
      </c>
      <c r="E78" s="28" t="s">
        <v>13</v>
      </c>
      <c r="F78" s="28">
        <v>30917</v>
      </c>
      <c r="H78">
        <f>VLOOKUP(A78&amp;B78,ticker_sector[],2,FALSE)</f>
        <v>1</v>
      </c>
      <c r="I78">
        <f>VLOOKUP(C78,year[],2,FALSE)</f>
        <v>4</v>
      </c>
      <c r="J78">
        <f>VLOOKUP(E78,showing[],2,FALSE)</f>
        <v>10</v>
      </c>
      <c r="K78">
        <f>Сектора[[#This Row],[Значение]]</f>
        <v>30917</v>
      </c>
      <c r="L78" t="str">
        <f t="shared" si="1"/>
        <v>INSERT INTO msfo.statements (id_company, id_year, id_showing, value) VALUES (1,4,10,30917);</v>
      </c>
    </row>
    <row r="79" spans="1:12">
      <c r="A79" s="28" t="s">
        <v>35</v>
      </c>
      <c r="B79" s="28" t="s">
        <v>0</v>
      </c>
      <c r="C79" s="28">
        <v>2015</v>
      </c>
      <c r="D79" s="28" t="s">
        <v>4</v>
      </c>
      <c r="E79" s="28" t="s">
        <v>13</v>
      </c>
      <c r="F79" s="28">
        <v>-17952</v>
      </c>
      <c r="H79">
        <f>VLOOKUP(A79&amp;B79,ticker_sector[],2,FALSE)</f>
        <v>1</v>
      </c>
      <c r="I79">
        <f>VLOOKUP(C79,year[],2,FALSE)</f>
        <v>5</v>
      </c>
      <c r="J79">
        <f>VLOOKUP(E79,showing[],2,FALSE)</f>
        <v>10</v>
      </c>
      <c r="K79">
        <f>Сектора[[#This Row],[Значение]]</f>
        <v>-17952</v>
      </c>
      <c r="L79" t="str">
        <f t="shared" si="1"/>
        <v>INSERT INTO msfo.statements (id_company, id_year, id_showing, value) VALUES (1,5,10,-17952);</v>
      </c>
    </row>
    <row r="80" spans="1:12">
      <c r="A80" s="28" t="s">
        <v>35</v>
      </c>
      <c r="B80" s="28" t="s">
        <v>0</v>
      </c>
      <c r="C80" s="28">
        <v>2016</v>
      </c>
      <c r="D80" s="28" t="s">
        <v>4</v>
      </c>
      <c r="E80" s="28" t="s">
        <v>13</v>
      </c>
      <c r="F80" s="28">
        <v>30674</v>
      </c>
      <c r="H80">
        <f>VLOOKUP(A80&amp;B80,ticker_sector[],2,FALSE)</f>
        <v>1</v>
      </c>
      <c r="I80">
        <f>VLOOKUP(C80,year[],2,FALSE)</f>
        <v>6</v>
      </c>
      <c r="J80">
        <f>VLOOKUP(E80,showing[],2,FALSE)</f>
        <v>10</v>
      </c>
      <c r="K80">
        <f>Сектора[[#This Row],[Значение]]</f>
        <v>30674</v>
      </c>
      <c r="L80" t="str">
        <f t="shared" si="1"/>
        <v>INSERT INTO msfo.statements (id_company, id_year, id_showing, value) VALUES (1,6,10,30674);</v>
      </c>
    </row>
    <row r="81" spans="1:12">
      <c r="A81" s="28" t="s">
        <v>35</v>
      </c>
      <c r="B81" s="28" t="s">
        <v>0</v>
      </c>
      <c r="C81" s="28">
        <v>2017</v>
      </c>
      <c r="D81" s="28" t="s">
        <v>4</v>
      </c>
      <c r="E81" s="28" t="s">
        <v>13</v>
      </c>
      <c r="F81" s="28">
        <v>131392</v>
      </c>
      <c r="H81">
        <f>VLOOKUP(A81&amp;B81,ticker_sector[],2,FALSE)</f>
        <v>1</v>
      </c>
      <c r="I81">
        <f>VLOOKUP(C81,year[],2,FALSE)</f>
        <v>7</v>
      </c>
      <c r="J81">
        <f>VLOOKUP(E81,showing[],2,FALSE)</f>
        <v>10</v>
      </c>
      <c r="K81">
        <f>Сектора[[#This Row],[Значение]]</f>
        <v>131392</v>
      </c>
      <c r="L81" t="str">
        <f t="shared" si="1"/>
        <v>INSERT INTO msfo.statements (id_company, id_year, id_showing, value) VALUES (1,7,10,131392);</v>
      </c>
    </row>
    <row r="82" spans="1:12">
      <c r="A82" s="28" t="s">
        <v>35</v>
      </c>
      <c r="B82" s="28" t="s">
        <v>0</v>
      </c>
      <c r="C82" s="28">
        <v>2010</v>
      </c>
      <c r="D82" s="28" t="s">
        <v>4</v>
      </c>
      <c r="E82" s="28" t="s">
        <v>14</v>
      </c>
      <c r="F82" s="28">
        <v>2557.6420173967826</v>
      </c>
      <c r="H82">
        <f>VLOOKUP(A82&amp;B82,ticker_sector[],2,FALSE)</f>
        <v>1</v>
      </c>
      <c r="I82">
        <f>VLOOKUP(C82,year[],2,FALSE)</f>
        <v>0</v>
      </c>
      <c r="J82">
        <f>VLOOKUP(E82,showing[],2,FALSE)</f>
        <v>11</v>
      </c>
      <c r="K82">
        <f>Сектора[[#This Row],[Значение]]</f>
        <v>2557.6420173967826</v>
      </c>
      <c r="L82" t="str">
        <f t="shared" si="1"/>
        <v>INSERT INTO msfo.statements (id_company, id_year, id_showing, value) VALUES (1,0,11,2557,64201739678);</v>
      </c>
    </row>
    <row r="83" spans="1:12">
      <c r="A83" s="28" t="s">
        <v>35</v>
      </c>
      <c r="B83" s="28" t="s">
        <v>0</v>
      </c>
      <c r="C83" s="28">
        <v>2011</v>
      </c>
      <c r="D83" s="28" t="s">
        <v>4</v>
      </c>
      <c r="E83" s="28" t="s">
        <v>14</v>
      </c>
      <c r="F83" s="28">
        <v>3521.9793701721637</v>
      </c>
      <c r="H83">
        <f>VLOOKUP(A83&amp;B83,ticker_sector[],2,FALSE)</f>
        <v>1</v>
      </c>
      <c r="I83">
        <f>VLOOKUP(C83,year[],2,FALSE)</f>
        <v>1</v>
      </c>
      <c r="J83">
        <f>VLOOKUP(E83,showing[],2,FALSE)</f>
        <v>11</v>
      </c>
      <c r="K83">
        <f>Сектора[[#This Row],[Значение]]</f>
        <v>3521.9793701721637</v>
      </c>
      <c r="L83" t="str">
        <f t="shared" si="1"/>
        <v>INSERT INTO msfo.statements (id_company, id_year, id_showing, value) VALUES (1,1,11,3521,97937017216);</v>
      </c>
    </row>
    <row r="84" spans="1:12">
      <c r="A84" s="28" t="s">
        <v>35</v>
      </c>
      <c r="B84" s="28" t="s">
        <v>0</v>
      </c>
      <c r="C84" s="28">
        <v>2012</v>
      </c>
      <c r="D84" s="28" t="s">
        <v>4</v>
      </c>
      <c r="E84" s="28" t="s">
        <v>14</v>
      </c>
      <c r="F84" s="28">
        <v>4534.7302017930579</v>
      </c>
      <c r="H84">
        <f>VLOOKUP(A84&amp;B84,ticker_sector[],2,FALSE)</f>
        <v>1</v>
      </c>
      <c r="I84">
        <f>VLOOKUP(C84,year[],2,FALSE)</f>
        <v>2</v>
      </c>
      <c r="J84">
        <f>VLOOKUP(E84,showing[],2,FALSE)</f>
        <v>11</v>
      </c>
      <c r="K84">
        <f>Сектора[[#This Row],[Значение]]</f>
        <v>4534.7302017930579</v>
      </c>
      <c r="L84" t="str">
        <f t="shared" si="1"/>
        <v>INSERT INTO msfo.statements (id_company, id_year, id_showing, value) VALUES (1,2,11,4534,73020179306);</v>
      </c>
    </row>
    <row r="85" spans="1:12">
      <c r="A85" s="28" t="s">
        <v>35</v>
      </c>
      <c r="B85" s="28" t="s">
        <v>0</v>
      </c>
      <c r="C85" s="28">
        <v>2013</v>
      </c>
      <c r="D85" s="28" t="s">
        <v>4</v>
      </c>
      <c r="E85" s="28" t="s">
        <v>14</v>
      </c>
      <c r="F85" s="28">
        <v>4609.9507473448784</v>
      </c>
      <c r="H85">
        <f>VLOOKUP(A85&amp;B85,ticker_sector[],2,FALSE)</f>
        <v>1</v>
      </c>
      <c r="I85">
        <f>VLOOKUP(C85,year[],2,FALSE)</f>
        <v>3</v>
      </c>
      <c r="J85">
        <f>VLOOKUP(E85,showing[],2,FALSE)</f>
        <v>11</v>
      </c>
      <c r="K85">
        <f>Сектора[[#This Row],[Значение]]</f>
        <v>4609.9507473448784</v>
      </c>
      <c r="L85" t="str">
        <f t="shared" si="1"/>
        <v>INSERT INTO msfo.statements (id_company, id_year, id_showing, value) VALUES (1,3,11,4609,95074734488);</v>
      </c>
    </row>
    <row r="86" spans="1:12">
      <c r="A86" s="28" t="s">
        <v>35</v>
      </c>
      <c r="B86" s="28" t="s">
        <v>0</v>
      </c>
      <c r="C86" s="28">
        <v>2014</v>
      </c>
      <c r="D86" s="28" t="s">
        <v>4</v>
      </c>
      <c r="E86" s="28" t="s">
        <v>14</v>
      </c>
      <c r="F86" s="28">
        <v>2995.1971616683018</v>
      </c>
      <c r="H86">
        <f>VLOOKUP(A86&amp;B86,ticker_sector[],2,FALSE)</f>
        <v>1</v>
      </c>
      <c r="I86">
        <f>VLOOKUP(C86,year[],2,FALSE)</f>
        <v>4</v>
      </c>
      <c r="J86">
        <f>VLOOKUP(E86,showing[],2,FALSE)</f>
        <v>11</v>
      </c>
      <c r="K86">
        <f>Сектора[[#This Row],[Значение]]</f>
        <v>2995.1971616683018</v>
      </c>
      <c r="L86" t="str">
        <f t="shared" si="1"/>
        <v>INSERT INTO msfo.statements (id_company, id_year, id_showing, value) VALUES (1,4,11,2995,1971616683);</v>
      </c>
    </row>
    <row r="87" spans="1:12">
      <c r="A87" s="28" t="s">
        <v>35</v>
      </c>
      <c r="B87" s="28" t="s">
        <v>0</v>
      </c>
      <c r="C87" s="28">
        <v>2015</v>
      </c>
      <c r="D87" s="28" t="s">
        <v>4</v>
      </c>
      <c r="E87" s="28" t="s">
        <v>14</v>
      </c>
      <c r="F87" s="28">
        <v>2842.3617676074018</v>
      </c>
      <c r="H87">
        <f>VLOOKUP(A87&amp;B87,ticker_sector[],2,FALSE)</f>
        <v>1</v>
      </c>
      <c r="I87">
        <f>VLOOKUP(C87,year[],2,FALSE)</f>
        <v>5</v>
      </c>
      <c r="J87">
        <f>VLOOKUP(E87,showing[],2,FALSE)</f>
        <v>11</v>
      </c>
      <c r="K87">
        <f>Сектора[[#This Row],[Значение]]</f>
        <v>2842.3617676074018</v>
      </c>
      <c r="L87" t="str">
        <f t="shared" si="1"/>
        <v>INSERT INTO msfo.statements (id_company, id_year, id_showing, value) VALUES (1,5,11,2842,3617676074);</v>
      </c>
    </row>
    <row r="88" spans="1:12">
      <c r="A88" s="28" t="s">
        <v>35</v>
      </c>
      <c r="B88" s="28" t="s">
        <v>0</v>
      </c>
      <c r="C88" s="28">
        <v>2016</v>
      </c>
      <c r="D88" s="28" t="s">
        <v>4</v>
      </c>
      <c r="E88" s="28" t="s">
        <v>14</v>
      </c>
      <c r="F88" s="28">
        <v>3701.5409623637211</v>
      </c>
      <c r="H88">
        <f>VLOOKUP(A88&amp;B88,ticker_sector[],2,FALSE)</f>
        <v>1</v>
      </c>
      <c r="I88">
        <f>VLOOKUP(C88,year[],2,FALSE)</f>
        <v>6</v>
      </c>
      <c r="J88">
        <f>VLOOKUP(E88,showing[],2,FALSE)</f>
        <v>11</v>
      </c>
      <c r="K88">
        <f>Сектора[[#This Row],[Значение]]</f>
        <v>3701.5409623637211</v>
      </c>
      <c r="L88" t="str">
        <f t="shared" si="1"/>
        <v>INSERT INTO msfo.statements (id_company, id_year, id_showing, value) VALUES (1,6,11,3701,54096236372);</v>
      </c>
    </row>
    <row r="89" spans="1:12">
      <c r="A89" s="28" t="s">
        <v>35</v>
      </c>
      <c r="B89" s="28" t="s">
        <v>0</v>
      </c>
      <c r="C89" s="28">
        <v>2017</v>
      </c>
      <c r="D89" s="28" t="s">
        <v>4</v>
      </c>
      <c r="E89" s="28" t="s">
        <v>14</v>
      </c>
      <c r="F89" s="28">
        <v>5505.0156075846962</v>
      </c>
      <c r="H89">
        <f>VLOOKUP(A89&amp;B89,ticker_sector[],2,FALSE)</f>
        <v>1</v>
      </c>
      <c r="I89">
        <f>VLOOKUP(C89,year[],2,FALSE)</f>
        <v>7</v>
      </c>
      <c r="J89">
        <f>VLOOKUP(E89,showing[],2,FALSE)</f>
        <v>11</v>
      </c>
      <c r="K89">
        <f>Сектора[[#This Row],[Значение]]</f>
        <v>5505.0156075846962</v>
      </c>
      <c r="L89" t="str">
        <f t="shared" si="1"/>
        <v>INSERT INTO msfo.statements (id_company, id_year, id_showing, value) VALUES (1,7,11,5505,0156075847);</v>
      </c>
    </row>
    <row r="90" spans="1:12">
      <c r="A90" s="28" t="s">
        <v>35</v>
      </c>
      <c r="B90" s="28" t="s">
        <v>0</v>
      </c>
      <c r="C90" s="28">
        <v>2010</v>
      </c>
      <c r="D90" s="28" t="s">
        <v>4</v>
      </c>
      <c r="E90" s="28" t="s">
        <v>15</v>
      </c>
      <c r="F90" s="28">
        <v>112.77393698177964</v>
      </c>
      <c r="H90">
        <f>VLOOKUP(A90&amp;B90,ticker_sector[],2,FALSE)</f>
        <v>1</v>
      </c>
      <c r="I90">
        <f>VLOOKUP(C90,year[],2,FALSE)</f>
        <v>0</v>
      </c>
      <c r="J90">
        <f>VLOOKUP(E90,showing[],2,FALSE)</f>
        <v>12</v>
      </c>
      <c r="K90">
        <f>Сектора[[#This Row],[Значение]]</f>
        <v>112.77393698177964</v>
      </c>
      <c r="L90" t="str">
        <f t="shared" si="1"/>
        <v>INSERT INTO msfo.statements (id_company, id_year, id_showing, value) VALUES (1,0,12,112,77393698178);</v>
      </c>
    </row>
    <row r="91" spans="1:12">
      <c r="A91" s="28" t="s">
        <v>35</v>
      </c>
      <c r="B91" s="28" t="s">
        <v>0</v>
      </c>
      <c r="C91" s="28">
        <v>2011</v>
      </c>
      <c r="D91" s="28" t="s">
        <v>4</v>
      </c>
      <c r="E91" s="28" t="s">
        <v>15</v>
      </c>
      <c r="F91" s="28">
        <v>363.08745469171731</v>
      </c>
      <c r="H91">
        <f>VLOOKUP(A91&amp;B91,ticker_sector[],2,FALSE)</f>
        <v>1</v>
      </c>
      <c r="I91">
        <f>VLOOKUP(C91,year[],2,FALSE)</f>
        <v>1</v>
      </c>
      <c r="J91">
        <f>VLOOKUP(E91,showing[],2,FALSE)</f>
        <v>12</v>
      </c>
      <c r="K91">
        <f>Сектора[[#This Row],[Значение]]</f>
        <v>363.08745469171731</v>
      </c>
      <c r="L91" t="str">
        <f t="shared" si="1"/>
        <v>INSERT INTO msfo.statements (id_company, id_year, id_showing, value) VALUES (1,1,12,363,087454691717);</v>
      </c>
    </row>
    <row r="92" spans="1:12">
      <c r="A92" s="28" t="s">
        <v>35</v>
      </c>
      <c r="B92" s="28" t="s">
        <v>0</v>
      </c>
      <c r="C92" s="28">
        <v>2012</v>
      </c>
      <c r="D92" s="28" t="s">
        <v>4</v>
      </c>
      <c r="E92" s="28" t="s">
        <v>15</v>
      </c>
      <c r="F92" s="28">
        <v>871.83556285743452</v>
      </c>
      <c r="H92">
        <f>VLOOKUP(A92&amp;B92,ticker_sector[],2,FALSE)</f>
        <v>1</v>
      </c>
      <c r="I92">
        <f>VLOOKUP(C92,year[],2,FALSE)</f>
        <v>2</v>
      </c>
      <c r="J92">
        <f>VLOOKUP(E92,showing[],2,FALSE)</f>
        <v>12</v>
      </c>
      <c r="K92">
        <f>Сектора[[#This Row],[Значение]]</f>
        <v>871.83556285743452</v>
      </c>
      <c r="L92" t="str">
        <f t="shared" si="1"/>
        <v>INSERT INTO msfo.statements (id_company, id_year, id_showing, value) VALUES (1,2,12,871,835562857435);</v>
      </c>
    </row>
    <row r="93" spans="1:12">
      <c r="A93" s="28" t="s">
        <v>35</v>
      </c>
      <c r="B93" s="28" t="s">
        <v>0</v>
      </c>
      <c r="C93" s="28">
        <v>2013</v>
      </c>
      <c r="D93" s="28" t="s">
        <v>4</v>
      </c>
      <c r="E93" s="28" t="s">
        <v>15</v>
      </c>
      <c r="F93" s="28">
        <v>997.09128240225857</v>
      </c>
      <c r="H93">
        <f>VLOOKUP(A93&amp;B93,ticker_sector[],2,FALSE)</f>
        <v>1</v>
      </c>
      <c r="I93">
        <f>VLOOKUP(C93,year[],2,FALSE)</f>
        <v>3</v>
      </c>
      <c r="J93">
        <f>VLOOKUP(E93,showing[],2,FALSE)</f>
        <v>12</v>
      </c>
      <c r="K93">
        <f>Сектора[[#This Row],[Значение]]</f>
        <v>997.09128240225857</v>
      </c>
      <c r="L93" t="str">
        <f t="shared" si="1"/>
        <v>INSERT INTO msfo.statements (id_company, id_year, id_showing, value) VALUES (1,3,12,997,091282402259);</v>
      </c>
    </row>
    <row r="94" spans="1:12">
      <c r="A94" s="28" t="s">
        <v>35</v>
      </c>
      <c r="B94" s="28" t="s">
        <v>0</v>
      </c>
      <c r="C94" s="28">
        <v>2014</v>
      </c>
      <c r="D94" s="28" t="s">
        <v>4</v>
      </c>
      <c r="E94" s="28" t="s">
        <v>15</v>
      </c>
      <c r="F94" s="28">
        <v>549.55348890121297</v>
      </c>
      <c r="H94">
        <f>VLOOKUP(A94&amp;B94,ticker_sector[],2,FALSE)</f>
        <v>1</v>
      </c>
      <c r="I94">
        <f>VLOOKUP(C94,year[],2,FALSE)</f>
        <v>4</v>
      </c>
      <c r="J94">
        <f>VLOOKUP(E94,showing[],2,FALSE)</f>
        <v>12</v>
      </c>
      <c r="K94">
        <f>Сектора[[#This Row],[Значение]]</f>
        <v>549.55348890121297</v>
      </c>
      <c r="L94" t="str">
        <f t="shared" si="1"/>
        <v>INSERT INTO msfo.statements (id_company, id_year, id_showing, value) VALUES (1,4,12,549,553488901213);</v>
      </c>
    </row>
    <row r="95" spans="1:12">
      <c r="A95" s="28" t="s">
        <v>35</v>
      </c>
      <c r="B95" s="28" t="s">
        <v>0</v>
      </c>
      <c r="C95" s="28">
        <v>2015</v>
      </c>
      <c r="D95" s="28" t="s">
        <v>4</v>
      </c>
      <c r="E95" s="28" t="s">
        <v>15</v>
      </c>
      <c r="F95" s="28">
        <v>-246.31359705389619</v>
      </c>
      <c r="H95">
        <f>VLOOKUP(A95&amp;B95,ticker_sector[],2,FALSE)</f>
        <v>1</v>
      </c>
      <c r="I95">
        <f>VLOOKUP(C95,year[],2,FALSE)</f>
        <v>5</v>
      </c>
      <c r="J95">
        <f>VLOOKUP(E95,showing[],2,FALSE)</f>
        <v>12</v>
      </c>
      <c r="K95">
        <f>Сектора[[#This Row],[Значение]]</f>
        <v>-246.31359705389619</v>
      </c>
      <c r="L95" t="str">
        <f t="shared" si="1"/>
        <v>INSERT INTO msfo.statements (id_company, id_year, id_showing, value) VALUES (1,5,12,-246,313597053896);</v>
      </c>
    </row>
    <row r="96" spans="1:12">
      <c r="A96" s="28" t="s">
        <v>35</v>
      </c>
      <c r="B96" s="28" t="s">
        <v>0</v>
      </c>
      <c r="C96" s="28">
        <v>2016</v>
      </c>
      <c r="D96" s="28" t="s">
        <v>4</v>
      </c>
      <c r="E96" s="28" t="s">
        <v>15</v>
      </c>
      <c r="F96" s="28">
        <v>505.69679624247198</v>
      </c>
      <c r="H96">
        <f>VLOOKUP(A96&amp;B96,ticker_sector[],2,FALSE)</f>
        <v>1</v>
      </c>
      <c r="I96">
        <f>VLOOKUP(C96,year[],2,FALSE)</f>
        <v>6</v>
      </c>
      <c r="J96">
        <f>VLOOKUP(E96,showing[],2,FALSE)</f>
        <v>12</v>
      </c>
      <c r="K96">
        <f>Сектора[[#This Row],[Значение]]</f>
        <v>505.69679624247198</v>
      </c>
      <c r="L96" t="str">
        <f t="shared" si="1"/>
        <v>INSERT INTO msfo.statements (id_company, id_year, id_showing, value) VALUES (1,6,12,505,696796242472);</v>
      </c>
    </row>
    <row r="97" spans="1:12">
      <c r="A97" s="28" t="s">
        <v>35</v>
      </c>
      <c r="B97" s="28" t="s">
        <v>0</v>
      </c>
      <c r="C97" s="28">
        <v>2017</v>
      </c>
      <c r="D97" s="28" t="s">
        <v>4</v>
      </c>
      <c r="E97" s="28" t="s">
        <v>15</v>
      </c>
      <c r="F97" s="28">
        <v>2281.1031906139215</v>
      </c>
      <c r="H97">
        <f>VLOOKUP(A97&amp;B97,ticker_sector[],2,FALSE)</f>
        <v>1</v>
      </c>
      <c r="I97">
        <f>VLOOKUP(C97,year[],2,FALSE)</f>
        <v>7</v>
      </c>
      <c r="J97">
        <f>VLOOKUP(E97,showing[],2,FALSE)</f>
        <v>12</v>
      </c>
      <c r="K97">
        <f>Сектора[[#This Row],[Значение]]</f>
        <v>2281.1031906139215</v>
      </c>
      <c r="L97" t="str">
        <f t="shared" si="1"/>
        <v>INSERT INTO msfo.statements (id_company, id_year, id_showing, value) VALUES (1,7,12,2281,10319061392);</v>
      </c>
    </row>
    <row r="98" spans="1:12">
      <c r="A98" s="28" t="s">
        <v>35</v>
      </c>
      <c r="B98" s="28" t="s">
        <v>0</v>
      </c>
      <c r="C98" s="28">
        <v>2010</v>
      </c>
      <c r="D98" s="28" t="s">
        <v>7</v>
      </c>
      <c r="E98" s="28" t="s">
        <v>16</v>
      </c>
      <c r="F98" s="28">
        <v>12297</v>
      </c>
      <c r="H98">
        <f>VLOOKUP(A98&amp;B98,ticker_sector[],2,FALSE)</f>
        <v>1</v>
      </c>
      <c r="I98">
        <f>VLOOKUP(C98,year[],2,FALSE)</f>
        <v>0</v>
      </c>
      <c r="J98">
        <f>VLOOKUP(E98,showing[],2,FALSE)</f>
        <v>13</v>
      </c>
      <c r="K98">
        <f>Сектора[[#This Row],[Значение]]</f>
        <v>12297</v>
      </c>
      <c r="L98" t="str">
        <f t="shared" si="1"/>
        <v>INSERT INTO msfo.statements (id_company, id_year, id_showing, value) VALUES (1,0,13,12297);</v>
      </c>
    </row>
    <row r="99" spans="1:12">
      <c r="A99" s="28" t="s">
        <v>35</v>
      </c>
      <c r="B99" s="28" t="s">
        <v>0</v>
      </c>
      <c r="C99" s="28">
        <v>2011</v>
      </c>
      <c r="D99" s="28" t="s">
        <v>7</v>
      </c>
      <c r="E99" s="28" t="s">
        <v>16</v>
      </c>
      <c r="F99" s="28">
        <v>26884</v>
      </c>
      <c r="H99">
        <f>VLOOKUP(A99&amp;B99,ticker_sector[],2,FALSE)</f>
        <v>1</v>
      </c>
      <c r="I99">
        <f>VLOOKUP(C99,year[],2,FALSE)</f>
        <v>1</v>
      </c>
      <c r="J99">
        <f>VLOOKUP(E99,showing[],2,FALSE)</f>
        <v>13</v>
      </c>
      <c r="K99">
        <f>Сектора[[#This Row],[Значение]]</f>
        <v>26884</v>
      </c>
      <c r="L99" t="str">
        <f t="shared" si="1"/>
        <v>INSERT INTO msfo.statements (id_company, id_year, id_showing, value) VALUES (1,1,13,26884);</v>
      </c>
    </row>
    <row r="100" spans="1:12">
      <c r="A100" s="28" t="s">
        <v>35</v>
      </c>
      <c r="B100" s="28" t="s">
        <v>0</v>
      </c>
      <c r="C100" s="28">
        <v>2012</v>
      </c>
      <c r="D100" s="28" t="s">
        <v>7</v>
      </c>
      <c r="E100" s="28" t="s">
        <v>16</v>
      </c>
      <c r="F100" s="28">
        <v>47019</v>
      </c>
      <c r="H100">
        <f>VLOOKUP(A100&amp;B100,ticker_sector[],2,FALSE)</f>
        <v>1</v>
      </c>
      <c r="I100">
        <f>VLOOKUP(C100,year[],2,FALSE)</f>
        <v>2</v>
      </c>
      <c r="J100">
        <f>VLOOKUP(E100,showing[],2,FALSE)</f>
        <v>13</v>
      </c>
      <c r="K100">
        <f>Сектора[[#This Row],[Значение]]</f>
        <v>47019</v>
      </c>
      <c r="L100" t="str">
        <f t="shared" si="1"/>
        <v>INSERT INTO msfo.statements (id_company, id_year, id_showing, value) VALUES (1,2,13,47019);</v>
      </c>
    </row>
    <row r="101" spans="1:12">
      <c r="A101" s="28" t="s">
        <v>35</v>
      </c>
      <c r="B101" s="28" t="s">
        <v>0</v>
      </c>
      <c r="C101" s="28">
        <v>2013</v>
      </c>
      <c r="D101" s="28" t="s">
        <v>7</v>
      </c>
      <c r="E101" s="28" t="s">
        <v>16</v>
      </c>
      <c r="F101" s="28">
        <v>44408</v>
      </c>
      <c r="H101">
        <f>VLOOKUP(A101&amp;B101,ticker_sector[],2,FALSE)</f>
        <v>1</v>
      </c>
      <c r="I101">
        <f>VLOOKUP(C101,year[],2,FALSE)</f>
        <v>3</v>
      </c>
      <c r="J101">
        <f>VLOOKUP(E101,showing[],2,FALSE)</f>
        <v>13</v>
      </c>
      <c r="K101">
        <f>Сектора[[#This Row],[Значение]]</f>
        <v>44408</v>
      </c>
      <c r="L101" t="str">
        <f t="shared" si="1"/>
        <v>INSERT INTO msfo.statements (id_company, id_year, id_showing, value) VALUES (1,3,13,44408);</v>
      </c>
    </row>
    <row r="102" spans="1:12">
      <c r="A102" s="28" t="s">
        <v>35</v>
      </c>
      <c r="B102" s="28" t="s">
        <v>0</v>
      </c>
      <c r="C102" s="28">
        <v>2014</v>
      </c>
      <c r="D102" s="28" t="s">
        <v>7</v>
      </c>
      <c r="E102" s="28" t="s">
        <v>16</v>
      </c>
      <c r="F102" s="28">
        <v>48463</v>
      </c>
      <c r="H102">
        <f>VLOOKUP(A102&amp;B102,ticker_sector[],2,FALSE)</f>
        <v>1</v>
      </c>
      <c r="I102">
        <f>VLOOKUP(C102,year[],2,FALSE)</f>
        <v>4</v>
      </c>
      <c r="J102">
        <f>VLOOKUP(E102,showing[],2,FALSE)</f>
        <v>13</v>
      </c>
      <c r="K102">
        <f>Сектора[[#This Row],[Значение]]</f>
        <v>48463</v>
      </c>
      <c r="L102" t="str">
        <f t="shared" si="1"/>
        <v>INSERT INTO msfo.statements (id_company, id_year, id_showing, value) VALUES (1,4,13,48463);</v>
      </c>
    </row>
    <row r="103" spans="1:12">
      <c r="A103" s="28" t="s">
        <v>35</v>
      </c>
      <c r="B103" s="28" t="s">
        <v>0</v>
      </c>
      <c r="C103" s="28">
        <v>2015</v>
      </c>
      <c r="D103" s="28" t="s">
        <v>7</v>
      </c>
      <c r="E103" s="28" t="s">
        <v>16</v>
      </c>
      <c r="F103" s="28">
        <v>74872</v>
      </c>
      <c r="H103">
        <f>VLOOKUP(A103&amp;B103,ticker_sector[],2,FALSE)</f>
        <v>1</v>
      </c>
      <c r="I103">
        <f>VLOOKUP(C103,year[],2,FALSE)</f>
        <v>5</v>
      </c>
      <c r="J103">
        <f>VLOOKUP(E103,showing[],2,FALSE)</f>
        <v>13</v>
      </c>
      <c r="K103">
        <f>Сектора[[#This Row],[Значение]]</f>
        <v>74872</v>
      </c>
      <c r="L103" t="str">
        <f t="shared" si="1"/>
        <v>INSERT INTO msfo.statements (id_company, id_year, id_showing, value) VALUES (1,5,13,74872);</v>
      </c>
    </row>
    <row r="104" spans="1:12">
      <c r="A104" s="28" t="s">
        <v>35</v>
      </c>
      <c r="B104" s="28" t="s">
        <v>0</v>
      </c>
      <c r="C104" s="28">
        <v>2016</v>
      </c>
      <c r="D104" s="28" t="s">
        <v>7</v>
      </c>
      <c r="E104" s="28" t="s">
        <v>16</v>
      </c>
      <c r="F104" s="28">
        <v>102832</v>
      </c>
      <c r="H104">
        <f>VLOOKUP(A104&amp;B104,ticker_sector[],2,FALSE)</f>
        <v>1</v>
      </c>
      <c r="I104">
        <f>VLOOKUP(C104,year[],2,FALSE)</f>
        <v>6</v>
      </c>
      <c r="J104">
        <f>VLOOKUP(E104,showing[],2,FALSE)</f>
        <v>13</v>
      </c>
      <c r="K104">
        <f>Сектора[[#This Row],[Значение]]</f>
        <v>102832</v>
      </c>
      <c r="L104" t="str">
        <f t="shared" si="1"/>
        <v>INSERT INTO msfo.statements (id_company, id_year, id_showing, value) VALUES (1,6,13,102832);</v>
      </c>
    </row>
    <row r="105" spans="1:12">
      <c r="A105" s="28" t="s">
        <v>35</v>
      </c>
      <c r="B105" s="28" t="s">
        <v>0</v>
      </c>
      <c r="C105" s="28">
        <v>2017</v>
      </c>
      <c r="D105" s="28" t="s">
        <v>7</v>
      </c>
      <c r="E105" s="28" t="s">
        <v>16</v>
      </c>
      <c r="F105" s="28">
        <v>144183</v>
      </c>
      <c r="H105">
        <f>VLOOKUP(A105&amp;B105,ticker_sector[],2,FALSE)</f>
        <v>1</v>
      </c>
      <c r="I105">
        <f>VLOOKUP(C105,year[],2,FALSE)</f>
        <v>7</v>
      </c>
      <c r="J105">
        <f>VLOOKUP(E105,showing[],2,FALSE)</f>
        <v>13</v>
      </c>
      <c r="K105">
        <f>Сектора[[#This Row],[Значение]]</f>
        <v>144183</v>
      </c>
      <c r="L105" t="str">
        <f t="shared" si="1"/>
        <v>INSERT INTO msfo.statements (id_company, id_year, id_showing, value) VALUES (1,7,13,144183);</v>
      </c>
    </row>
    <row r="106" spans="1:12">
      <c r="A106" s="28" t="s">
        <v>35</v>
      </c>
      <c r="B106" s="28" t="s">
        <v>0</v>
      </c>
      <c r="C106" s="28">
        <v>2010</v>
      </c>
      <c r="D106" s="28" t="s">
        <v>7</v>
      </c>
      <c r="E106" s="28" t="s">
        <v>17</v>
      </c>
      <c r="F106" s="28">
        <v>403.48591884345194</v>
      </c>
      <c r="H106">
        <f>VLOOKUP(A106&amp;B106,ticker_sector[],2,FALSE)</f>
        <v>1</v>
      </c>
      <c r="I106">
        <f>VLOOKUP(C106,year[],2,FALSE)</f>
        <v>0</v>
      </c>
      <c r="J106">
        <f>VLOOKUP(E106,showing[],2,FALSE)</f>
        <v>14</v>
      </c>
      <c r="K106">
        <f>Сектора[[#This Row],[Значение]]</f>
        <v>403.48591884345194</v>
      </c>
      <c r="L106" t="str">
        <f t="shared" si="1"/>
        <v>INSERT INTO msfo.statements (id_company, id_year, id_showing, value) VALUES (1,0,14,403,485918843452);</v>
      </c>
    </row>
    <row r="107" spans="1:12">
      <c r="A107" s="28" t="s">
        <v>35</v>
      </c>
      <c r="B107" s="28" t="s">
        <v>0</v>
      </c>
      <c r="C107" s="28">
        <v>2011</v>
      </c>
      <c r="D107" s="28" t="s">
        <v>7</v>
      </c>
      <c r="E107" s="28" t="s">
        <v>17</v>
      </c>
      <c r="F107" s="28">
        <v>835.00796680343274</v>
      </c>
      <c r="H107">
        <f>VLOOKUP(A107&amp;B107,ticker_sector[],2,FALSE)</f>
        <v>1</v>
      </c>
      <c r="I107">
        <f>VLOOKUP(C107,year[],2,FALSE)</f>
        <v>1</v>
      </c>
      <c r="J107">
        <f>VLOOKUP(E107,showing[],2,FALSE)</f>
        <v>14</v>
      </c>
      <c r="K107">
        <f>Сектора[[#This Row],[Значение]]</f>
        <v>835.00796680343274</v>
      </c>
      <c r="L107" t="str">
        <f t="shared" si="1"/>
        <v>INSERT INTO msfo.statements (id_company, id_year, id_showing, value) VALUES (1,1,14,835,007966803433);</v>
      </c>
    </row>
    <row r="108" spans="1:12">
      <c r="A108" s="28" t="s">
        <v>35</v>
      </c>
      <c r="B108" s="28" t="s">
        <v>0</v>
      </c>
      <c r="C108" s="28">
        <v>2012</v>
      </c>
      <c r="D108" s="28" t="s">
        <v>7</v>
      </c>
      <c r="E108" s="28" t="s">
        <v>17</v>
      </c>
      <c r="F108" s="28">
        <v>1548.0678372354121</v>
      </c>
      <c r="H108">
        <f>VLOOKUP(A108&amp;B108,ticker_sector[],2,FALSE)</f>
        <v>1</v>
      </c>
      <c r="I108">
        <f>VLOOKUP(C108,year[],2,FALSE)</f>
        <v>2</v>
      </c>
      <c r="J108">
        <f>VLOOKUP(E108,showing[],2,FALSE)</f>
        <v>14</v>
      </c>
      <c r="K108">
        <f>Сектора[[#This Row],[Значение]]</f>
        <v>1548.0678372354121</v>
      </c>
      <c r="L108" t="str">
        <f t="shared" si="1"/>
        <v>INSERT INTO msfo.statements (id_company, id_year, id_showing, value) VALUES (1,2,14,1548,06783723541);</v>
      </c>
    </row>
    <row r="109" spans="1:12">
      <c r="A109" s="28" t="s">
        <v>35</v>
      </c>
      <c r="B109" s="28" t="s">
        <v>0</v>
      </c>
      <c r="C109" s="28">
        <v>2013</v>
      </c>
      <c r="D109" s="28" t="s">
        <v>7</v>
      </c>
      <c r="E109" s="28" t="s">
        <v>17</v>
      </c>
      <c r="F109" s="28">
        <v>1356.8312088288135</v>
      </c>
      <c r="H109">
        <f>VLOOKUP(A109&amp;B109,ticker_sector[],2,FALSE)</f>
        <v>1</v>
      </c>
      <c r="I109">
        <f>VLOOKUP(C109,year[],2,FALSE)</f>
        <v>3</v>
      </c>
      <c r="J109">
        <f>VLOOKUP(E109,showing[],2,FALSE)</f>
        <v>14</v>
      </c>
      <c r="K109">
        <f>Сектора[[#This Row],[Значение]]</f>
        <v>1356.8312088288135</v>
      </c>
      <c r="L109" t="str">
        <f t="shared" si="1"/>
        <v>INSERT INTO msfo.statements (id_company, id_year, id_showing, value) VALUES (1,3,14,1356,83120882881);</v>
      </c>
    </row>
    <row r="110" spans="1:12">
      <c r="A110" s="28" t="s">
        <v>35</v>
      </c>
      <c r="B110" s="28" t="s">
        <v>0</v>
      </c>
      <c r="C110" s="28">
        <v>2014</v>
      </c>
      <c r="D110" s="28" t="s">
        <v>7</v>
      </c>
      <c r="E110" s="28" t="s">
        <v>17</v>
      </c>
      <c r="F110" s="28">
        <v>861.4358033644753</v>
      </c>
      <c r="H110">
        <f>VLOOKUP(A110&amp;B110,ticker_sector[],2,FALSE)</f>
        <v>1</v>
      </c>
      <c r="I110">
        <f>VLOOKUP(C110,year[],2,FALSE)</f>
        <v>4</v>
      </c>
      <c r="J110">
        <f>VLOOKUP(E110,showing[],2,FALSE)</f>
        <v>14</v>
      </c>
      <c r="K110">
        <f>Сектора[[#This Row],[Значение]]</f>
        <v>861.4358033644753</v>
      </c>
      <c r="L110" t="str">
        <f t="shared" si="1"/>
        <v>INSERT INTO msfo.statements (id_company, id_year, id_showing, value) VALUES (1,4,14,861,435803364475);</v>
      </c>
    </row>
    <row r="111" spans="1:12">
      <c r="A111" s="28" t="s">
        <v>35</v>
      </c>
      <c r="B111" s="28" t="s">
        <v>0</v>
      </c>
      <c r="C111" s="28">
        <v>2015</v>
      </c>
      <c r="D111" s="28" t="s">
        <v>7</v>
      </c>
      <c r="E111" s="28" t="s">
        <v>17</v>
      </c>
      <c r="F111" s="28">
        <v>1027.2945431494718</v>
      </c>
      <c r="H111">
        <f>VLOOKUP(A111&amp;B111,ticker_sector[],2,FALSE)</f>
        <v>1</v>
      </c>
      <c r="I111">
        <f>VLOOKUP(C111,year[],2,FALSE)</f>
        <v>5</v>
      </c>
      <c r="J111">
        <f>VLOOKUP(E111,showing[],2,FALSE)</f>
        <v>14</v>
      </c>
      <c r="K111">
        <f>Сектора[[#This Row],[Значение]]</f>
        <v>1027.2945431494718</v>
      </c>
      <c r="L111" t="str">
        <f t="shared" si="1"/>
        <v>INSERT INTO msfo.statements (id_company, id_year, id_showing, value) VALUES (1,5,14,1027,29454314947);</v>
      </c>
    </row>
    <row r="112" spans="1:12">
      <c r="A112" s="28" t="s">
        <v>35</v>
      </c>
      <c r="B112" s="28" t="s">
        <v>0</v>
      </c>
      <c r="C112" s="28">
        <v>2016</v>
      </c>
      <c r="D112" s="28" t="s">
        <v>7</v>
      </c>
      <c r="E112" s="28" t="s">
        <v>17</v>
      </c>
      <c r="F112" s="28">
        <v>1695.3058926519489</v>
      </c>
      <c r="H112">
        <f>VLOOKUP(A112&amp;B112,ticker_sector[],2,FALSE)</f>
        <v>1</v>
      </c>
      <c r="I112">
        <f>VLOOKUP(C112,year[],2,FALSE)</f>
        <v>6</v>
      </c>
      <c r="J112">
        <f>VLOOKUP(E112,showing[],2,FALSE)</f>
        <v>14</v>
      </c>
      <c r="K112">
        <f>Сектора[[#This Row],[Значение]]</f>
        <v>1695.3058926519489</v>
      </c>
      <c r="L112" t="str">
        <f t="shared" si="1"/>
        <v>INSERT INTO msfo.statements (id_company, id_year, id_showing, value) VALUES (1,6,14,1695,30589265195);</v>
      </c>
    </row>
    <row r="113" spans="1:12">
      <c r="A113" s="28" t="s">
        <v>35</v>
      </c>
      <c r="B113" s="28" t="s">
        <v>0</v>
      </c>
      <c r="C113" s="28">
        <v>2017</v>
      </c>
      <c r="D113" s="28" t="s">
        <v>7</v>
      </c>
      <c r="E113" s="28" t="s">
        <v>17</v>
      </c>
      <c r="F113" s="28">
        <v>2503.1683917764176</v>
      </c>
      <c r="H113">
        <f>VLOOKUP(A113&amp;B113,ticker_sector[],2,FALSE)</f>
        <v>1</v>
      </c>
      <c r="I113">
        <f>VLOOKUP(C113,year[],2,FALSE)</f>
        <v>7</v>
      </c>
      <c r="J113">
        <f>VLOOKUP(E113,showing[],2,FALSE)</f>
        <v>14</v>
      </c>
      <c r="K113">
        <f>Сектора[[#This Row],[Значение]]</f>
        <v>2503.1683917764176</v>
      </c>
      <c r="L113" t="str">
        <f t="shared" si="1"/>
        <v>INSERT INTO msfo.statements (id_company, id_year, id_showing, value) VALUES (1,7,14,2503,16839177642);</v>
      </c>
    </row>
    <row r="114" spans="1:12">
      <c r="A114" s="28" t="s">
        <v>35</v>
      </c>
      <c r="B114" s="28" t="s">
        <v>0</v>
      </c>
      <c r="C114" s="28">
        <v>2010</v>
      </c>
      <c r="D114" s="28" t="s">
        <v>20</v>
      </c>
      <c r="E114" s="28" t="s">
        <v>18</v>
      </c>
      <c r="F114" s="28">
        <v>7326.2964679999995</v>
      </c>
      <c r="H114">
        <f>VLOOKUP(A114&amp;B114,ticker_sector[],2,FALSE)</f>
        <v>1</v>
      </c>
      <c r="I114">
        <f>VLOOKUP(C114,year[],2,FALSE)</f>
        <v>0</v>
      </c>
      <c r="J114">
        <f>VLOOKUP(E114,showing[],2,FALSE)</f>
        <v>15</v>
      </c>
      <c r="K114">
        <f>Сектора[[#This Row],[Значение]]</f>
        <v>7326.2964679999995</v>
      </c>
      <c r="L114" t="str">
        <f t="shared" si="1"/>
        <v>INSERT INTO msfo.statements (id_company, id_year, id_showing, value) VALUES (1,0,15,7326,296468);</v>
      </c>
    </row>
    <row r="115" spans="1:12">
      <c r="A115" s="28" t="s">
        <v>35</v>
      </c>
      <c r="B115" s="28" t="s">
        <v>0</v>
      </c>
      <c r="C115" s="28">
        <v>2011</v>
      </c>
      <c r="D115" s="28" t="s">
        <v>20</v>
      </c>
      <c r="E115" s="28" t="s">
        <v>18</v>
      </c>
      <c r="F115" s="28">
        <v>7326.2964679999995</v>
      </c>
      <c r="H115">
        <f>VLOOKUP(A115&amp;B115,ticker_sector[],2,FALSE)</f>
        <v>1</v>
      </c>
      <c r="I115">
        <f>VLOOKUP(C115,year[],2,FALSE)</f>
        <v>1</v>
      </c>
      <c r="J115">
        <f>VLOOKUP(E115,showing[],2,FALSE)</f>
        <v>15</v>
      </c>
      <c r="K115">
        <f>Сектора[[#This Row],[Значение]]</f>
        <v>7326.2964679999995</v>
      </c>
      <c r="L115" t="str">
        <f t="shared" si="1"/>
        <v>INSERT INTO msfo.statements (id_company, id_year, id_showing, value) VALUES (1,1,15,7326,296468);</v>
      </c>
    </row>
    <row r="116" spans="1:12">
      <c r="A116" s="28" t="s">
        <v>35</v>
      </c>
      <c r="B116" s="28" t="s">
        <v>0</v>
      </c>
      <c r="C116" s="28">
        <v>2012</v>
      </c>
      <c r="D116" s="28" t="s">
        <v>20</v>
      </c>
      <c r="E116" s="28" t="s">
        <v>18</v>
      </c>
      <c r="F116" s="28">
        <v>7230.1643649999996</v>
      </c>
      <c r="H116">
        <f>VLOOKUP(A116&amp;B116,ticker_sector[],2,FALSE)</f>
        <v>1</v>
      </c>
      <c r="I116">
        <f>VLOOKUP(C116,year[],2,FALSE)</f>
        <v>2</v>
      </c>
      <c r="J116">
        <f>VLOOKUP(E116,showing[],2,FALSE)</f>
        <v>15</v>
      </c>
      <c r="K116">
        <f>Сектора[[#This Row],[Значение]]</f>
        <v>7230.1643649999996</v>
      </c>
      <c r="L116" t="str">
        <f t="shared" si="1"/>
        <v>INSERT INTO msfo.statements (id_company, id_year, id_showing, value) VALUES (1,2,15,7230,164365);</v>
      </c>
    </row>
    <row r="117" spans="1:12">
      <c r="A117" s="28" t="s">
        <v>35</v>
      </c>
      <c r="B117" s="28" t="s">
        <v>0</v>
      </c>
      <c r="C117" s="28">
        <v>2013</v>
      </c>
      <c r="D117" s="28" t="s">
        <v>20</v>
      </c>
      <c r="E117" s="28" t="s">
        <v>18</v>
      </c>
      <c r="F117" s="28">
        <v>7215.5832300000002</v>
      </c>
      <c r="H117">
        <f>VLOOKUP(A117&amp;B117,ticker_sector[],2,FALSE)</f>
        <v>1</v>
      </c>
      <c r="I117">
        <f>VLOOKUP(C117,year[],2,FALSE)</f>
        <v>3</v>
      </c>
      <c r="J117">
        <f>VLOOKUP(E117,showing[],2,FALSE)</f>
        <v>15</v>
      </c>
      <c r="K117">
        <f>Сектора[[#This Row],[Значение]]</f>
        <v>7215.5832300000002</v>
      </c>
      <c r="L117" t="str">
        <f t="shared" si="1"/>
        <v>INSERT INTO msfo.statements (id_company, id_year, id_showing, value) VALUES (1,3,15,7215,58323);</v>
      </c>
    </row>
    <row r="118" spans="1:12">
      <c r="A118" s="28" t="s">
        <v>35</v>
      </c>
      <c r="B118" s="28" t="s">
        <v>0</v>
      </c>
      <c r="C118" s="28">
        <v>2014</v>
      </c>
      <c r="D118" s="28" t="s">
        <v>20</v>
      </c>
      <c r="E118" s="28" t="s">
        <v>18</v>
      </c>
      <c r="F118" s="28">
        <v>7253.7177499999998</v>
      </c>
      <c r="H118">
        <f>VLOOKUP(A118&amp;B118,ticker_sector[],2,FALSE)</f>
        <v>1</v>
      </c>
      <c r="I118">
        <f>VLOOKUP(C118,year[],2,FALSE)</f>
        <v>4</v>
      </c>
      <c r="J118">
        <f>VLOOKUP(E118,showing[],2,FALSE)</f>
        <v>15</v>
      </c>
      <c r="K118">
        <f>Сектора[[#This Row],[Значение]]</f>
        <v>7253.7177499999998</v>
      </c>
      <c r="L118" t="str">
        <f t="shared" si="1"/>
        <v>INSERT INTO msfo.statements (id_company, id_year, id_showing, value) VALUES (1,4,15,7253,71775);</v>
      </c>
    </row>
    <row r="119" spans="1:12">
      <c r="A119" s="28" t="s">
        <v>35</v>
      </c>
      <c r="B119" s="28" t="s">
        <v>0</v>
      </c>
      <c r="C119" s="28">
        <v>2015</v>
      </c>
      <c r="D119" s="28" t="s">
        <v>20</v>
      </c>
      <c r="E119" s="28" t="s">
        <v>18</v>
      </c>
      <c r="F119" s="28">
        <v>7360.600109</v>
      </c>
      <c r="H119">
        <f>VLOOKUP(A119&amp;B119,ticker_sector[],2,FALSE)</f>
        <v>1</v>
      </c>
      <c r="I119">
        <f>VLOOKUP(C119,year[],2,FALSE)</f>
        <v>5</v>
      </c>
      <c r="J119">
        <f>VLOOKUP(E119,showing[],2,FALSE)</f>
        <v>15</v>
      </c>
      <c r="K119">
        <f>Сектора[[#This Row],[Значение]]</f>
        <v>7360.600109</v>
      </c>
      <c r="L119" t="str">
        <f t="shared" si="1"/>
        <v>INSERT INTO msfo.statements (id_company, id_year, id_showing, value) VALUES (1,5,15,7360,600109);</v>
      </c>
    </row>
    <row r="120" spans="1:12">
      <c r="A120" s="28" t="s">
        <v>35</v>
      </c>
      <c r="B120" s="28" t="s">
        <v>0</v>
      </c>
      <c r="C120" s="28">
        <v>2016</v>
      </c>
      <c r="D120" s="28" t="s">
        <v>20</v>
      </c>
      <c r="E120" s="28" t="s">
        <v>18</v>
      </c>
      <c r="F120" s="28">
        <v>7359.1791679999997</v>
      </c>
      <c r="H120">
        <f>VLOOKUP(A120&amp;B120,ticker_sector[],2,FALSE)</f>
        <v>1</v>
      </c>
      <c r="I120">
        <f>VLOOKUP(C120,year[],2,FALSE)</f>
        <v>6</v>
      </c>
      <c r="J120">
        <f>VLOOKUP(E120,showing[],2,FALSE)</f>
        <v>15</v>
      </c>
      <c r="K120">
        <f>Сектора[[#This Row],[Значение]]</f>
        <v>7359.1791679999997</v>
      </c>
      <c r="L120" t="str">
        <f t="shared" si="1"/>
        <v>INSERT INTO msfo.statements (id_company, id_year, id_showing, value) VALUES (1,6,15,7359,179168);</v>
      </c>
    </row>
    <row r="121" spans="1:12">
      <c r="A121" s="28" t="s">
        <v>35</v>
      </c>
      <c r="B121" s="28" t="s">
        <v>0</v>
      </c>
      <c r="C121" s="28">
        <v>2017</v>
      </c>
      <c r="D121" s="28" t="s">
        <v>20</v>
      </c>
      <c r="E121" s="28" t="s">
        <v>18</v>
      </c>
      <c r="F121" s="28">
        <v>7362.5309079999997</v>
      </c>
      <c r="H121">
        <f>VLOOKUP(A121&amp;B121,ticker_sector[],2,FALSE)</f>
        <v>1</v>
      </c>
      <c r="I121">
        <f>VLOOKUP(C121,year[],2,FALSE)</f>
        <v>7</v>
      </c>
      <c r="J121">
        <f>VLOOKUP(E121,showing[],2,FALSE)</f>
        <v>15</v>
      </c>
      <c r="K121">
        <f>Сектора[[#This Row],[Значение]]</f>
        <v>7362.5309079999997</v>
      </c>
      <c r="L121" t="str">
        <f t="shared" si="1"/>
        <v>INSERT INTO msfo.statements (id_company, id_year, id_showing, value) VALUES (1,7,15,7362,530908);</v>
      </c>
    </row>
    <row r="122" spans="1:12">
      <c r="A122" s="28" t="s">
        <v>35</v>
      </c>
      <c r="B122" s="28" t="s">
        <v>0</v>
      </c>
      <c r="C122" s="28">
        <v>2010</v>
      </c>
      <c r="D122" s="28" t="s">
        <v>20</v>
      </c>
      <c r="E122" s="28" t="s">
        <v>19</v>
      </c>
      <c r="F122" s="28">
        <v>0</v>
      </c>
      <c r="H122">
        <f>VLOOKUP(A122&amp;B122,ticker_sector[],2,FALSE)</f>
        <v>1</v>
      </c>
      <c r="I122">
        <f>VLOOKUP(C122,year[],2,FALSE)</f>
        <v>0</v>
      </c>
      <c r="J122">
        <f>VLOOKUP(E122,showing[],2,FALSE)</f>
        <v>16</v>
      </c>
      <c r="K122">
        <f>Сектора[[#This Row],[Значение]]</f>
        <v>0</v>
      </c>
      <c r="L122" t="str">
        <f t="shared" si="1"/>
        <v>INSERT INTO msfo.statements (id_company, id_year, id_showing, value) VALUES (1,0,16,0);</v>
      </c>
    </row>
    <row r="123" spans="1:12">
      <c r="A123" s="28" t="s">
        <v>35</v>
      </c>
      <c r="B123" s="28" t="s">
        <v>0</v>
      </c>
      <c r="C123" s="28">
        <v>2011</v>
      </c>
      <c r="D123" s="28" t="s">
        <v>20</v>
      </c>
      <c r="E123" s="28" t="s">
        <v>19</v>
      </c>
      <c r="F123" s="28">
        <v>0</v>
      </c>
      <c r="H123">
        <f>VLOOKUP(A123&amp;B123,ticker_sector[],2,FALSE)</f>
        <v>1</v>
      </c>
      <c r="I123">
        <f>VLOOKUP(C123,year[],2,FALSE)</f>
        <v>1</v>
      </c>
      <c r="J123">
        <f>VLOOKUP(E123,showing[],2,FALSE)</f>
        <v>16</v>
      </c>
      <c r="K123">
        <f>Сектора[[#This Row],[Значение]]</f>
        <v>0</v>
      </c>
      <c r="L123" t="str">
        <f t="shared" si="1"/>
        <v>INSERT INTO msfo.statements (id_company, id_year, id_showing, value) VALUES (1,1,16,0);</v>
      </c>
    </row>
    <row r="124" spans="1:12">
      <c r="A124" s="28" t="s">
        <v>35</v>
      </c>
      <c r="B124" s="28" t="s">
        <v>0</v>
      </c>
      <c r="C124" s="28">
        <v>2012</v>
      </c>
      <c r="D124" s="28" t="s">
        <v>20</v>
      </c>
      <c r="E124" s="28" t="s">
        <v>19</v>
      </c>
      <c r="F124" s="28">
        <v>31</v>
      </c>
      <c r="H124">
        <f>VLOOKUP(A124&amp;B124,ticker_sector[],2,FALSE)</f>
        <v>1</v>
      </c>
      <c r="I124">
        <f>VLOOKUP(C124,year[],2,FALSE)</f>
        <v>2</v>
      </c>
      <c r="J124">
        <f>VLOOKUP(E124,showing[],2,FALSE)</f>
        <v>16</v>
      </c>
      <c r="K124">
        <f>Сектора[[#This Row],[Значение]]</f>
        <v>31</v>
      </c>
      <c r="L124" t="str">
        <f t="shared" si="1"/>
        <v>INSERT INTO msfo.statements (id_company, id_year, id_showing, value) VALUES (1,2,16,31);</v>
      </c>
    </row>
    <row r="125" spans="1:12">
      <c r="A125" s="28" t="s">
        <v>35</v>
      </c>
      <c r="B125" s="28" t="s">
        <v>0</v>
      </c>
      <c r="C125" s="28">
        <v>2013</v>
      </c>
      <c r="D125" s="28" t="s">
        <v>20</v>
      </c>
      <c r="E125" s="28" t="s">
        <v>19</v>
      </c>
      <c r="F125" s="28">
        <v>30</v>
      </c>
      <c r="H125">
        <f>VLOOKUP(A125&amp;B125,ticker_sector[],2,FALSE)</f>
        <v>1</v>
      </c>
      <c r="I125">
        <f>VLOOKUP(C125,year[],2,FALSE)</f>
        <v>3</v>
      </c>
      <c r="J125">
        <f>VLOOKUP(E125,showing[],2,FALSE)</f>
        <v>16</v>
      </c>
      <c r="K125">
        <f>Сектора[[#This Row],[Значение]]</f>
        <v>30</v>
      </c>
      <c r="L125" t="str">
        <f t="shared" si="1"/>
        <v>INSERT INTO msfo.statements (id_company, id_year, id_showing, value) VALUES (1,3,16,30);</v>
      </c>
    </row>
    <row r="126" spans="1:12">
      <c r="A126" s="28" t="s">
        <v>35</v>
      </c>
      <c r="B126" s="28" t="s">
        <v>0</v>
      </c>
      <c r="C126" s="28">
        <v>2014</v>
      </c>
      <c r="D126" s="28" t="s">
        <v>20</v>
      </c>
      <c r="E126" s="28" t="s">
        <v>19</v>
      </c>
      <c r="F126" s="28">
        <v>35.67</v>
      </c>
      <c r="H126">
        <f>VLOOKUP(A126&amp;B126,ticker_sector[],2,FALSE)</f>
        <v>1</v>
      </c>
      <c r="I126">
        <f>VLOOKUP(C126,year[],2,FALSE)</f>
        <v>4</v>
      </c>
      <c r="J126">
        <f>VLOOKUP(E126,showing[],2,FALSE)</f>
        <v>16</v>
      </c>
      <c r="K126">
        <f>Сектора[[#This Row],[Значение]]</f>
        <v>35.67</v>
      </c>
      <c r="L126" t="str">
        <f t="shared" si="1"/>
        <v>INSERT INTO msfo.statements (id_company, id_year, id_showing, value) VALUES (1,4,16,35,67);</v>
      </c>
    </row>
    <row r="127" spans="1:12">
      <c r="A127" s="28" t="s">
        <v>35</v>
      </c>
      <c r="B127" s="28" t="s">
        <v>0</v>
      </c>
      <c r="C127" s="28">
        <v>2015</v>
      </c>
      <c r="D127" s="28" t="s">
        <v>20</v>
      </c>
      <c r="E127" s="28" t="s">
        <v>19</v>
      </c>
      <c r="F127" s="28">
        <v>63</v>
      </c>
      <c r="H127">
        <f>VLOOKUP(A127&amp;B127,ticker_sector[],2,FALSE)</f>
        <v>1</v>
      </c>
      <c r="I127">
        <f>VLOOKUP(C127,year[],2,FALSE)</f>
        <v>5</v>
      </c>
      <c r="J127">
        <f>VLOOKUP(E127,showing[],2,FALSE)</f>
        <v>16</v>
      </c>
      <c r="K127">
        <f>Сектора[[#This Row],[Значение]]</f>
        <v>63</v>
      </c>
      <c r="L127" t="str">
        <f t="shared" si="1"/>
        <v>INSERT INTO msfo.statements (id_company, id_year, id_showing, value) VALUES (1,5,16,63);</v>
      </c>
    </row>
    <row r="128" spans="1:12">
      <c r="A128" s="28" t="s">
        <v>35</v>
      </c>
      <c r="B128" s="28" t="s">
        <v>0</v>
      </c>
      <c r="C128" s="28">
        <v>2016</v>
      </c>
      <c r="D128" s="28" t="s">
        <v>20</v>
      </c>
      <c r="E128" s="28" t="s">
        <v>19</v>
      </c>
      <c r="F128" s="28">
        <v>55.94</v>
      </c>
      <c r="H128">
        <f>VLOOKUP(A128&amp;B128,ticker_sector[],2,FALSE)</f>
        <v>1</v>
      </c>
      <c r="I128">
        <f>VLOOKUP(C128,year[],2,FALSE)</f>
        <v>6</v>
      </c>
      <c r="J128">
        <f>VLOOKUP(E128,showing[],2,FALSE)</f>
        <v>16</v>
      </c>
      <c r="K128">
        <f>Сектора[[#This Row],[Значение]]</f>
        <v>55.94</v>
      </c>
      <c r="L128" t="str">
        <f t="shared" si="1"/>
        <v>INSERT INTO msfo.statements (id_company, id_year, id_showing, value) VALUES (1,6,16,55,94);</v>
      </c>
    </row>
    <row r="129" spans="1:12">
      <c r="A129" s="28" t="s">
        <v>35</v>
      </c>
      <c r="B129" s="28" t="s">
        <v>0</v>
      </c>
      <c r="C129" s="28">
        <v>2017</v>
      </c>
      <c r="D129" s="28" t="s">
        <v>20</v>
      </c>
      <c r="E129" s="28" t="s">
        <v>19</v>
      </c>
      <c r="F129" s="28">
        <v>97.43</v>
      </c>
      <c r="H129">
        <f>VLOOKUP(A129&amp;B129,ticker_sector[],2,FALSE)</f>
        <v>1</v>
      </c>
      <c r="I129">
        <f>VLOOKUP(C129,year[],2,FALSE)</f>
        <v>7</v>
      </c>
      <c r="J129">
        <f>VLOOKUP(E129,showing[],2,FALSE)</f>
        <v>16</v>
      </c>
      <c r="K129">
        <f>Сектора[[#This Row],[Значение]]</f>
        <v>97.43</v>
      </c>
      <c r="L129" t="str">
        <f t="shared" si="1"/>
        <v>INSERT INTO msfo.statements (id_company, id_year, id_showing, value) VALUES (1,7,16,97,43);</v>
      </c>
    </row>
    <row r="130" spans="1:12">
      <c r="A130" s="28" t="s">
        <v>36</v>
      </c>
      <c r="B130" s="28" t="s">
        <v>0</v>
      </c>
      <c r="C130" s="28">
        <v>2010</v>
      </c>
      <c r="D130" s="28" t="s">
        <v>1</v>
      </c>
      <c r="E130" s="28" t="s">
        <v>2</v>
      </c>
      <c r="F130" s="28">
        <v>333264.90149999998</v>
      </c>
      <c r="H130">
        <f>VLOOKUP(A130&amp;B130,ticker_sector[],2,FALSE)</f>
        <v>2</v>
      </c>
      <c r="I130">
        <f>VLOOKUP(C130,year[],2,FALSE)</f>
        <v>0</v>
      </c>
      <c r="J130">
        <f>VLOOKUP(E130,showing[],2,FALSE)</f>
        <v>1</v>
      </c>
      <c r="K130">
        <f>Сектора[[#This Row],[Значение]]</f>
        <v>333264.90149999998</v>
      </c>
      <c r="L130" t="str">
        <f t="shared" si="1"/>
        <v>INSERT INTO msfo.statements (id_company, id_year, id_showing, value) VALUES (2,0,1,333264,9015);</v>
      </c>
    </row>
    <row r="131" spans="1:12">
      <c r="A131" s="28" t="s">
        <v>36</v>
      </c>
      <c r="B131" s="28" t="s">
        <v>0</v>
      </c>
      <c r="C131" s="28">
        <v>2011</v>
      </c>
      <c r="D131" s="28" t="s">
        <v>1</v>
      </c>
      <c r="E131" s="28" t="s">
        <v>2</v>
      </c>
      <c r="F131" s="28">
        <v>397432</v>
      </c>
      <c r="H131">
        <f>VLOOKUP(A131&amp;B131,ticker_sector[],2,FALSE)</f>
        <v>2</v>
      </c>
      <c r="I131">
        <f>VLOOKUP(C131,year[],2,FALSE)</f>
        <v>1</v>
      </c>
      <c r="J131">
        <f>VLOOKUP(E131,showing[],2,FALSE)</f>
        <v>1</v>
      </c>
      <c r="K131">
        <f>Сектора[[#This Row],[Значение]]</f>
        <v>397432</v>
      </c>
      <c r="L131" t="str">
        <f t="shared" ref="L131:L194" si="2">"INSERT INTO msfo.statements (id_company, id_year, id_showing, value) VALUES ("&amp;H131&amp; ","&amp;I131&amp; ","&amp;J131&amp; ","&amp;K131&amp;");"</f>
        <v>INSERT INTO msfo.statements (id_company, id_year, id_showing, value) VALUES (2,1,1,397432);</v>
      </c>
    </row>
    <row r="132" spans="1:12">
      <c r="A132" s="28" t="s">
        <v>36</v>
      </c>
      <c r="B132" s="28" t="s">
        <v>0</v>
      </c>
      <c r="C132" s="28">
        <v>2012</v>
      </c>
      <c r="D132" s="28" t="s">
        <v>1</v>
      </c>
      <c r="E132" s="28" t="s">
        <v>2</v>
      </c>
      <c r="F132" s="28">
        <v>430111</v>
      </c>
      <c r="H132">
        <f>VLOOKUP(A132&amp;B132,ticker_sector[],2,FALSE)</f>
        <v>2</v>
      </c>
      <c r="I132">
        <f>VLOOKUP(C132,year[],2,FALSE)</f>
        <v>2</v>
      </c>
      <c r="J132">
        <f>VLOOKUP(E132,showing[],2,FALSE)</f>
        <v>1</v>
      </c>
      <c r="K132">
        <f>Сектора[[#This Row],[Значение]]</f>
        <v>430111</v>
      </c>
      <c r="L132" t="str">
        <f t="shared" si="2"/>
        <v>INSERT INTO msfo.statements (id_company, id_year, id_showing, value) VALUES (2,2,1,430111);</v>
      </c>
    </row>
    <row r="133" spans="1:12">
      <c r="A133" s="28" t="s">
        <v>36</v>
      </c>
      <c r="B133" s="28" t="s">
        <v>0</v>
      </c>
      <c r="C133" s="28">
        <v>2013</v>
      </c>
      <c r="D133" s="28" t="s">
        <v>1</v>
      </c>
      <c r="E133" s="28" t="s">
        <v>2</v>
      </c>
      <c r="F133" s="28">
        <v>402296</v>
      </c>
      <c r="H133">
        <f>VLOOKUP(A133&amp;B133,ticker_sector[],2,FALSE)</f>
        <v>2</v>
      </c>
      <c r="I133">
        <f>VLOOKUP(C133,year[],2,FALSE)</f>
        <v>3</v>
      </c>
      <c r="J133">
        <f>VLOOKUP(E133,showing[],2,FALSE)</f>
        <v>1</v>
      </c>
      <c r="K133">
        <f>Сектора[[#This Row],[Значение]]</f>
        <v>402296</v>
      </c>
      <c r="L133" t="str">
        <f t="shared" si="2"/>
        <v>INSERT INTO msfo.statements (id_company, id_year, id_showing, value) VALUES (2,3,1,402296);</v>
      </c>
    </row>
    <row r="134" spans="1:12">
      <c r="A134" s="28" t="s">
        <v>36</v>
      </c>
      <c r="B134" s="28" t="s">
        <v>0</v>
      </c>
      <c r="C134" s="28">
        <v>2014</v>
      </c>
      <c r="D134" s="28" t="s">
        <v>1</v>
      </c>
      <c r="E134" s="28" t="s">
        <v>2</v>
      </c>
      <c r="F134" s="28">
        <v>420008</v>
      </c>
      <c r="H134">
        <f>VLOOKUP(A134&amp;B134,ticker_sector[],2,FALSE)</f>
        <v>2</v>
      </c>
      <c r="I134">
        <f>VLOOKUP(C134,year[],2,FALSE)</f>
        <v>4</v>
      </c>
      <c r="J134">
        <f>VLOOKUP(E134,showing[],2,FALSE)</f>
        <v>1</v>
      </c>
      <c r="K134">
        <f>Сектора[[#This Row],[Значение]]</f>
        <v>420008</v>
      </c>
      <c r="L134" t="str">
        <f t="shared" si="2"/>
        <v>INSERT INTO msfo.statements (id_company, id_year, id_showing, value) VALUES (2,4,1,420008);</v>
      </c>
    </row>
    <row r="135" spans="1:12">
      <c r="A135" s="28" t="s">
        <v>36</v>
      </c>
      <c r="B135" s="28" t="s">
        <v>0</v>
      </c>
      <c r="C135" s="28">
        <v>2015</v>
      </c>
      <c r="D135" s="28" t="s">
        <v>1</v>
      </c>
      <c r="E135" s="28" t="s">
        <v>2</v>
      </c>
      <c r="F135" s="28">
        <v>491678</v>
      </c>
      <c r="H135">
        <f>VLOOKUP(A135&amp;B135,ticker_sector[],2,FALSE)</f>
        <v>2</v>
      </c>
      <c r="I135">
        <f>VLOOKUP(C135,year[],2,FALSE)</f>
        <v>5</v>
      </c>
      <c r="J135">
        <f>VLOOKUP(E135,showing[],2,FALSE)</f>
        <v>1</v>
      </c>
      <c r="K135">
        <f>Сектора[[#This Row],[Значение]]</f>
        <v>491678</v>
      </c>
      <c r="L135" t="str">
        <f t="shared" si="2"/>
        <v>INSERT INTO msfo.statements (id_company, id_year, id_showing, value) VALUES (2,5,1,491678);</v>
      </c>
    </row>
    <row r="136" spans="1:12">
      <c r="A136" s="28" t="s">
        <v>36</v>
      </c>
      <c r="B136" s="28" t="s">
        <v>0</v>
      </c>
      <c r="C136" s="28">
        <v>2016</v>
      </c>
      <c r="D136" s="28" t="s">
        <v>1</v>
      </c>
      <c r="E136" s="28" t="s">
        <v>2</v>
      </c>
      <c r="F136" s="28">
        <v>647662</v>
      </c>
      <c r="H136">
        <f>VLOOKUP(A136&amp;B136,ticker_sector[],2,FALSE)</f>
        <v>2</v>
      </c>
      <c r="I136">
        <f>VLOOKUP(C136,year[],2,FALSE)</f>
        <v>6</v>
      </c>
      <c r="J136">
        <f>VLOOKUP(E136,showing[],2,FALSE)</f>
        <v>1</v>
      </c>
      <c r="K136">
        <f>Сектора[[#This Row],[Значение]]</f>
        <v>647662</v>
      </c>
      <c r="L136" t="str">
        <f t="shared" si="2"/>
        <v>INSERT INTO msfo.statements (id_company, id_year, id_showing, value) VALUES (2,6,1,647662);</v>
      </c>
    </row>
    <row r="137" spans="1:12">
      <c r="A137" s="28" t="s">
        <v>36</v>
      </c>
      <c r="B137" s="28" t="s">
        <v>0</v>
      </c>
      <c r="C137" s="28">
        <v>2017</v>
      </c>
      <c r="D137" s="28" t="s">
        <v>1</v>
      </c>
      <c r="E137" s="28" t="s">
        <v>2</v>
      </c>
      <c r="F137" s="28">
        <v>697570</v>
      </c>
      <c r="H137">
        <f>VLOOKUP(A137&amp;B137,ticker_sector[],2,FALSE)</f>
        <v>2</v>
      </c>
      <c r="I137">
        <f>VLOOKUP(C137,year[],2,FALSE)</f>
        <v>7</v>
      </c>
      <c r="J137">
        <f>VLOOKUP(E137,showing[],2,FALSE)</f>
        <v>1</v>
      </c>
      <c r="K137">
        <f>Сектора[[#This Row],[Значение]]</f>
        <v>697570</v>
      </c>
      <c r="L137" t="str">
        <f t="shared" si="2"/>
        <v>INSERT INTO msfo.statements (id_company, id_year, id_showing, value) VALUES (2,7,1,697570);</v>
      </c>
    </row>
    <row r="138" spans="1:12">
      <c r="A138" s="28" t="s">
        <v>36</v>
      </c>
      <c r="B138" s="28" t="s">
        <v>0</v>
      </c>
      <c r="C138" s="28">
        <v>2010</v>
      </c>
      <c r="D138" s="28" t="s">
        <v>1</v>
      </c>
      <c r="E138" s="28" t="s">
        <v>3</v>
      </c>
      <c r="F138" s="28">
        <v>395407.30060000002</v>
      </c>
      <c r="H138">
        <f>VLOOKUP(A138&amp;B138,ticker_sector[],2,FALSE)</f>
        <v>2</v>
      </c>
      <c r="I138">
        <f>VLOOKUP(C138,year[],2,FALSE)</f>
        <v>0</v>
      </c>
      <c r="J138">
        <f>VLOOKUP(E138,showing[],2,FALSE)</f>
        <v>2</v>
      </c>
      <c r="K138">
        <f>Сектора[[#This Row],[Значение]]</f>
        <v>395407.30060000002</v>
      </c>
      <c r="L138" t="str">
        <f t="shared" si="2"/>
        <v>INSERT INTO msfo.statements (id_company, id_year, id_showing, value) VALUES (2,0,2,395407,3006);</v>
      </c>
    </row>
    <row r="139" spans="1:12">
      <c r="A139" s="28" t="s">
        <v>36</v>
      </c>
      <c r="B139" s="28" t="s">
        <v>0</v>
      </c>
      <c r="C139" s="28">
        <v>2011</v>
      </c>
      <c r="D139" s="28" t="s">
        <v>1</v>
      </c>
      <c r="E139" s="28" t="s">
        <v>3</v>
      </c>
      <c r="F139" s="28">
        <v>211525</v>
      </c>
      <c r="H139">
        <f>VLOOKUP(A139&amp;B139,ticker_sector[],2,FALSE)</f>
        <v>2</v>
      </c>
      <c r="I139">
        <f>VLOOKUP(C139,year[],2,FALSE)</f>
        <v>1</v>
      </c>
      <c r="J139">
        <f>VLOOKUP(E139,showing[],2,FALSE)</f>
        <v>2</v>
      </c>
      <c r="K139">
        <f>Сектора[[#This Row],[Значение]]</f>
        <v>211525</v>
      </c>
      <c r="L139" t="str">
        <f t="shared" si="2"/>
        <v>INSERT INTO msfo.statements (id_company, id_year, id_showing, value) VALUES (2,1,2,211525);</v>
      </c>
    </row>
    <row r="140" spans="1:12">
      <c r="A140" s="28" t="s">
        <v>36</v>
      </c>
      <c r="B140" s="28" t="s">
        <v>0</v>
      </c>
      <c r="C140" s="28">
        <v>2012</v>
      </c>
      <c r="D140" s="28" t="s">
        <v>1</v>
      </c>
      <c r="E140" s="28" t="s">
        <v>3</v>
      </c>
      <c r="F140" s="28">
        <v>206935</v>
      </c>
      <c r="H140">
        <f>VLOOKUP(A140&amp;B140,ticker_sector[],2,FALSE)</f>
        <v>2</v>
      </c>
      <c r="I140">
        <f>VLOOKUP(C140,year[],2,FALSE)</f>
        <v>2</v>
      </c>
      <c r="J140">
        <f>VLOOKUP(E140,showing[],2,FALSE)</f>
        <v>2</v>
      </c>
      <c r="K140">
        <f>Сектора[[#This Row],[Значение]]</f>
        <v>206935</v>
      </c>
      <c r="L140" t="str">
        <f t="shared" si="2"/>
        <v>INSERT INTO msfo.statements (id_company, id_year, id_showing, value) VALUES (2,2,2,206935);</v>
      </c>
    </row>
    <row r="141" spans="1:12">
      <c r="A141" s="28" t="s">
        <v>36</v>
      </c>
      <c r="B141" s="28" t="s">
        <v>0</v>
      </c>
      <c r="C141" s="28">
        <v>2013</v>
      </c>
      <c r="D141" s="28" t="s">
        <v>1</v>
      </c>
      <c r="E141" s="28" t="s">
        <v>3</v>
      </c>
      <c r="F141" s="28">
        <v>212450</v>
      </c>
      <c r="H141">
        <f>VLOOKUP(A141&amp;B141,ticker_sector[],2,FALSE)</f>
        <v>2</v>
      </c>
      <c r="I141">
        <f>VLOOKUP(C141,year[],2,FALSE)</f>
        <v>3</v>
      </c>
      <c r="J141">
        <f>VLOOKUP(E141,showing[],2,FALSE)</f>
        <v>2</v>
      </c>
      <c r="K141">
        <f>Сектора[[#This Row],[Значение]]</f>
        <v>212450</v>
      </c>
      <c r="L141" t="str">
        <f t="shared" si="2"/>
        <v>INSERT INTO msfo.statements (id_company, id_year, id_showing, value) VALUES (2,3,2,212450);</v>
      </c>
    </row>
    <row r="142" spans="1:12">
      <c r="A142" s="28" t="s">
        <v>36</v>
      </c>
      <c r="B142" s="28" t="s">
        <v>0</v>
      </c>
      <c r="C142" s="28">
        <v>2014</v>
      </c>
      <c r="D142" s="28" t="s">
        <v>1</v>
      </c>
      <c r="E142" s="28" t="s">
        <v>3</v>
      </c>
      <c r="F142" s="28">
        <v>319767</v>
      </c>
      <c r="H142">
        <f>VLOOKUP(A142&amp;B142,ticker_sector[],2,FALSE)</f>
        <v>2</v>
      </c>
      <c r="I142">
        <f>VLOOKUP(C142,year[],2,FALSE)</f>
        <v>4</v>
      </c>
      <c r="J142">
        <f>VLOOKUP(E142,showing[],2,FALSE)</f>
        <v>2</v>
      </c>
      <c r="K142">
        <f>Сектора[[#This Row],[Значение]]</f>
        <v>319767</v>
      </c>
      <c r="L142" t="str">
        <f t="shared" si="2"/>
        <v>INSERT INTO msfo.statements (id_company, id_year, id_showing, value) VALUES (2,4,2,319767);</v>
      </c>
    </row>
    <row r="143" spans="1:12">
      <c r="A143" s="28" t="s">
        <v>36</v>
      </c>
      <c r="B143" s="28" t="s">
        <v>0</v>
      </c>
      <c r="C143" s="28">
        <v>2015</v>
      </c>
      <c r="D143" s="28" t="s">
        <v>1</v>
      </c>
      <c r="E143" s="28" t="s">
        <v>3</v>
      </c>
      <c r="F143" s="28">
        <v>482871</v>
      </c>
      <c r="H143">
        <f>VLOOKUP(A143&amp;B143,ticker_sector[],2,FALSE)</f>
        <v>2</v>
      </c>
      <c r="I143">
        <f>VLOOKUP(C143,year[],2,FALSE)</f>
        <v>5</v>
      </c>
      <c r="J143">
        <f>VLOOKUP(E143,showing[],2,FALSE)</f>
        <v>2</v>
      </c>
      <c r="K143">
        <f>Сектора[[#This Row],[Значение]]</f>
        <v>482871</v>
      </c>
      <c r="L143" t="str">
        <f t="shared" si="2"/>
        <v>INSERT INTO msfo.statements (id_company, id_year, id_showing, value) VALUES (2,5,2,482871);</v>
      </c>
    </row>
    <row r="144" spans="1:12">
      <c r="A144" s="28" t="s">
        <v>36</v>
      </c>
      <c r="B144" s="28" t="s">
        <v>0</v>
      </c>
      <c r="C144" s="28">
        <v>2016</v>
      </c>
      <c r="D144" s="28" t="s">
        <v>1</v>
      </c>
      <c r="E144" s="28" t="s">
        <v>3</v>
      </c>
      <c r="F144" s="28">
        <v>354576</v>
      </c>
      <c r="H144">
        <f>VLOOKUP(A144&amp;B144,ticker_sector[],2,FALSE)</f>
        <v>2</v>
      </c>
      <c r="I144">
        <f>VLOOKUP(C144,year[],2,FALSE)</f>
        <v>6</v>
      </c>
      <c r="J144">
        <f>VLOOKUP(E144,showing[],2,FALSE)</f>
        <v>2</v>
      </c>
      <c r="K144">
        <f>Сектора[[#This Row],[Значение]]</f>
        <v>354576</v>
      </c>
      <c r="L144" t="str">
        <f t="shared" si="2"/>
        <v>INSERT INTO msfo.statements (id_company, id_year, id_showing, value) VALUES (2,6,2,354576);</v>
      </c>
    </row>
    <row r="145" spans="1:12">
      <c r="A145" s="28" t="s">
        <v>36</v>
      </c>
      <c r="B145" s="28" t="s">
        <v>0</v>
      </c>
      <c r="C145" s="28">
        <v>2017</v>
      </c>
      <c r="D145" s="28" t="s">
        <v>1</v>
      </c>
      <c r="E145" s="28" t="s">
        <v>3</v>
      </c>
      <c r="F145" s="28">
        <v>260700</v>
      </c>
      <c r="H145">
        <f>VLOOKUP(A145&amp;B145,ticker_sector[],2,FALSE)</f>
        <v>2</v>
      </c>
      <c r="I145">
        <f>VLOOKUP(C145,year[],2,FALSE)</f>
        <v>7</v>
      </c>
      <c r="J145">
        <f>VLOOKUP(E145,showing[],2,FALSE)</f>
        <v>2</v>
      </c>
      <c r="K145">
        <f>Сектора[[#This Row],[Значение]]</f>
        <v>260700</v>
      </c>
      <c r="L145" t="str">
        <f t="shared" si="2"/>
        <v>INSERT INTO msfo.statements (id_company, id_year, id_showing, value) VALUES (2,7,2,260700);</v>
      </c>
    </row>
    <row r="146" spans="1:12">
      <c r="A146" s="28" t="s">
        <v>36</v>
      </c>
      <c r="B146" s="28" t="s">
        <v>0</v>
      </c>
      <c r="C146" s="28">
        <v>2010</v>
      </c>
      <c r="D146" s="28" t="s">
        <v>1</v>
      </c>
      <c r="E146" s="28" t="s">
        <v>5</v>
      </c>
      <c r="F146" s="28">
        <v>728672.20209999999</v>
      </c>
      <c r="H146">
        <f>VLOOKUP(A146&amp;B146,ticker_sector[],2,FALSE)</f>
        <v>2</v>
      </c>
      <c r="I146">
        <f>VLOOKUP(C146,year[],2,FALSE)</f>
        <v>0</v>
      </c>
      <c r="J146">
        <f>VLOOKUP(E146,showing[],2,FALSE)</f>
        <v>3</v>
      </c>
      <c r="K146">
        <f>Сектора[[#This Row],[Значение]]</f>
        <v>728672.20209999999</v>
      </c>
      <c r="L146" t="str">
        <f t="shared" si="2"/>
        <v>INSERT INTO msfo.statements (id_company, id_year, id_showing, value) VALUES (2,0,3,728672,2021);</v>
      </c>
    </row>
    <row r="147" spans="1:12">
      <c r="A147" s="28" t="s">
        <v>36</v>
      </c>
      <c r="B147" s="28" t="s">
        <v>0</v>
      </c>
      <c r="C147" s="28">
        <v>2011</v>
      </c>
      <c r="D147" s="28" t="s">
        <v>1</v>
      </c>
      <c r="E147" s="28" t="s">
        <v>5</v>
      </c>
      <c r="F147" s="28">
        <v>608957</v>
      </c>
      <c r="H147">
        <f>VLOOKUP(A147&amp;B147,ticker_sector[],2,FALSE)</f>
        <v>2</v>
      </c>
      <c r="I147">
        <f>VLOOKUP(C147,year[],2,FALSE)</f>
        <v>1</v>
      </c>
      <c r="J147">
        <f>VLOOKUP(E147,showing[],2,FALSE)</f>
        <v>3</v>
      </c>
      <c r="K147">
        <f>Сектора[[#This Row],[Значение]]</f>
        <v>608957</v>
      </c>
      <c r="L147" t="str">
        <f t="shared" si="2"/>
        <v>INSERT INTO msfo.statements (id_company, id_year, id_showing, value) VALUES (2,1,3,608957);</v>
      </c>
    </row>
    <row r="148" spans="1:12">
      <c r="A148" s="28" t="s">
        <v>36</v>
      </c>
      <c r="B148" s="28" t="s">
        <v>0</v>
      </c>
      <c r="C148" s="28">
        <v>2012</v>
      </c>
      <c r="D148" s="28" t="s">
        <v>1</v>
      </c>
      <c r="E148" s="28" t="s">
        <v>5</v>
      </c>
      <c r="F148" s="28">
        <v>637046</v>
      </c>
      <c r="H148">
        <f>VLOOKUP(A148&amp;B148,ticker_sector[],2,FALSE)</f>
        <v>2</v>
      </c>
      <c r="I148">
        <f>VLOOKUP(C148,year[],2,FALSE)</f>
        <v>2</v>
      </c>
      <c r="J148">
        <f>VLOOKUP(E148,showing[],2,FALSE)</f>
        <v>3</v>
      </c>
      <c r="K148">
        <f>Сектора[[#This Row],[Значение]]</f>
        <v>637046</v>
      </c>
      <c r="L148" t="str">
        <f t="shared" si="2"/>
        <v>INSERT INTO msfo.statements (id_company, id_year, id_showing, value) VALUES (2,2,3,637046);</v>
      </c>
    </row>
    <row r="149" spans="1:12">
      <c r="A149" s="28" t="s">
        <v>36</v>
      </c>
      <c r="B149" s="28" t="s">
        <v>0</v>
      </c>
      <c r="C149" s="28">
        <v>2013</v>
      </c>
      <c r="D149" s="28" t="s">
        <v>1</v>
      </c>
      <c r="E149" s="28" t="s">
        <v>5</v>
      </c>
      <c r="F149" s="28">
        <v>614746</v>
      </c>
      <c r="H149">
        <f>VLOOKUP(A149&amp;B149,ticker_sector[],2,FALSE)</f>
        <v>2</v>
      </c>
      <c r="I149">
        <f>VLOOKUP(C149,year[],2,FALSE)</f>
        <v>3</v>
      </c>
      <c r="J149">
        <f>VLOOKUP(E149,showing[],2,FALSE)</f>
        <v>3</v>
      </c>
      <c r="K149">
        <f>Сектора[[#This Row],[Значение]]</f>
        <v>614746</v>
      </c>
      <c r="L149" t="str">
        <f t="shared" si="2"/>
        <v>INSERT INTO msfo.statements (id_company, id_year, id_showing, value) VALUES (2,3,3,614746);</v>
      </c>
    </row>
    <row r="150" spans="1:12">
      <c r="A150" s="28" t="s">
        <v>36</v>
      </c>
      <c r="B150" s="28" t="s">
        <v>0</v>
      </c>
      <c r="C150" s="28">
        <v>2014</v>
      </c>
      <c r="D150" s="28" t="s">
        <v>1</v>
      </c>
      <c r="E150" s="28" t="s">
        <v>5</v>
      </c>
      <c r="F150" s="28">
        <v>739775</v>
      </c>
      <c r="H150">
        <f>VLOOKUP(A150&amp;B150,ticker_sector[],2,FALSE)</f>
        <v>2</v>
      </c>
      <c r="I150">
        <f>VLOOKUP(C150,year[],2,FALSE)</f>
        <v>4</v>
      </c>
      <c r="J150">
        <f>VLOOKUP(E150,showing[],2,FALSE)</f>
        <v>3</v>
      </c>
      <c r="K150">
        <f>Сектора[[#This Row],[Значение]]</f>
        <v>739775</v>
      </c>
      <c r="L150" t="str">
        <f t="shared" si="2"/>
        <v>INSERT INTO msfo.statements (id_company, id_year, id_showing, value) VALUES (2,4,3,739775);</v>
      </c>
    </row>
    <row r="151" spans="1:12">
      <c r="A151" s="28" t="s">
        <v>36</v>
      </c>
      <c r="B151" s="28" t="s">
        <v>0</v>
      </c>
      <c r="C151" s="28">
        <v>2015</v>
      </c>
      <c r="D151" s="28" t="s">
        <v>1</v>
      </c>
      <c r="E151" s="28" t="s">
        <v>5</v>
      </c>
      <c r="F151" s="28">
        <v>974549</v>
      </c>
      <c r="H151">
        <f>VLOOKUP(A151&amp;B151,ticker_sector[],2,FALSE)</f>
        <v>2</v>
      </c>
      <c r="I151">
        <f>VLOOKUP(C151,year[],2,FALSE)</f>
        <v>5</v>
      </c>
      <c r="J151">
        <f>VLOOKUP(E151,showing[],2,FALSE)</f>
        <v>3</v>
      </c>
      <c r="K151">
        <f>Сектора[[#This Row],[Значение]]</f>
        <v>974549</v>
      </c>
      <c r="L151" t="str">
        <f t="shared" si="2"/>
        <v>INSERT INTO msfo.statements (id_company, id_year, id_showing, value) VALUES (2,5,3,974549);</v>
      </c>
    </row>
    <row r="152" spans="1:12">
      <c r="A152" s="28" t="s">
        <v>36</v>
      </c>
      <c r="B152" s="28" t="s">
        <v>0</v>
      </c>
      <c r="C152" s="28">
        <v>2016</v>
      </c>
      <c r="D152" s="28" t="s">
        <v>1</v>
      </c>
      <c r="E152" s="28" t="s">
        <v>5</v>
      </c>
      <c r="F152" s="28">
        <v>1002238</v>
      </c>
      <c r="H152">
        <f>VLOOKUP(A152&amp;B152,ticker_sector[],2,FALSE)</f>
        <v>2</v>
      </c>
      <c r="I152">
        <f>VLOOKUP(C152,year[],2,FALSE)</f>
        <v>6</v>
      </c>
      <c r="J152">
        <f>VLOOKUP(E152,showing[],2,FALSE)</f>
        <v>3</v>
      </c>
      <c r="K152">
        <f>Сектора[[#This Row],[Значение]]</f>
        <v>1002238</v>
      </c>
      <c r="L152" t="str">
        <f t="shared" si="2"/>
        <v>INSERT INTO msfo.statements (id_company, id_year, id_showing, value) VALUES (2,6,3,1002238);</v>
      </c>
    </row>
    <row r="153" spans="1:12">
      <c r="A153" s="28" t="s">
        <v>36</v>
      </c>
      <c r="B153" s="28" t="s">
        <v>0</v>
      </c>
      <c r="C153" s="28">
        <v>2017</v>
      </c>
      <c r="D153" s="28" t="s">
        <v>1</v>
      </c>
      <c r="E153" s="28" t="s">
        <v>5</v>
      </c>
      <c r="F153" s="28">
        <v>958270</v>
      </c>
      <c r="H153">
        <f>VLOOKUP(A153&amp;B153,ticker_sector[],2,FALSE)</f>
        <v>2</v>
      </c>
      <c r="I153">
        <f>VLOOKUP(C153,year[],2,FALSE)</f>
        <v>7</v>
      </c>
      <c r="J153">
        <f>VLOOKUP(E153,showing[],2,FALSE)</f>
        <v>3</v>
      </c>
      <c r="K153">
        <f>Сектора[[#This Row],[Значение]]</f>
        <v>958270</v>
      </c>
      <c r="L153" t="str">
        <f t="shared" si="2"/>
        <v>INSERT INTO msfo.statements (id_company, id_year, id_showing, value) VALUES (2,7,3,958270);</v>
      </c>
    </row>
    <row r="154" spans="1:12">
      <c r="A154" s="28" t="s">
        <v>36</v>
      </c>
      <c r="B154" s="28" t="s">
        <v>0</v>
      </c>
      <c r="C154" s="28">
        <v>2010</v>
      </c>
      <c r="D154" s="28" t="s">
        <v>1</v>
      </c>
      <c r="E154" s="28" t="s">
        <v>6</v>
      </c>
      <c r="F154" s="28">
        <v>547791.80059999996</v>
      </c>
      <c r="H154">
        <f>VLOOKUP(A154&amp;B154,ticker_sector[],2,FALSE)</f>
        <v>2</v>
      </c>
      <c r="I154">
        <f>VLOOKUP(C154,year[],2,FALSE)</f>
        <v>0</v>
      </c>
      <c r="J154">
        <f>VLOOKUP(E154,showing[],2,FALSE)</f>
        <v>4</v>
      </c>
      <c r="K154">
        <f>Сектора[[#This Row],[Значение]]</f>
        <v>547791.80059999996</v>
      </c>
      <c r="L154" t="str">
        <f t="shared" si="2"/>
        <v>INSERT INTO msfo.statements (id_company, id_year, id_showing, value) VALUES (2,0,4,547791,8006);</v>
      </c>
    </row>
    <row r="155" spans="1:12">
      <c r="A155" s="28" t="s">
        <v>36</v>
      </c>
      <c r="B155" s="28" t="s">
        <v>0</v>
      </c>
      <c r="C155" s="28">
        <v>2011</v>
      </c>
      <c r="D155" s="28" t="s">
        <v>1</v>
      </c>
      <c r="E155" s="28" t="s">
        <v>6</v>
      </c>
      <c r="F155" s="28">
        <v>361338</v>
      </c>
      <c r="H155">
        <f>VLOOKUP(A155&amp;B155,ticker_sector[],2,FALSE)</f>
        <v>2</v>
      </c>
      <c r="I155">
        <f>VLOOKUP(C155,year[],2,FALSE)</f>
        <v>1</v>
      </c>
      <c r="J155">
        <f>VLOOKUP(E155,showing[],2,FALSE)</f>
        <v>4</v>
      </c>
      <c r="K155">
        <f>Сектора[[#This Row],[Значение]]</f>
        <v>361338</v>
      </c>
      <c r="L155" t="str">
        <f t="shared" si="2"/>
        <v>INSERT INTO msfo.statements (id_company, id_year, id_showing, value) VALUES (2,1,4,361338);</v>
      </c>
    </row>
    <row r="156" spans="1:12">
      <c r="A156" s="28" t="s">
        <v>36</v>
      </c>
      <c r="B156" s="28" t="s">
        <v>0</v>
      </c>
      <c r="C156" s="28">
        <v>2012</v>
      </c>
      <c r="D156" s="28" t="s">
        <v>1</v>
      </c>
      <c r="E156" s="28" t="s">
        <v>6</v>
      </c>
      <c r="F156" s="28">
        <v>393020</v>
      </c>
      <c r="H156">
        <f>VLOOKUP(A156&amp;B156,ticker_sector[],2,FALSE)</f>
        <v>2</v>
      </c>
      <c r="I156">
        <f>VLOOKUP(C156,year[],2,FALSE)</f>
        <v>2</v>
      </c>
      <c r="J156">
        <f>VLOOKUP(E156,showing[],2,FALSE)</f>
        <v>4</v>
      </c>
      <c r="K156">
        <f>Сектора[[#This Row],[Значение]]</f>
        <v>393020</v>
      </c>
      <c r="L156" t="str">
        <f t="shared" si="2"/>
        <v>INSERT INTO msfo.statements (id_company, id_year, id_showing, value) VALUES (2,2,4,393020);</v>
      </c>
    </row>
    <row r="157" spans="1:12">
      <c r="A157" s="28" t="s">
        <v>36</v>
      </c>
      <c r="B157" s="28" t="s">
        <v>0</v>
      </c>
      <c r="C157" s="28">
        <v>2013</v>
      </c>
      <c r="D157" s="28" t="s">
        <v>1</v>
      </c>
      <c r="E157" s="28" t="s">
        <v>6</v>
      </c>
      <c r="F157" s="28">
        <v>319130</v>
      </c>
      <c r="H157">
        <f>VLOOKUP(A157&amp;B157,ticker_sector[],2,FALSE)</f>
        <v>2</v>
      </c>
      <c r="I157">
        <f>VLOOKUP(C157,year[],2,FALSE)</f>
        <v>3</v>
      </c>
      <c r="J157">
        <f>VLOOKUP(E157,showing[],2,FALSE)</f>
        <v>4</v>
      </c>
      <c r="K157">
        <f>Сектора[[#This Row],[Значение]]</f>
        <v>319130</v>
      </c>
      <c r="L157" t="str">
        <f t="shared" si="2"/>
        <v>INSERT INTO msfo.statements (id_company, id_year, id_showing, value) VALUES (2,3,4,319130);</v>
      </c>
    </row>
    <row r="158" spans="1:12">
      <c r="A158" s="28" t="s">
        <v>36</v>
      </c>
      <c r="B158" s="28" t="s">
        <v>0</v>
      </c>
      <c r="C158" s="28">
        <v>2014</v>
      </c>
      <c r="D158" s="28" t="s">
        <v>1</v>
      </c>
      <c r="E158" s="28" t="s">
        <v>6</v>
      </c>
      <c r="F158" s="28">
        <v>269641</v>
      </c>
      <c r="H158">
        <f>VLOOKUP(A158&amp;B158,ticker_sector[],2,FALSE)</f>
        <v>2</v>
      </c>
      <c r="I158">
        <f>VLOOKUP(C158,year[],2,FALSE)</f>
        <v>4</v>
      </c>
      <c r="J158">
        <f>VLOOKUP(E158,showing[],2,FALSE)</f>
        <v>4</v>
      </c>
      <c r="K158">
        <f>Сектора[[#This Row],[Значение]]</f>
        <v>269641</v>
      </c>
      <c r="L158" t="str">
        <f t="shared" si="2"/>
        <v>INSERT INTO msfo.statements (id_company, id_year, id_showing, value) VALUES (2,4,4,269641);</v>
      </c>
    </row>
    <row r="159" spans="1:12">
      <c r="A159" s="28" t="s">
        <v>36</v>
      </c>
      <c r="B159" s="28" t="s">
        <v>0</v>
      </c>
      <c r="C159" s="28">
        <v>2015</v>
      </c>
      <c r="D159" s="28" t="s">
        <v>1</v>
      </c>
      <c r="E159" s="28" t="s">
        <v>6</v>
      </c>
      <c r="F159" s="28">
        <v>164885</v>
      </c>
      <c r="H159">
        <f>VLOOKUP(A159&amp;B159,ticker_sector[],2,FALSE)</f>
        <v>2</v>
      </c>
      <c r="I159">
        <f>VLOOKUP(C159,year[],2,FALSE)</f>
        <v>5</v>
      </c>
      <c r="J159">
        <f>VLOOKUP(E159,showing[],2,FALSE)</f>
        <v>4</v>
      </c>
      <c r="K159">
        <f>Сектора[[#This Row],[Значение]]</f>
        <v>164885</v>
      </c>
      <c r="L159" t="str">
        <f t="shared" si="2"/>
        <v>INSERT INTO msfo.statements (id_company, id_year, id_showing, value) VALUES (2,5,4,164885);</v>
      </c>
    </row>
    <row r="160" spans="1:12">
      <c r="A160" s="28" t="s">
        <v>36</v>
      </c>
      <c r="B160" s="28" t="s">
        <v>0</v>
      </c>
      <c r="C160" s="28">
        <v>2016</v>
      </c>
      <c r="D160" s="28" t="s">
        <v>1</v>
      </c>
      <c r="E160" s="28" t="s">
        <v>6</v>
      </c>
      <c r="F160" s="28">
        <v>236501</v>
      </c>
      <c r="H160">
        <f>VLOOKUP(A160&amp;B160,ticker_sector[],2,FALSE)</f>
        <v>2</v>
      </c>
      <c r="I160">
        <f>VLOOKUP(C160,year[],2,FALSE)</f>
        <v>6</v>
      </c>
      <c r="J160">
        <f>VLOOKUP(E160,showing[],2,FALSE)</f>
        <v>4</v>
      </c>
      <c r="K160">
        <f>Сектора[[#This Row],[Значение]]</f>
        <v>236501</v>
      </c>
      <c r="L160" t="str">
        <f t="shared" si="2"/>
        <v>INSERT INTO msfo.statements (id_company, id_year, id_showing, value) VALUES (2,6,4,236501);</v>
      </c>
    </row>
    <row r="161" spans="1:12">
      <c r="A161" s="28" t="s">
        <v>36</v>
      </c>
      <c r="B161" s="28" t="s">
        <v>0</v>
      </c>
      <c r="C161" s="28">
        <v>2017</v>
      </c>
      <c r="D161" s="28" t="s">
        <v>1</v>
      </c>
      <c r="E161" s="28" t="s">
        <v>6</v>
      </c>
      <c r="F161" s="28">
        <v>268272</v>
      </c>
      <c r="H161">
        <f>VLOOKUP(A161&amp;B161,ticker_sector[],2,FALSE)</f>
        <v>2</v>
      </c>
      <c r="I161">
        <f>VLOOKUP(C161,year[],2,FALSE)</f>
        <v>7</v>
      </c>
      <c r="J161">
        <f>VLOOKUP(E161,showing[],2,FALSE)</f>
        <v>4</v>
      </c>
      <c r="K161">
        <f>Сектора[[#This Row],[Значение]]</f>
        <v>268272</v>
      </c>
      <c r="L161" t="str">
        <f t="shared" si="2"/>
        <v>INSERT INTO msfo.statements (id_company, id_year, id_showing, value) VALUES (2,7,4,268272);</v>
      </c>
    </row>
    <row r="162" spans="1:12">
      <c r="A162" s="28" t="s">
        <v>36</v>
      </c>
      <c r="B162" s="28" t="s">
        <v>0</v>
      </c>
      <c r="C162" s="28">
        <v>2010</v>
      </c>
      <c r="D162" s="28" t="s">
        <v>1</v>
      </c>
      <c r="E162" s="28" t="s">
        <v>8</v>
      </c>
      <c r="F162" s="28">
        <v>98684.2022</v>
      </c>
      <c r="H162">
        <f>VLOOKUP(A162&amp;B162,ticker_sector[],2,FALSE)</f>
        <v>2</v>
      </c>
      <c r="I162">
        <f>VLOOKUP(C162,year[],2,FALSE)</f>
        <v>0</v>
      </c>
      <c r="J162">
        <f>VLOOKUP(E162,showing[],2,FALSE)</f>
        <v>5</v>
      </c>
      <c r="K162">
        <f>Сектора[[#This Row],[Значение]]</f>
        <v>98684.2022</v>
      </c>
      <c r="L162" t="str">
        <f t="shared" si="2"/>
        <v>INSERT INTO msfo.statements (id_company, id_year, id_showing, value) VALUES (2,0,5,98684,2022);</v>
      </c>
    </row>
    <row r="163" spans="1:12">
      <c r="A163" s="28" t="s">
        <v>36</v>
      </c>
      <c r="B163" s="28" t="s">
        <v>0</v>
      </c>
      <c r="C163" s="28">
        <v>2011</v>
      </c>
      <c r="D163" s="28" t="s">
        <v>1</v>
      </c>
      <c r="E163" s="28" t="s">
        <v>8</v>
      </c>
      <c r="F163" s="28">
        <v>124228</v>
      </c>
      <c r="H163">
        <f>VLOOKUP(A163&amp;B163,ticker_sector[],2,FALSE)</f>
        <v>2</v>
      </c>
      <c r="I163">
        <f>VLOOKUP(C163,year[],2,FALSE)</f>
        <v>1</v>
      </c>
      <c r="J163">
        <f>VLOOKUP(E163,showing[],2,FALSE)</f>
        <v>5</v>
      </c>
      <c r="K163">
        <f>Сектора[[#This Row],[Значение]]</f>
        <v>124228</v>
      </c>
      <c r="L163" t="str">
        <f t="shared" si="2"/>
        <v>INSERT INTO msfo.statements (id_company, id_year, id_showing, value) VALUES (2,1,5,124228);</v>
      </c>
    </row>
    <row r="164" spans="1:12">
      <c r="A164" s="28" t="s">
        <v>36</v>
      </c>
      <c r="B164" s="28" t="s">
        <v>0</v>
      </c>
      <c r="C164" s="28">
        <v>2012</v>
      </c>
      <c r="D164" s="28" t="s">
        <v>1</v>
      </c>
      <c r="E164" s="28" t="s">
        <v>8</v>
      </c>
      <c r="F164" s="28">
        <v>123473</v>
      </c>
      <c r="H164">
        <f>VLOOKUP(A164&amp;B164,ticker_sector[],2,FALSE)</f>
        <v>2</v>
      </c>
      <c r="I164">
        <f>VLOOKUP(C164,year[],2,FALSE)</f>
        <v>2</v>
      </c>
      <c r="J164">
        <f>VLOOKUP(E164,showing[],2,FALSE)</f>
        <v>5</v>
      </c>
      <c r="K164">
        <f>Сектора[[#This Row],[Значение]]</f>
        <v>123473</v>
      </c>
      <c r="L164" t="str">
        <f t="shared" si="2"/>
        <v>INSERT INTO msfo.statements (id_company, id_year, id_showing, value) VALUES (2,2,5,123473);</v>
      </c>
    </row>
    <row r="165" spans="1:12">
      <c r="A165" s="28" t="s">
        <v>36</v>
      </c>
      <c r="B165" s="28" t="s">
        <v>0</v>
      </c>
      <c r="C165" s="28">
        <v>2013</v>
      </c>
      <c r="D165" s="28" t="s">
        <v>1</v>
      </c>
      <c r="E165" s="28" t="s">
        <v>8</v>
      </c>
      <c r="F165" s="28">
        <v>207008</v>
      </c>
      <c r="H165">
        <f>VLOOKUP(A165&amp;B165,ticker_sector[],2,FALSE)</f>
        <v>2</v>
      </c>
      <c r="I165">
        <f>VLOOKUP(C165,year[],2,FALSE)</f>
        <v>3</v>
      </c>
      <c r="J165">
        <f>VLOOKUP(E165,showing[],2,FALSE)</f>
        <v>5</v>
      </c>
      <c r="K165">
        <f>Сектора[[#This Row],[Значение]]</f>
        <v>207008</v>
      </c>
      <c r="L165" t="str">
        <f t="shared" si="2"/>
        <v>INSERT INTO msfo.statements (id_company, id_year, id_showing, value) VALUES (2,3,5,207008);</v>
      </c>
    </row>
    <row r="166" spans="1:12">
      <c r="A166" s="28" t="s">
        <v>36</v>
      </c>
      <c r="B166" s="28" t="s">
        <v>0</v>
      </c>
      <c r="C166" s="28">
        <v>2014</v>
      </c>
      <c r="D166" s="28" t="s">
        <v>1</v>
      </c>
      <c r="E166" s="28" t="s">
        <v>8</v>
      </c>
      <c r="F166" s="28">
        <v>347375</v>
      </c>
      <c r="H166">
        <f>VLOOKUP(A166&amp;B166,ticker_sector[],2,FALSE)</f>
        <v>2</v>
      </c>
      <c r="I166">
        <f>VLOOKUP(C166,year[],2,FALSE)</f>
        <v>4</v>
      </c>
      <c r="J166">
        <f>VLOOKUP(E166,showing[],2,FALSE)</f>
        <v>5</v>
      </c>
      <c r="K166">
        <f>Сектора[[#This Row],[Значение]]</f>
        <v>347375</v>
      </c>
      <c r="L166" t="str">
        <f t="shared" si="2"/>
        <v>INSERT INTO msfo.statements (id_company, id_year, id_showing, value) VALUES (2,4,5,347375);</v>
      </c>
    </row>
    <row r="167" spans="1:12">
      <c r="A167" s="28" t="s">
        <v>36</v>
      </c>
      <c r="B167" s="28" t="s">
        <v>0</v>
      </c>
      <c r="C167" s="28">
        <v>2015</v>
      </c>
      <c r="D167" s="28" t="s">
        <v>1</v>
      </c>
      <c r="E167" s="28" t="s">
        <v>8</v>
      </c>
      <c r="F167" s="28">
        <v>563537</v>
      </c>
      <c r="H167">
        <f>VLOOKUP(A167&amp;B167,ticker_sector[],2,FALSE)</f>
        <v>2</v>
      </c>
      <c r="I167">
        <f>VLOOKUP(C167,year[],2,FALSE)</f>
        <v>5</v>
      </c>
      <c r="J167">
        <f>VLOOKUP(E167,showing[],2,FALSE)</f>
        <v>5</v>
      </c>
      <c r="K167">
        <f>Сектора[[#This Row],[Значение]]</f>
        <v>563537</v>
      </c>
      <c r="L167" t="str">
        <f t="shared" si="2"/>
        <v>INSERT INTO msfo.statements (id_company, id_year, id_showing, value) VALUES (2,5,5,563537);</v>
      </c>
    </row>
    <row r="168" spans="1:12">
      <c r="A168" s="28" t="s">
        <v>36</v>
      </c>
      <c r="B168" s="28" t="s">
        <v>0</v>
      </c>
      <c r="C168" s="28">
        <v>2016</v>
      </c>
      <c r="D168" s="28" t="s">
        <v>1</v>
      </c>
      <c r="E168" s="28" t="s">
        <v>8</v>
      </c>
      <c r="F168" s="28">
        <v>524240</v>
      </c>
      <c r="H168">
        <f>VLOOKUP(A168&amp;B168,ticker_sector[],2,FALSE)</f>
        <v>2</v>
      </c>
      <c r="I168">
        <f>VLOOKUP(C168,year[],2,FALSE)</f>
        <v>6</v>
      </c>
      <c r="J168">
        <f>VLOOKUP(E168,showing[],2,FALSE)</f>
        <v>5</v>
      </c>
      <c r="K168">
        <f>Сектора[[#This Row],[Значение]]</f>
        <v>524240</v>
      </c>
      <c r="L168" t="str">
        <f t="shared" si="2"/>
        <v>INSERT INTO msfo.statements (id_company, id_year, id_showing, value) VALUES (2,6,5,524240);</v>
      </c>
    </row>
    <row r="169" spans="1:12">
      <c r="A169" s="28" t="s">
        <v>36</v>
      </c>
      <c r="B169" s="28" t="s">
        <v>0</v>
      </c>
      <c r="C169" s="28">
        <v>2017</v>
      </c>
      <c r="D169" s="28" t="s">
        <v>1</v>
      </c>
      <c r="E169" s="28" t="s">
        <v>8</v>
      </c>
      <c r="F169" s="28">
        <v>554554</v>
      </c>
      <c r="H169">
        <f>VLOOKUP(A169&amp;B169,ticker_sector[],2,FALSE)</f>
        <v>2</v>
      </c>
      <c r="I169">
        <f>VLOOKUP(C169,year[],2,FALSE)</f>
        <v>7</v>
      </c>
      <c r="J169">
        <f>VLOOKUP(E169,showing[],2,FALSE)</f>
        <v>5</v>
      </c>
      <c r="K169">
        <f>Сектора[[#This Row],[Значение]]</f>
        <v>554554</v>
      </c>
      <c r="L169" t="str">
        <f t="shared" si="2"/>
        <v>INSERT INTO msfo.statements (id_company, id_year, id_showing, value) VALUES (2,7,5,554554);</v>
      </c>
    </row>
    <row r="170" spans="1:12">
      <c r="A170" s="28" t="s">
        <v>36</v>
      </c>
      <c r="B170" s="28" t="s">
        <v>0</v>
      </c>
      <c r="C170" s="28">
        <v>2010</v>
      </c>
      <c r="D170" s="28" t="s">
        <v>1</v>
      </c>
      <c r="E170" s="28" t="s">
        <v>9</v>
      </c>
      <c r="F170" s="28">
        <v>82196.199300000007</v>
      </c>
      <c r="H170">
        <f>VLOOKUP(A170&amp;B170,ticker_sector[],2,FALSE)</f>
        <v>2</v>
      </c>
      <c r="I170">
        <f>VLOOKUP(C170,year[],2,FALSE)</f>
        <v>0</v>
      </c>
      <c r="J170">
        <f>VLOOKUP(E170,showing[],2,FALSE)</f>
        <v>6</v>
      </c>
      <c r="K170">
        <f>Сектора[[#This Row],[Значение]]</f>
        <v>82196.199300000007</v>
      </c>
      <c r="L170" t="str">
        <f t="shared" si="2"/>
        <v>INSERT INTO msfo.statements (id_company, id_year, id_showing, value) VALUES (2,0,6,82196,1993);</v>
      </c>
    </row>
    <row r="171" spans="1:12">
      <c r="A171" s="28" t="s">
        <v>36</v>
      </c>
      <c r="B171" s="28" t="s">
        <v>0</v>
      </c>
      <c r="C171" s="28">
        <v>2011</v>
      </c>
      <c r="D171" s="28" t="s">
        <v>1</v>
      </c>
      <c r="E171" s="28" t="s">
        <v>9</v>
      </c>
      <c r="F171" s="28">
        <v>123391</v>
      </c>
      <c r="H171">
        <f>VLOOKUP(A171&amp;B171,ticker_sector[],2,FALSE)</f>
        <v>2</v>
      </c>
      <c r="I171">
        <f>VLOOKUP(C171,year[],2,FALSE)</f>
        <v>1</v>
      </c>
      <c r="J171">
        <f>VLOOKUP(E171,showing[],2,FALSE)</f>
        <v>6</v>
      </c>
      <c r="K171">
        <f>Сектора[[#This Row],[Значение]]</f>
        <v>123391</v>
      </c>
      <c r="L171" t="str">
        <f t="shared" si="2"/>
        <v>INSERT INTO msfo.statements (id_company, id_year, id_showing, value) VALUES (2,1,6,123391);</v>
      </c>
    </row>
    <row r="172" spans="1:12">
      <c r="A172" s="28" t="s">
        <v>36</v>
      </c>
      <c r="B172" s="28" t="s">
        <v>0</v>
      </c>
      <c r="C172" s="28">
        <v>2012</v>
      </c>
      <c r="D172" s="28" t="s">
        <v>1</v>
      </c>
      <c r="E172" s="28" t="s">
        <v>9</v>
      </c>
      <c r="F172" s="28">
        <v>120553</v>
      </c>
      <c r="H172">
        <f>VLOOKUP(A172&amp;B172,ticker_sector[],2,FALSE)</f>
        <v>2</v>
      </c>
      <c r="I172">
        <f>VLOOKUP(C172,year[],2,FALSE)</f>
        <v>2</v>
      </c>
      <c r="J172">
        <f>VLOOKUP(E172,showing[],2,FALSE)</f>
        <v>6</v>
      </c>
      <c r="K172">
        <f>Сектора[[#This Row],[Значение]]</f>
        <v>120553</v>
      </c>
      <c r="L172" t="str">
        <f t="shared" si="2"/>
        <v>INSERT INTO msfo.statements (id_company, id_year, id_showing, value) VALUES (2,2,6,120553);</v>
      </c>
    </row>
    <row r="173" spans="1:12">
      <c r="A173" s="28" t="s">
        <v>36</v>
      </c>
      <c r="B173" s="28" t="s">
        <v>0</v>
      </c>
      <c r="C173" s="28">
        <v>2013</v>
      </c>
      <c r="D173" s="28" t="s">
        <v>1</v>
      </c>
      <c r="E173" s="28" t="s">
        <v>9</v>
      </c>
      <c r="F173" s="28">
        <v>88608</v>
      </c>
      <c r="H173">
        <f>VLOOKUP(A173&amp;B173,ticker_sector[],2,FALSE)</f>
        <v>2</v>
      </c>
      <c r="I173">
        <f>VLOOKUP(C173,year[],2,FALSE)</f>
        <v>3</v>
      </c>
      <c r="J173">
        <f>VLOOKUP(E173,showing[],2,FALSE)</f>
        <v>6</v>
      </c>
      <c r="K173">
        <f>Сектора[[#This Row],[Значение]]</f>
        <v>88608</v>
      </c>
      <c r="L173" t="str">
        <f t="shared" si="2"/>
        <v>INSERT INTO msfo.statements (id_company, id_year, id_showing, value) VALUES (2,3,6,88608);</v>
      </c>
    </row>
    <row r="174" spans="1:12">
      <c r="A174" s="28" t="s">
        <v>36</v>
      </c>
      <c r="B174" s="28" t="s">
        <v>0</v>
      </c>
      <c r="C174" s="28">
        <v>2014</v>
      </c>
      <c r="D174" s="28" t="s">
        <v>1</v>
      </c>
      <c r="E174" s="28" t="s">
        <v>9</v>
      </c>
      <c r="F174" s="28">
        <v>122759</v>
      </c>
      <c r="H174">
        <f>VLOOKUP(A174&amp;B174,ticker_sector[],2,FALSE)</f>
        <v>2</v>
      </c>
      <c r="I174">
        <f>VLOOKUP(C174,year[],2,FALSE)</f>
        <v>4</v>
      </c>
      <c r="J174">
        <f>VLOOKUP(E174,showing[],2,FALSE)</f>
        <v>6</v>
      </c>
      <c r="K174">
        <f>Сектора[[#This Row],[Значение]]</f>
        <v>122759</v>
      </c>
      <c r="L174" t="str">
        <f t="shared" si="2"/>
        <v>INSERT INTO msfo.statements (id_company, id_year, id_showing, value) VALUES (2,4,6,122759);</v>
      </c>
    </row>
    <row r="175" spans="1:12">
      <c r="A175" s="28" t="s">
        <v>36</v>
      </c>
      <c r="B175" s="28" t="s">
        <v>0</v>
      </c>
      <c r="C175" s="28">
        <v>2015</v>
      </c>
      <c r="D175" s="28" t="s">
        <v>1</v>
      </c>
      <c r="E175" s="28" t="s">
        <v>9</v>
      </c>
      <c r="F175" s="28">
        <v>246127</v>
      </c>
      <c r="H175">
        <f>VLOOKUP(A175&amp;B175,ticker_sector[],2,FALSE)</f>
        <v>2</v>
      </c>
      <c r="I175">
        <f>VLOOKUP(C175,year[],2,FALSE)</f>
        <v>5</v>
      </c>
      <c r="J175">
        <f>VLOOKUP(E175,showing[],2,FALSE)</f>
        <v>6</v>
      </c>
      <c r="K175">
        <f>Сектора[[#This Row],[Значение]]</f>
        <v>246127</v>
      </c>
      <c r="L175" t="str">
        <f t="shared" si="2"/>
        <v>INSERT INTO msfo.statements (id_company, id_year, id_showing, value) VALUES (2,5,6,246127);</v>
      </c>
    </row>
    <row r="176" spans="1:12">
      <c r="A176" s="28" t="s">
        <v>36</v>
      </c>
      <c r="B176" s="28" t="s">
        <v>0</v>
      </c>
      <c r="C176" s="28">
        <v>2016</v>
      </c>
      <c r="D176" s="28" t="s">
        <v>1</v>
      </c>
      <c r="E176" s="28" t="s">
        <v>9</v>
      </c>
      <c r="F176" s="28">
        <v>241497</v>
      </c>
      <c r="H176">
        <f>VLOOKUP(A176&amp;B176,ticker_sector[],2,FALSE)</f>
        <v>2</v>
      </c>
      <c r="I176">
        <f>VLOOKUP(C176,year[],2,FALSE)</f>
        <v>6</v>
      </c>
      <c r="J176">
        <f>VLOOKUP(E176,showing[],2,FALSE)</f>
        <v>6</v>
      </c>
      <c r="K176">
        <f>Сектора[[#This Row],[Значение]]</f>
        <v>241497</v>
      </c>
      <c r="L176" t="str">
        <f t="shared" si="2"/>
        <v>INSERT INTO msfo.statements (id_company, id_year, id_showing, value) VALUES (2,6,6,241497);</v>
      </c>
    </row>
    <row r="177" spans="1:12">
      <c r="A177" s="28" t="s">
        <v>36</v>
      </c>
      <c r="B177" s="28" t="s">
        <v>0</v>
      </c>
      <c r="C177" s="28">
        <v>2017</v>
      </c>
      <c r="D177" s="28" t="s">
        <v>1</v>
      </c>
      <c r="E177" s="28" t="s">
        <v>9</v>
      </c>
      <c r="F177" s="28">
        <v>135444</v>
      </c>
      <c r="H177">
        <f>VLOOKUP(A177&amp;B177,ticker_sector[],2,FALSE)</f>
        <v>2</v>
      </c>
      <c r="I177">
        <f>VLOOKUP(C177,year[],2,FALSE)</f>
        <v>7</v>
      </c>
      <c r="J177">
        <f>VLOOKUP(E177,showing[],2,FALSE)</f>
        <v>6</v>
      </c>
      <c r="K177">
        <f>Сектора[[#This Row],[Значение]]</f>
        <v>135444</v>
      </c>
      <c r="L177" t="str">
        <f t="shared" si="2"/>
        <v>INSERT INTO msfo.statements (id_company, id_year, id_showing, value) VALUES (2,7,6,135444);</v>
      </c>
    </row>
    <row r="178" spans="1:12">
      <c r="A178" s="28" t="s">
        <v>36</v>
      </c>
      <c r="B178" s="28" t="s">
        <v>0</v>
      </c>
      <c r="C178" s="28">
        <v>2010</v>
      </c>
      <c r="D178" s="28" t="s">
        <v>1</v>
      </c>
      <c r="E178" s="28" t="s">
        <v>10</v>
      </c>
      <c r="F178" s="28">
        <v>728672.20209999999</v>
      </c>
      <c r="H178">
        <f>VLOOKUP(A178&amp;B178,ticker_sector[],2,FALSE)</f>
        <v>2</v>
      </c>
      <c r="I178">
        <f>VLOOKUP(C178,year[],2,FALSE)</f>
        <v>0</v>
      </c>
      <c r="J178">
        <f>VLOOKUP(E178,showing[],2,FALSE)</f>
        <v>7</v>
      </c>
      <c r="K178">
        <f>Сектора[[#This Row],[Значение]]</f>
        <v>728672.20209999999</v>
      </c>
      <c r="L178" t="str">
        <f t="shared" si="2"/>
        <v>INSERT INTO msfo.statements (id_company, id_year, id_showing, value) VALUES (2,0,7,728672,2021);</v>
      </c>
    </row>
    <row r="179" spans="1:12">
      <c r="A179" s="28" t="s">
        <v>36</v>
      </c>
      <c r="B179" s="28" t="s">
        <v>0</v>
      </c>
      <c r="C179" s="28">
        <v>2011</v>
      </c>
      <c r="D179" s="28" t="s">
        <v>1</v>
      </c>
      <c r="E179" s="28" t="s">
        <v>10</v>
      </c>
      <c r="F179" s="28">
        <v>608957</v>
      </c>
      <c r="H179">
        <f>VLOOKUP(A179&amp;B179,ticker_sector[],2,FALSE)</f>
        <v>2</v>
      </c>
      <c r="I179">
        <f>VLOOKUP(C179,year[],2,FALSE)</f>
        <v>1</v>
      </c>
      <c r="J179">
        <f>VLOOKUP(E179,showing[],2,FALSE)</f>
        <v>7</v>
      </c>
      <c r="K179">
        <f>Сектора[[#This Row],[Значение]]</f>
        <v>608957</v>
      </c>
      <c r="L179" t="str">
        <f t="shared" si="2"/>
        <v>INSERT INTO msfo.statements (id_company, id_year, id_showing, value) VALUES (2,1,7,608957);</v>
      </c>
    </row>
    <row r="180" spans="1:12">
      <c r="A180" s="28" t="s">
        <v>36</v>
      </c>
      <c r="B180" s="28" t="s">
        <v>0</v>
      </c>
      <c r="C180" s="28">
        <v>2012</v>
      </c>
      <c r="D180" s="28" t="s">
        <v>1</v>
      </c>
      <c r="E180" s="28" t="s">
        <v>10</v>
      </c>
      <c r="F180" s="28">
        <v>637046</v>
      </c>
      <c r="H180">
        <f>VLOOKUP(A180&amp;B180,ticker_sector[],2,FALSE)</f>
        <v>2</v>
      </c>
      <c r="I180">
        <f>VLOOKUP(C180,year[],2,FALSE)</f>
        <v>2</v>
      </c>
      <c r="J180">
        <f>VLOOKUP(E180,showing[],2,FALSE)</f>
        <v>7</v>
      </c>
      <c r="K180">
        <f>Сектора[[#This Row],[Значение]]</f>
        <v>637046</v>
      </c>
      <c r="L180" t="str">
        <f t="shared" si="2"/>
        <v>INSERT INTO msfo.statements (id_company, id_year, id_showing, value) VALUES (2,2,7,637046);</v>
      </c>
    </row>
    <row r="181" spans="1:12">
      <c r="A181" s="28" t="s">
        <v>36</v>
      </c>
      <c r="B181" s="28" t="s">
        <v>0</v>
      </c>
      <c r="C181" s="28">
        <v>2013</v>
      </c>
      <c r="D181" s="28" t="s">
        <v>1</v>
      </c>
      <c r="E181" s="28" t="s">
        <v>10</v>
      </c>
      <c r="F181" s="28">
        <v>614746</v>
      </c>
      <c r="H181">
        <f>VLOOKUP(A181&amp;B181,ticker_sector[],2,FALSE)</f>
        <v>2</v>
      </c>
      <c r="I181">
        <f>VLOOKUP(C181,year[],2,FALSE)</f>
        <v>3</v>
      </c>
      <c r="J181">
        <f>VLOOKUP(E181,showing[],2,FALSE)</f>
        <v>7</v>
      </c>
      <c r="K181">
        <f>Сектора[[#This Row],[Значение]]</f>
        <v>614746</v>
      </c>
      <c r="L181" t="str">
        <f t="shared" si="2"/>
        <v>INSERT INTO msfo.statements (id_company, id_year, id_showing, value) VALUES (2,3,7,614746);</v>
      </c>
    </row>
    <row r="182" spans="1:12">
      <c r="A182" s="28" t="s">
        <v>36</v>
      </c>
      <c r="B182" s="28" t="s">
        <v>0</v>
      </c>
      <c r="C182" s="28">
        <v>2014</v>
      </c>
      <c r="D182" s="28" t="s">
        <v>1</v>
      </c>
      <c r="E182" s="28" t="s">
        <v>10</v>
      </c>
      <c r="F182" s="28">
        <v>739775</v>
      </c>
      <c r="H182">
        <f>VLOOKUP(A182&amp;B182,ticker_sector[],2,FALSE)</f>
        <v>2</v>
      </c>
      <c r="I182">
        <f>VLOOKUP(C182,year[],2,FALSE)</f>
        <v>4</v>
      </c>
      <c r="J182">
        <f>VLOOKUP(E182,showing[],2,FALSE)</f>
        <v>7</v>
      </c>
      <c r="K182">
        <f>Сектора[[#This Row],[Значение]]</f>
        <v>739775</v>
      </c>
      <c r="L182" t="str">
        <f t="shared" si="2"/>
        <v>INSERT INTO msfo.statements (id_company, id_year, id_showing, value) VALUES (2,4,7,739775);</v>
      </c>
    </row>
    <row r="183" spans="1:12">
      <c r="A183" s="28" t="s">
        <v>36</v>
      </c>
      <c r="B183" s="28" t="s">
        <v>0</v>
      </c>
      <c r="C183" s="28">
        <v>2015</v>
      </c>
      <c r="D183" s="28" t="s">
        <v>1</v>
      </c>
      <c r="E183" s="28" t="s">
        <v>10</v>
      </c>
      <c r="F183" s="28">
        <v>974549</v>
      </c>
      <c r="H183">
        <f>VLOOKUP(A183&amp;B183,ticker_sector[],2,FALSE)</f>
        <v>2</v>
      </c>
      <c r="I183">
        <f>VLOOKUP(C183,year[],2,FALSE)</f>
        <v>5</v>
      </c>
      <c r="J183">
        <f>VLOOKUP(E183,showing[],2,FALSE)</f>
        <v>7</v>
      </c>
      <c r="K183">
        <f>Сектора[[#This Row],[Значение]]</f>
        <v>974549</v>
      </c>
      <c r="L183" t="str">
        <f t="shared" si="2"/>
        <v>INSERT INTO msfo.statements (id_company, id_year, id_showing, value) VALUES (2,5,7,974549);</v>
      </c>
    </row>
    <row r="184" spans="1:12">
      <c r="A184" s="28" t="s">
        <v>36</v>
      </c>
      <c r="B184" s="28" t="s">
        <v>0</v>
      </c>
      <c r="C184" s="28">
        <v>2016</v>
      </c>
      <c r="D184" s="28" t="s">
        <v>1</v>
      </c>
      <c r="E184" s="28" t="s">
        <v>10</v>
      </c>
      <c r="F184" s="28">
        <v>1002238</v>
      </c>
      <c r="H184">
        <f>VLOOKUP(A184&amp;B184,ticker_sector[],2,FALSE)</f>
        <v>2</v>
      </c>
      <c r="I184">
        <f>VLOOKUP(C184,year[],2,FALSE)</f>
        <v>6</v>
      </c>
      <c r="J184">
        <f>VLOOKUP(E184,showing[],2,FALSE)</f>
        <v>7</v>
      </c>
      <c r="K184">
        <f>Сектора[[#This Row],[Значение]]</f>
        <v>1002238</v>
      </c>
      <c r="L184" t="str">
        <f t="shared" si="2"/>
        <v>INSERT INTO msfo.statements (id_company, id_year, id_showing, value) VALUES (2,6,7,1002238);</v>
      </c>
    </row>
    <row r="185" spans="1:12">
      <c r="A185" s="28" t="s">
        <v>36</v>
      </c>
      <c r="B185" s="28" t="s">
        <v>0</v>
      </c>
      <c r="C185" s="28">
        <v>2017</v>
      </c>
      <c r="D185" s="28" t="s">
        <v>1</v>
      </c>
      <c r="E185" s="28" t="s">
        <v>10</v>
      </c>
      <c r="F185" s="28">
        <v>958270</v>
      </c>
      <c r="H185">
        <f>VLOOKUP(A185&amp;B185,ticker_sector[],2,FALSE)</f>
        <v>2</v>
      </c>
      <c r="I185">
        <f>VLOOKUP(C185,year[],2,FALSE)</f>
        <v>7</v>
      </c>
      <c r="J185">
        <f>VLOOKUP(E185,showing[],2,FALSE)</f>
        <v>7</v>
      </c>
      <c r="K185">
        <f>Сектора[[#This Row],[Значение]]</f>
        <v>958270</v>
      </c>
      <c r="L185" t="str">
        <f t="shared" si="2"/>
        <v>INSERT INTO msfo.statements (id_company, id_year, id_showing, value) VALUES (2,7,7,958270);</v>
      </c>
    </row>
    <row r="186" spans="1:12">
      <c r="A186" s="28" t="s">
        <v>36</v>
      </c>
      <c r="B186" s="28" t="s">
        <v>0</v>
      </c>
      <c r="C186" s="28">
        <v>2010</v>
      </c>
      <c r="D186" s="28" t="s">
        <v>1</v>
      </c>
      <c r="E186" s="28" t="s">
        <v>11</v>
      </c>
      <c r="F186" s="28">
        <v>0.24823288301476432</v>
      </c>
      <c r="H186">
        <f>VLOOKUP(A186&amp;B186,ticker_sector[],2,FALSE)</f>
        <v>2</v>
      </c>
      <c r="I186">
        <f>VLOOKUP(C186,year[],2,FALSE)</f>
        <v>0</v>
      </c>
      <c r="J186">
        <f>VLOOKUP(E186,showing[],2,FALSE)</f>
        <v>8</v>
      </c>
      <c r="K186">
        <f>Сектора[[#This Row],[Значение]]</f>
        <v>0.24823288301476432</v>
      </c>
      <c r="L186" t="str">
        <f t="shared" si="2"/>
        <v>INSERT INTO msfo.statements (id_company, id_year, id_showing, value) VALUES (2,0,8,0,248232883014764);</v>
      </c>
    </row>
    <row r="187" spans="1:12">
      <c r="A187" s="28" t="s">
        <v>36</v>
      </c>
      <c r="B187" s="28" t="s">
        <v>0</v>
      </c>
      <c r="C187" s="28">
        <v>2011</v>
      </c>
      <c r="D187" s="28" t="s">
        <v>1</v>
      </c>
      <c r="E187" s="28" t="s">
        <v>11</v>
      </c>
      <c r="F187" s="28">
        <v>0.40662805419758702</v>
      </c>
      <c r="H187">
        <f>VLOOKUP(A187&amp;B187,ticker_sector[],2,FALSE)</f>
        <v>2</v>
      </c>
      <c r="I187">
        <f>VLOOKUP(C187,year[],2,FALSE)</f>
        <v>1</v>
      </c>
      <c r="J187">
        <f>VLOOKUP(E187,showing[],2,FALSE)</f>
        <v>8</v>
      </c>
      <c r="K187">
        <f>Сектора[[#This Row],[Значение]]</f>
        <v>0.40662805419758702</v>
      </c>
      <c r="L187" t="str">
        <f t="shared" si="2"/>
        <v>INSERT INTO msfo.statements (id_company, id_year, id_showing, value) VALUES (2,1,8,0,406628054197587);</v>
      </c>
    </row>
    <row r="188" spans="1:12">
      <c r="A188" s="28" t="s">
        <v>36</v>
      </c>
      <c r="B188" s="28" t="s">
        <v>0</v>
      </c>
      <c r="C188" s="28">
        <v>2012</v>
      </c>
      <c r="D188" s="28" t="s">
        <v>1</v>
      </c>
      <c r="E188" s="28" t="s">
        <v>11</v>
      </c>
      <c r="F188" s="28">
        <v>0.38305868022089457</v>
      </c>
      <c r="H188">
        <f>VLOOKUP(A188&amp;B188,ticker_sector[],2,FALSE)</f>
        <v>2</v>
      </c>
      <c r="I188">
        <f>VLOOKUP(C188,year[],2,FALSE)</f>
        <v>2</v>
      </c>
      <c r="J188">
        <f>VLOOKUP(E188,showing[],2,FALSE)</f>
        <v>8</v>
      </c>
      <c r="K188">
        <f>Сектора[[#This Row],[Значение]]</f>
        <v>0.38305868022089457</v>
      </c>
      <c r="L188" t="str">
        <f t="shared" si="2"/>
        <v>INSERT INTO msfo.statements (id_company, id_year, id_showing, value) VALUES (2,2,8,0,383058680220895);</v>
      </c>
    </row>
    <row r="189" spans="1:12">
      <c r="A189" s="28" t="s">
        <v>36</v>
      </c>
      <c r="B189" s="28" t="s">
        <v>0</v>
      </c>
      <c r="C189" s="28">
        <v>2013</v>
      </c>
      <c r="D189" s="28" t="s">
        <v>1</v>
      </c>
      <c r="E189" s="28" t="s">
        <v>11</v>
      </c>
      <c r="F189" s="28">
        <v>0.48087502806036964</v>
      </c>
      <c r="H189">
        <f>VLOOKUP(A189&amp;B189,ticker_sector[],2,FALSE)</f>
        <v>2</v>
      </c>
      <c r="I189">
        <f>VLOOKUP(C189,year[],2,FALSE)</f>
        <v>3</v>
      </c>
      <c r="J189">
        <f>VLOOKUP(E189,showing[],2,FALSE)</f>
        <v>8</v>
      </c>
      <c r="K189">
        <f>Сектора[[#This Row],[Значение]]</f>
        <v>0.48087502806036964</v>
      </c>
      <c r="L189" t="str">
        <f t="shared" si="2"/>
        <v>INSERT INTO msfo.statements (id_company, id_year, id_showing, value) VALUES (2,3,8,0,48087502806037);</v>
      </c>
    </row>
    <row r="190" spans="1:12">
      <c r="A190" s="28" t="s">
        <v>36</v>
      </c>
      <c r="B190" s="28" t="s">
        <v>0</v>
      </c>
      <c r="C190" s="28">
        <v>2014</v>
      </c>
      <c r="D190" s="28" t="s">
        <v>1</v>
      </c>
      <c r="E190" s="28" t="s">
        <v>11</v>
      </c>
      <c r="F190" s="28">
        <v>0.63550944543949173</v>
      </c>
      <c r="H190">
        <f>VLOOKUP(A190&amp;B190,ticker_sector[],2,FALSE)</f>
        <v>2</v>
      </c>
      <c r="I190">
        <f>VLOOKUP(C190,year[],2,FALSE)</f>
        <v>4</v>
      </c>
      <c r="J190">
        <f>VLOOKUP(E190,showing[],2,FALSE)</f>
        <v>8</v>
      </c>
      <c r="K190">
        <f>Сектора[[#This Row],[Значение]]</f>
        <v>0.63550944543949173</v>
      </c>
      <c r="L190" t="str">
        <f t="shared" si="2"/>
        <v>INSERT INTO msfo.statements (id_company, id_year, id_showing, value) VALUES (2,4,8,0,635509445439492);</v>
      </c>
    </row>
    <row r="191" spans="1:12">
      <c r="A191" s="28" t="s">
        <v>36</v>
      </c>
      <c r="B191" s="28" t="s">
        <v>0</v>
      </c>
      <c r="C191" s="28">
        <v>2015</v>
      </c>
      <c r="D191" s="28" t="s">
        <v>1</v>
      </c>
      <c r="E191" s="28" t="s">
        <v>11</v>
      </c>
      <c r="F191" s="28">
        <v>0.83080891776606414</v>
      </c>
      <c r="H191">
        <f>VLOOKUP(A191&amp;B191,ticker_sector[],2,FALSE)</f>
        <v>2</v>
      </c>
      <c r="I191">
        <f>VLOOKUP(C191,year[],2,FALSE)</f>
        <v>5</v>
      </c>
      <c r="J191">
        <f>VLOOKUP(E191,showing[],2,FALSE)</f>
        <v>8</v>
      </c>
      <c r="K191">
        <f>Сектора[[#This Row],[Значение]]</f>
        <v>0.83080891776606414</v>
      </c>
      <c r="L191" t="str">
        <f t="shared" si="2"/>
        <v>INSERT INTO msfo.statements (id_company, id_year, id_showing, value) VALUES (2,5,8,0,830808917766064);</v>
      </c>
    </row>
    <row r="192" spans="1:12">
      <c r="A192" s="28" t="s">
        <v>36</v>
      </c>
      <c r="B192" s="28" t="s">
        <v>0</v>
      </c>
      <c r="C192" s="28">
        <v>2016</v>
      </c>
      <c r="D192" s="28" t="s">
        <v>1</v>
      </c>
      <c r="E192" s="28" t="s">
        <v>11</v>
      </c>
      <c r="F192" s="28">
        <v>0.76402710733378698</v>
      </c>
      <c r="H192">
        <f>VLOOKUP(A192&amp;B192,ticker_sector[],2,FALSE)</f>
        <v>2</v>
      </c>
      <c r="I192">
        <f>VLOOKUP(C192,year[],2,FALSE)</f>
        <v>6</v>
      </c>
      <c r="J192">
        <f>VLOOKUP(E192,showing[],2,FALSE)</f>
        <v>8</v>
      </c>
      <c r="K192">
        <f>Сектора[[#This Row],[Значение]]</f>
        <v>0.76402710733378698</v>
      </c>
      <c r="L192" t="str">
        <f t="shared" si="2"/>
        <v>INSERT INTO msfo.statements (id_company, id_year, id_showing, value) VALUES (2,6,8,0,764027107333787);</v>
      </c>
    </row>
    <row r="193" spans="1:12">
      <c r="A193" s="28" t="s">
        <v>36</v>
      </c>
      <c r="B193" s="28" t="s">
        <v>0</v>
      </c>
      <c r="C193" s="28">
        <v>2017</v>
      </c>
      <c r="D193" s="28" t="s">
        <v>1</v>
      </c>
      <c r="E193" s="28" t="s">
        <v>11</v>
      </c>
      <c r="F193" s="28">
        <v>0.72004549865904177</v>
      </c>
      <c r="H193">
        <f>VLOOKUP(A193&amp;B193,ticker_sector[],2,FALSE)</f>
        <v>2</v>
      </c>
      <c r="I193">
        <f>VLOOKUP(C193,year[],2,FALSE)</f>
        <v>7</v>
      </c>
      <c r="J193">
        <f>VLOOKUP(E193,showing[],2,FALSE)</f>
        <v>8</v>
      </c>
      <c r="K193">
        <f>Сектора[[#This Row],[Значение]]</f>
        <v>0.72004549865904177</v>
      </c>
      <c r="L193" t="str">
        <f t="shared" si="2"/>
        <v>INSERT INTO msfo.statements (id_company, id_year, id_showing, value) VALUES (2,7,8,0,720045498659042);</v>
      </c>
    </row>
    <row r="194" spans="1:12">
      <c r="A194" s="28" t="s">
        <v>36</v>
      </c>
      <c r="B194" s="28" t="s">
        <v>0</v>
      </c>
      <c r="C194" s="28">
        <v>2010</v>
      </c>
      <c r="D194" s="28" t="s">
        <v>4</v>
      </c>
      <c r="E194" s="28" t="s">
        <v>12</v>
      </c>
      <c r="F194" s="28">
        <v>389342.39750000002</v>
      </c>
      <c r="H194">
        <f>VLOOKUP(A194&amp;B194,ticker_sector[],2,FALSE)</f>
        <v>2</v>
      </c>
      <c r="I194">
        <f>VLOOKUP(C194,year[],2,FALSE)</f>
        <v>0</v>
      </c>
      <c r="J194">
        <f>VLOOKUP(E194,showing[],2,FALSE)</f>
        <v>9</v>
      </c>
      <c r="K194">
        <f>Сектора[[#This Row],[Значение]]</f>
        <v>389342.39750000002</v>
      </c>
      <c r="L194" t="str">
        <f t="shared" si="2"/>
        <v>INSERT INTO msfo.statements (id_company, id_year, id_showing, value) VALUES (2,0,9,389342,3975);</v>
      </c>
    </row>
    <row r="195" spans="1:12">
      <c r="A195" s="28" t="s">
        <v>36</v>
      </c>
      <c r="B195" s="28" t="s">
        <v>0</v>
      </c>
      <c r="C195" s="28">
        <v>2011</v>
      </c>
      <c r="D195" s="28" t="s">
        <v>4</v>
      </c>
      <c r="E195" s="28" t="s">
        <v>12</v>
      </c>
      <c r="F195" s="28">
        <v>415018</v>
      </c>
      <c r="H195">
        <f>VLOOKUP(A195&amp;B195,ticker_sector[],2,FALSE)</f>
        <v>2</v>
      </c>
      <c r="I195">
        <f>VLOOKUP(C195,year[],2,FALSE)</f>
        <v>1</v>
      </c>
      <c r="J195">
        <f>VLOOKUP(E195,showing[],2,FALSE)</f>
        <v>9</v>
      </c>
      <c r="K195">
        <f>Сектора[[#This Row],[Значение]]</f>
        <v>415018</v>
      </c>
      <c r="L195" t="str">
        <f t="shared" ref="L195:L258" si="3">"INSERT INTO msfo.statements (id_company, id_year, id_showing, value) VALUES ("&amp;H195&amp; ","&amp;I195&amp; ","&amp;J195&amp; ","&amp;K195&amp;");"</f>
        <v>INSERT INTO msfo.statements (id_company, id_year, id_showing, value) VALUES (2,1,9,415018);</v>
      </c>
    </row>
    <row r="196" spans="1:12">
      <c r="A196" s="28" t="s">
        <v>36</v>
      </c>
      <c r="B196" s="28" t="s">
        <v>0</v>
      </c>
      <c r="C196" s="28">
        <v>2012</v>
      </c>
      <c r="D196" s="28" t="s">
        <v>4</v>
      </c>
      <c r="E196" s="28" t="s">
        <v>12</v>
      </c>
      <c r="F196" s="28">
        <v>375120</v>
      </c>
      <c r="H196">
        <f>VLOOKUP(A196&amp;B196,ticker_sector[],2,FALSE)</f>
        <v>2</v>
      </c>
      <c r="I196">
        <f>VLOOKUP(C196,year[],2,FALSE)</f>
        <v>2</v>
      </c>
      <c r="J196">
        <f>VLOOKUP(E196,showing[],2,FALSE)</f>
        <v>9</v>
      </c>
      <c r="K196">
        <f>Сектора[[#This Row],[Значение]]</f>
        <v>375120</v>
      </c>
      <c r="L196" t="str">
        <f t="shared" si="3"/>
        <v>INSERT INTO msfo.statements (id_company, id_year, id_showing, value) VALUES (2,2,9,375120);</v>
      </c>
    </row>
    <row r="197" spans="1:12">
      <c r="A197" s="28" t="s">
        <v>36</v>
      </c>
      <c r="B197" s="28" t="s">
        <v>0</v>
      </c>
      <c r="C197" s="28">
        <v>2013</v>
      </c>
      <c r="D197" s="28" t="s">
        <v>4</v>
      </c>
      <c r="E197" s="28" t="s">
        <v>12</v>
      </c>
      <c r="F197" s="28">
        <v>365876</v>
      </c>
      <c r="H197">
        <f>VLOOKUP(A197&amp;B197,ticker_sector[],2,FALSE)</f>
        <v>2</v>
      </c>
      <c r="I197">
        <f>VLOOKUP(C197,year[],2,FALSE)</f>
        <v>3</v>
      </c>
      <c r="J197">
        <f>VLOOKUP(E197,showing[],2,FALSE)</f>
        <v>9</v>
      </c>
      <c r="K197">
        <f>Сектора[[#This Row],[Значение]]</f>
        <v>365876</v>
      </c>
      <c r="L197" t="str">
        <f t="shared" si="3"/>
        <v>INSERT INTO msfo.statements (id_company, id_year, id_showing, value) VALUES (2,3,9,365876);</v>
      </c>
    </row>
    <row r="198" spans="1:12">
      <c r="A198" s="28" t="s">
        <v>36</v>
      </c>
      <c r="B198" s="28" t="s">
        <v>0</v>
      </c>
      <c r="C198" s="28">
        <v>2014</v>
      </c>
      <c r="D198" s="28" t="s">
        <v>4</v>
      </c>
      <c r="E198" s="28" t="s">
        <v>12</v>
      </c>
      <c r="F198" s="28">
        <v>456013</v>
      </c>
      <c r="H198">
        <f>VLOOKUP(A198&amp;B198,ticker_sector[],2,FALSE)</f>
        <v>2</v>
      </c>
      <c r="I198">
        <f>VLOOKUP(C198,year[],2,FALSE)</f>
        <v>4</v>
      </c>
      <c r="J198">
        <f>VLOOKUP(E198,showing[],2,FALSE)</f>
        <v>9</v>
      </c>
      <c r="K198">
        <f>Сектора[[#This Row],[Значение]]</f>
        <v>456013</v>
      </c>
      <c r="L198" t="str">
        <f t="shared" si="3"/>
        <v>INSERT INTO msfo.statements (id_company, id_year, id_showing, value) VALUES (2,4,9,456013);</v>
      </c>
    </row>
    <row r="199" spans="1:12">
      <c r="A199" s="28" t="s">
        <v>36</v>
      </c>
      <c r="B199" s="28" t="s">
        <v>0</v>
      </c>
      <c r="C199" s="28">
        <v>2015</v>
      </c>
      <c r="D199" s="28" t="s">
        <v>4</v>
      </c>
      <c r="E199" s="28" t="s">
        <v>12</v>
      </c>
      <c r="F199" s="28">
        <v>506140</v>
      </c>
      <c r="H199">
        <f>VLOOKUP(A199&amp;B199,ticker_sector[],2,FALSE)</f>
        <v>2</v>
      </c>
      <c r="I199">
        <f>VLOOKUP(C199,year[],2,FALSE)</f>
        <v>5</v>
      </c>
      <c r="J199">
        <f>VLOOKUP(E199,showing[],2,FALSE)</f>
        <v>9</v>
      </c>
      <c r="K199">
        <f>Сектора[[#This Row],[Значение]]</f>
        <v>506140</v>
      </c>
      <c r="L199" t="str">
        <f t="shared" si="3"/>
        <v>INSERT INTO msfo.statements (id_company, id_year, id_showing, value) VALUES (2,5,9,506140);</v>
      </c>
    </row>
    <row r="200" spans="1:12">
      <c r="A200" s="28" t="s">
        <v>36</v>
      </c>
      <c r="B200" s="28" t="s">
        <v>0</v>
      </c>
      <c r="C200" s="28">
        <v>2016</v>
      </c>
      <c r="D200" s="28" t="s">
        <v>4</v>
      </c>
      <c r="E200" s="28" t="s">
        <v>12</v>
      </c>
      <c r="F200" s="28">
        <v>548564</v>
      </c>
      <c r="H200">
        <f>VLOOKUP(A200&amp;B200,ticker_sector[],2,FALSE)</f>
        <v>2</v>
      </c>
      <c r="I200">
        <f>VLOOKUP(C200,year[],2,FALSE)</f>
        <v>6</v>
      </c>
      <c r="J200">
        <f>VLOOKUP(E200,showing[],2,FALSE)</f>
        <v>9</v>
      </c>
      <c r="K200">
        <f>Сектора[[#This Row],[Значение]]</f>
        <v>548564</v>
      </c>
      <c r="L200" t="str">
        <f t="shared" si="3"/>
        <v>INSERT INTO msfo.statements (id_company, id_year, id_showing, value) VALUES (2,6,9,548564);</v>
      </c>
    </row>
    <row r="201" spans="1:12">
      <c r="A201" s="28" t="s">
        <v>36</v>
      </c>
      <c r="B201" s="28" t="s">
        <v>0</v>
      </c>
      <c r="C201" s="28">
        <v>2017</v>
      </c>
      <c r="D201" s="28" t="s">
        <v>4</v>
      </c>
      <c r="E201" s="28" t="s">
        <v>12</v>
      </c>
      <c r="F201" s="28">
        <v>536753</v>
      </c>
      <c r="H201">
        <f>VLOOKUP(A201&amp;B201,ticker_sector[],2,FALSE)</f>
        <v>2</v>
      </c>
      <c r="I201">
        <f>VLOOKUP(C201,year[],2,FALSE)</f>
        <v>7</v>
      </c>
      <c r="J201">
        <f>VLOOKUP(E201,showing[],2,FALSE)</f>
        <v>9</v>
      </c>
      <c r="K201">
        <f>Сектора[[#This Row],[Значение]]</f>
        <v>536753</v>
      </c>
      <c r="L201" t="str">
        <f t="shared" si="3"/>
        <v>INSERT INTO msfo.statements (id_company, id_year, id_showing, value) VALUES (2,7,9,536753);</v>
      </c>
    </row>
    <row r="202" spans="1:12">
      <c r="A202" s="28" t="s">
        <v>36</v>
      </c>
      <c r="B202" s="28" t="s">
        <v>0</v>
      </c>
      <c r="C202" s="28">
        <v>2010</v>
      </c>
      <c r="D202" s="28" t="s">
        <v>4</v>
      </c>
      <c r="E202" s="28" t="s">
        <v>13</v>
      </c>
      <c r="F202" s="28">
        <v>94143.144100000005</v>
      </c>
      <c r="H202">
        <f>VLOOKUP(A202&amp;B202,ticker_sector[],2,FALSE)</f>
        <v>2</v>
      </c>
      <c r="I202">
        <f>VLOOKUP(C202,year[],2,FALSE)</f>
        <v>0</v>
      </c>
      <c r="J202">
        <f>VLOOKUP(E202,showing[],2,FALSE)</f>
        <v>10</v>
      </c>
      <c r="K202">
        <f>Сектора[[#This Row],[Значение]]</f>
        <v>94143.144100000005</v>
      </c>
      <c r="L202" t="str">
        <f t="shared" si="3"/>
        <v>INSERT INTO msfo.statements (id_company, id_year, id_showing, value) VALUES (2,0,10,94143,1441);</v>
      </c>
    </row>
    <row r="203" spans="1:12">
      <c r="A203" s="28" t="s">
        <v>36</v>
      </c>
      <c r="B203" s="28" t="s">
        <v>0</v>
      </c>
      <c r="C203" s="28">
        <v>2011</v>
      </c>
      <c r="D203" s="28" t="s">
        <v>4</v>
      </c>
      <c r="E203" s="28" t="s">
        <v>13</v>
      </c>
      <c r="F203" s="28">
        <v>105152</v>
      </c>
      <c r="H203">
        <f>VLOOKUP(A203&amp;B203,ticker_sector[],2,FALSE)</f>
        <v>2</v>
      </c>
      <c r="I203">
        <f>VLOOKUP(C203,year[],2,FALSE)</f>
        <v>1</v>
      </c>
      <c r="J203">
        <f>VLOOKUP(E203,showing[],2,FALSE)</f>
        <v>10</v>
      </c>
      <c r="K203">
        <f>Сектора[[#This Row],[Значение]]</f>
        <v>105152</v>
      </c>
      <c r="L203" t="str">
        <f t="shared" si="3"/>
        <v>INSERT INTO msfo.statements (id_company, id_year, id_showing, value) VALUES (2,1,10,105152);</v>
      </c>
    </row>
    <row r="204" spans="1:12">
      <c r="A204" s="28" t="s">
        <v>36</v>
      </c>
      <c r="B204" s="28" t="s">
        <v>0</v>
      </c>
      <c r="C204" s="28">
        <v>2012</v>
      </c>
      <c r="D204" s="28" t="s">
        <v>4</v>
      </c>
      <c r="E204" s="28" t="s">
        <v>13</v>
      </c>
      <c r="F204" s="28">
        <v>68198</v>
      </c>
      <c r="H204">
        <f>VLOOKUP(A204&amp;B204,ticker_sector[],2,FALSE)</f>
        <v>2</v>
      </c>
      <c r="I204">
        <f>VLOOKUP(C204,year[],2,FALSE)</f>
        <v>2</v>
      </c>
      <c r="J204">
        <f>VLOOKUP(E204,showing[],2,FALSE)</f>
        <v>10</v>
      </c>
      <c r="K204">
        <f>Сектора[[#This Row],[Значение]]</f>
        <v>68198</v>
      </c>
      <c r="L204" t="str">
        <f t="shared" si="3"/>
        <v>INSERT INTO msfo.statements (id_company, id_year, id_showing, value) VALUES (2,2,10,68198);</v>
      </c>
    </row>
    <row r="205" spans="1:12">
      <c r="A205" s="28" t="s">
        <v>36</v>
      </c>
      <c r="B205" s="28" t="s">
        <v>0</v>
      </c>
      <c r="C205" s="28">
        <v>2013</v>
      </c>
      <c r="D205" s="28" t="s">
        <v>4</v>
      </c>
      <c r="E205" s="28" t="s">
        <v>13</v>
      </c>
      <c r="F205" s="28">
        <v>23838</v>
      </c>
      <c r="H205">
        <f>VLOOKUP(A205&amp;B205,ticker_sector[],2,FALSE)</f>
        <v>2</v>
      </c>
      <c r="I205">
        <f>VLOOKUP(C205,year[],2,FALSE)</f>
        <v>3</v>
      </c>
      <c r="J205">
        <f>VLOOKUP(E205,showing[],2,FALSE)</f>
        <v>10</v>
      </c>
      <c r="K205">
        <f>Сектора[[#This Row],[Значение]]</f>
        <v>23838</v>
      </c>
      <c r="L205" t="str">
        <f t="shared" si="3"/>
        <v>INSERT INTO msfo.statements (id_company, id_year, id_showing, value) VALUES (2,3,10,23838);</v>
      </c>
    </row>
    <row r="206" spans="1:12">
      <c r="A206" s="28" t="s">
        <v>36</v>
      </c>
      <c r="B206" s="28" t="s">
        <v>0</v>
      </c>
      <c r="C206" s="28">
        <v>2014</v>
      </c>
      <c r="D206" s="28" t="s">
        <v>4</v>
      </c>
      <c r="E206" s="28" t="s">
        <v>13</v>
      </c>
      <c r="F206" s="28">
        <v>93506</v>
      </c>
      <c r="H206">
        <f>VLOOKUP(A206&amp;B206,ticker_sector[],2,FALSE)</f>
        <v>2</v>
      </c>
      <c r="I206">
        <f>VLOOKUP(C206,year[],2,FALSE)</f>
        <v>4</v>
      </c>
      <c r="J206">
        <f>VLOOKUP(E206,showing[],2,FALSE)</f>
        <v>10</v>
      </c>
      <c r="K206">
        <f>Сектора[[#This Row],[Значение]]</f>
        <v>93506</v>
      </c>
      <c r="L206" t="str">
        <f t="shared" si="3"/>
        <v>INSERT INTO msfo.statements (id_company, id_year, id_showing, value) VALUES (2,4,10,93506);</v>
      </c>
    </row>
    <row r="207" spans="1:12">
      <c r="A207" s="28" t="s">
        <v>36</v>
      </c>
      <c r="B207" s="28" t="s">
        <v>0</v>
      </c>
      <c r="C207" s="28">
        <v>2015</v>
      </c>
      <c r="D207" s="28" t="s">
        <v>4</v>
      </c>
      <c r="E207" s="28" t="s">
        <v>13</v>
      </c>
      <c r="F207" s="28">
        <v>105139</v>
      </c>
      <c r="H207">
        <f>VLOOKUP(A207&amp;B207,ticker_sector[],2,FALSE)</f>
        <v>2</v>
      </c>
      <c r="I207">
        <f>VLOOKUP(C207,year[],2,FALSE)</f>
        <v>5</v>
      </c>
      <c r="J207">
        <f>VLOOKUP(E207,showing[],2,FALSE)</f>
        <v>10</v>
      </c>
      <c r="K207">
        <f>Сектора[[#This Row],[Значение]]</f>
        <v>105139</v>
      </c>
      <c r="L207" t="str">
        <f t="shared" si="3"/>
        <v>INSERT INTO msfo.statements (id_company, id_year, id_showing, value) VALUES (2,5,10,105139);</v>
      </c>
    </row>
    <row r="208" spans="1:12">
      <c r="A208" s="28" t="s">
        <v>36</v>
      </c>
      <c r="B208" s="28" t="s">
        <v>0</v>
      </c>
      <c r="C208" s="28">
        <v>2016</v>
      </c>
      <c r="D208" s="28" t="s">
        <v>4</v>
      </c>
      <c r="E208" s="28" t="s">
        <v>13</v>
      </c>
      <c r="F208" s="28">
        <v>167836</v>
      </c>
      <c r="H208">
        <f>VLOOKUP(A208&amp;B208,ticker_sector[],2,FALSE)</f>
        <v>2</v>
      </c>
      <c r="I208">
        <f>VLOOKUP(C208,year[],2,FALSE)</f>
        <v>6</v>
      </c>
      <c r="J208">
        <f>VLOOKUP(E208,showing[],2,FALSE)</f>
        <v>10</v>
      </c>
      <c r="K208">
        <f>Сектора[[#This Row],[Значение]]</f>
        <v>167836</v>
      </c>
      <c r="L208" t="str">
        <f t="shared" si="3"/>
        <v>INSERT INTO msfo.statements (id_company, id_year, id_showing, value) VALUES (2,6,10,167836);</v>
      </c>
    </row>
    <row r="209" spans="1:12">
      <c r="A209" s="28" t="s">
        <v>36</v>
      </c>
      <c r="B209" s="28" t="s">
        <v>0</v>
      </c>
      <c r="C209" s="28">
        <v>2017</v>
      </c>
      <c r="D209" s="28" t="s">
        <v>4</v>
      </c>
      <c r="E209" s="28" t="s">
        <v>13</v>
      </c>
      <c r="F209" s="28">
        <v>127809</v>
      </c>
      <c r="H209">
        <f>VLOOKUP(A209&amp;B209,ticker_sector[],2,FALSE)</f>
        <v>2</v>
      </c>
      <c r="I209">
        <f>VLOOKUP(C209,year[],2,FALSE)</f>
        <v>7</v>
      </c>
      <c r="J209">
        <f>VLOOKUP(E209,showing[],2,FALSE)</f>
        <v>10</v>
      </c>
      <c r="K209">
        <f>Сектора[[#This Row],[Значение]]</f>
        <v>127809</v>
      </c>
      <c r="L209" t="str">
        <f t="shared" si="3"/>
        <v>INSERT INTO msfo.statements (id_company, id_year, id_showing, value) VALUES (2,7,10,127809);</v>
      </c>
    </row>
    <row r="210" spans="1:12">
      <c r="A210" s="28" t="s">
        <v>36</v>
      </c>
      <c r="B210" s="28" t="s">
        <v>0</v>
      </c>
      <c r="C210" s="28">
        <v>2010</v>
      </c>
      <c r="D210" s="28" t="s">
        <v>4</v>
      </c>
      <c r="E210" s="28" t="s">
        <v>14</v>
      </c>
      <c r="F210" s="28">
        <v>12775</v>
      </c>
      <c r="H210">
        <f>VLOOKUP(A210&amp;B210,ticker_sector[],2,FALSE)</f>
        <v>2</v>
      </c>
      <c r="I210">
        <f>VLOOKUP(C210,year[],2,FALSE)</f>
        <v>0</v>
      </c>
      <c r="J210">
        <f>VLOOKUP(E210,showing[],2,FALSE)</f>
        <v>11</v>
      </c>
      <c r="K210">
        <f>Сектора[[#This Row],[Значение]]</f>
        <v>12775</v>
      </c>
      <c r="L210" t="str">
        <f t="shared" si="3"/>
        <v>INSERT INTO msfo.statements (id_company, id_year, id_showing, value) VALUES (2,0,11,12775);</v>
      </c>
    </row>
    <row r="211" spans="1:12">
      <c r="A211" s="28" t="s">
        <v>36</v>
      </c>
      <c r="B211" s="28" t="s">
        <v>0</v>
      </c>
      <c r="C211" s="28">
        <v>2011</v>
      </c>
      <c r="D211" s="28" t="s">
        <v>4</v>
      </c>
      <c r="E211" s="28" t="s">
        <v>14</v>
      </c>
      <c r="F211" s="28">
        <v>12890.319013793596</v>
      </c>
      <c r="H211">
        <f>VLOOKUP(A211&amp;B211,ticker_sector[],2,FALSE)</f>
        <v>2</v>
      </c>
      <c r="I211">
        <f>VLOOKUP(C211,year[],2,FALSE)</f>
        <v>1</v>
      </c>
      <c r="J211">
        <f>VLOOKUP(E211,showing[],2,FALSE)</f>
        <v>11</v>
      </c>
      <c r="K211">
        <f>Сектора[[#This Row],[Значение]]</f>
        <v>12890.319013793596</v>
      </c>
      <c r="L211" t="str">
        <f t="shared" si="3"/>
        <v>INSERT INTO msfo.statements (id_company, id_year, id_showing, value) VALUES (2,1,11,12890,3190137936);</v>
      </c>
    </row>
    <row r="212" spans="1:12">
      <c r="A212" s="28" t="s">
        <v>36</v>
      </c>
      <c r="B212" s="28" t="s">
        <v>0</v>
      </c>
      <c r="C212" s="28">
        <v>2012</v>
      </c>
      <c r="D212" s="28" t="s">
        <v>4</v>
      </c>
      <c r="E212" s="28" t="s">
        <v>14</v>
      </c>
      <c r="F212" s="28">
        <v>12350.564816430546</v>
      </c>
      <c r="H212">
        <f>VLOOKUP(A212&amp;B212,ticker_sector[],2,FALSE)</f>
        <v>2</v>
      </c>
      <c r="I212">
        <f>VLOOKUP(C212,year[],2,FALSE)</f>
        <v>2</v>
      </c>
      <c r="J212">
        <f>VLOOKUP(E212,showing[],2,FALSE)</f>
        <v>11</v>
      </c>
      <c r="K212">
        <f>Сектора[[#This Row],[Значение]]</f>
        <v>12350.564816430546</v>
      </c>
      <c r="L212" t="str">
        <f t="shared" si="3"/>
        <v>INSERT INTO msfo.statements (id_company, id_year, id_showing, value) VALUES (2,2,11,12350,5648164305);</v>
      </c>
    </row>
    <row r="213" spans="1:12">
      <c r="A213" s="28" t="s">
        <v>36</v>
      </c>
      <c r="B213" s="28" t="s">
        <v>0</v>
      </c>
      <c r="C213" s="28">
        <v>2013</v>
      </c>
      <c r="D213" s="28" t="s">
        <v>4</v>
      </c>
      <c r="E213" s="28" t="s">
        <v>14</v>
      </c>
      <c r="F213" s="28">
        <v>11178.886132261101</v>
      </c>
      <c r="H213">
        <f>VLOOKUP(A213&amp;B213,ticker_sector[],2,FALSE)</f>
        <v>2</v>
      </c>
      <c r="I213">
        <f>VLOOKUP(C213,year[],2,FALSE)</f>
        <v>3</v>
      </c>
      <c r="J213">
        <f>VLOOKUP(E213,showing[],2,FALSE)</f>
        <v>11</v>
      </c>
      <c r="K213">
        <f>Сектора[[#This Row],[Значение]]</f>
        <v>11178.886132261101</v>
      </c>
      <c r="L213" t="str">
        <f t="shared" si="3"/>
        <v>INSERT INTO msfo.statements (id_company, id_year, id_showing, value) VALUES (2,3,11,11178,8861322611);</v>
      </c>
    </row>
    <row r="214" spans="1:12">
      <c r="A214" s="28" t="s">
        <v>36</v>
      </c>
      <c r="B214" s="28" t="s">
        <v>0</v>
      </c>
      <c r="C214" s="28">
        <v>2014</v>
      </c>
      <c r="D214" s="28" t="s">
        <v>4</v>
      </c>
      <c r="E214" s="28" t="s">
        <v>14</v>
      </c>
      <c r="F214" s="28">
        <v>8105.6873284700596</v>
      </c>
      <c r="H214">
        <f>VLOOKUP(A214&amp;B214,ticker_sector[],2,FALSE)</f>
        <v>2</v>
      </c>
      <c r="I214">
        <f>VLOOKUP(C214,year[],2,FALSE)</f>
        <v>4</v>
      </c>
      <c r="J214">
        <f>VLOOKUP(E214,showing[],2,FALSE)</f>
        <v>11</v>
      </c>
      <c r="K214">
        <f>Сектора[[#This Row],[Значение]]</f>
        <v>8105.6873284700596</v>
      </c>
      <c r="L214" t="str">
        <f t="shared" si="3"/>
        <v>INSERT INTO msfo.statements (id_company, id_year, id_showing, value) VALUES (2,4,11,8105,68732847006);</v>
      </c>
    </row>
    <row r="215" spans="1:12">
      <c r="A215" s="28" t="s">
        <v>36</v>
      </c>
      <c r="B215" s="28" t="s">
        <v>0</v>
      </c>
      <c r="C215" s="28">
        <v>2015</v>
      </c>
      <c r="D215" s="28" t="s">
        <v>4</v>
      </c>
      <c r="E215" s="28" t="s">
        <v>14</v>
      </c>
      <c r="F215" s="28">
        <v>6944.5835568660323</v>
      </c>
      <c r="H215">
        <f>VLOOKUP(A215&amp;B215,ticker_sector[],2,FALSE)</f>
        <v>2</v>
      </c>
      <c r="I215">
        <f>VLOOKUP(C215,year[],2,FALSE)</f>
        <v>5</v>
      </c>
      <c r="J215">
        <f>VLOOKUP(E215,showing[],2,FALSE)</f>
        <v>11</v>
      </c>
      <c r="K215">
        <f>Сектора[[#This Row],[Значение]]</f>
        <v>6944.5835568660323</v>
      </c>
      <c r="L215" t="str">
        <f t="shared" si="3"/>
        <v>INSERT INTO msfo.statements (id_company, id_year, id_showing, value) VALUES (2,5,11,6944,58355686603);</v>
      </c>
    </row>
    <row r="216" spans="1:12">
      <c r="A216" s="28" t="s">
        <v>36</v>
      </c>
      <c r="B216" s="28" t="s">
        <v>0</v>
      </c>
      <c r="C216" s="28">
        <v>2016</v>
      </c>
      <c r="D216" s="28" t="s">
        <v>4</v>
      </c>
      <c r="E216" s="28" t="s">
        <v>14</v>
      </c>
      <c r="F216" s="28">
        <v>9043.7196757499969</v>
      </c>
      <c r="H216">
        <f>VLOOKUP(A216&amp;B216,ticker_sector[],2,FALSE)</f>
        <v>2</v>
      </c>
      <c r="I216">
        <f>VLOOKUP(C216,year[],2,FALSE)</f>
        <v>6</v>
      </c>
      <c r="J216">
        <f>VLOOKUP(E216,showing[],2,FALSE)</f>
        <v>11</v>
      </c>
      <c r="K216">
        <f>Сектора[[#This Row],[Значение]]</f>
        <v>9043.7196757499969</v>
      </c>
      <c r="L216" t="str">
        <f t="shared" si="3"/>
        <v>INSERT INTO msfo.statements (id_company, id_year, id_showing, value) VALUES (2,6,11,9043,71967575);</v>
      </c>
    </row>
    <row r="217" spans="1:12">
      <c r="A217" s="28" t="s">
        <v>36</v>
      </c>
      <c r="B217" s="28" t="s">
        <v>0</v>
      </c>
      <c r="C217" s="28">
        <v>2017</v>
      </c>
      <c r="D217" s="28" t="s">
        <v>4</v>
      </c>
      <c r="E217" s="28" t="s">
        <v>14</v>
      </c>
      <c r="F217" s="28">
        <v>9318.5961159857088</v>
      </c>
      <c r="H217">
        <f>VLOOKUP(A217&amp;B217,ticker_sector[],2,FALSE)</f>
        <v>2</v>
      </c>
      <c r="I217">
        <f>VLOOKUP(C217,year[],2,FALSE)</f>
        <v>7</v>
      </c>
      <c r="J217">
        <f>VLOOKUP(E217,showing[],2,FALSE)</f>
        <v>11</v>
      </c>
      <c r="K217">
        <f>Сектора[[#This Row],[Значение]]</f>
        <v>9318.5961159857088</v>
      </c>
      <c r="L217" t="str">
        <f t="shared" si="3"/>
        <v>INSERT INTO msfo.statements (id_company, id_year, id_showing, value) VALUES (2,7,11,9318,59611598571);</v>
      </c>
    </row>
    <row r="218" spans="1:12">
      <c r="A218" s="28" t="s">
        <v>36</v>
      </c>
      <c r="B218" s="28" t="s">
        <v>0</v>
      </c>
      <c r="C218" s="28">
        <v>2010</v>
      </c>
      <c r="D218" s="28" t="s">
        <v>4</v>
      </c>
      <c r="E218" s="28" t="s">
        <v>15</v>
      </c>
      <c r="F218" s="28">
        <v>3089</v>
      </c>
      <c r="H218">
        <f>VLOOKUP(A218&amp;B218,ticker_sector[],2,FALSE)</f>
        <v>2</v>
      </c>
      <c r="I218">
        <f>VLOOKUP(C218,year[],2,FALSE)</f>
        <v>0</v>
      </c>
      <c r="J218">
        <f>VLOOKUP(E218,showing[],2,FALSE)</f>
        <v>12</v>
      </c>
      <c r="K218">
        <f>Сектора[[#This Row],[Значение]]</f>
        <v>3089</v>
      </c>
      <c r="L218" t="str">
        <f t="shared" si="3"/>
        <v>INSERT INTO msfo.statements (id_company, id_year, id_showing, value) VALUES (2,0,12,3089);</v>
      </c>
    </row>
    <row r="219" spans="1:12">
      <c r="A219" s="28" t="s">
        <v>36</v>
      </c>
      <c r="B219" s="28" t="s">
        <v>0</v>
      </c>
      <c r="C219" s="28">
        <v>2011</v>
      </c>
      <c r="D219" s="28" t="s">
        <v>4</v>
      </c>
      <c r="E219" s="28" t="s">
        <v>15</v>
      </c>
      <c r="F219" s="28">
        <v>3265.9856318001248</v>
      </c>
      <c r="H219">
        <f>VLOOKUP(A219&amp;B219,ticker_sector[],2,FALSE)</f>
        <v>2</v>
      </c>
      <c r="I219">
        <f>VLOOKUP(C219,year[],2,FALSE)</f>
        <v>1</v>
      </c>
      <c r="J219">
        <f>VLOOKUP(E219,showing[],2,FALSE)</f>
        <v>12</v>
      </c>
      <c r="K219">
        <f>Сектора[[#This Row],[Значение]]</f>
        <v>3265.9856318001248</v>
      </c>
      <c r="L219" t="str">
        <f t="shared" si="3"/>
        <v>INSERT INTO msfo.statements (id_company, id_year, id_showing, value) VALUES (2,1,12,3265,98563180012);</v>
      </c>
    </row>
    <row r="220" spans="1:12">
      <c r="A220" s="28" t="s">
        <v>36</v>
      </c>
      <c r="B220" s="28" t="s">
        <v>0</v>
      </c>
      <c r="C220" s="28">
        <v>2012</v>
      </c>
      <c r="D220" s="28" t="s">
        <v>4</v>
      </c>
      <c r="E220" s="28" t="s">
        <v>15</v>
      </c>
      <c r="F220" s="28">
        <v>2245.3716660026935</v>
      </c>
      <c r="H220">
        <f>VLOOKUP(A220&amp;B220,ticker_sector[],2,FALSE)</f>
        <v>2</v>
      </c>
      <c r="I220">
        <f>VLOOKUP(C220,year[],2,FALSE)</f>
        <v>2</v>
      </c>
      <c r="J220">
        <f>VLOOKUP(E220,showing[],2,FALSE)</f>
        <v>12</v>
      </c>
      <c r="K220">
        <f>Сектора[[#This Row],[Значение]]</f>
        <v>2245.3716660026935</v>
      </c>
      <c r="L220" t="str">
        <f t="shared" si="3"/>
        <v>INSERT INTO msfo.statements (id_company, id_year, id_showing, value) VALUES (2,2,12,2245,37166600269);</v>
      </c>
    </row>
    <row r="221" spans="1:12">
      <c r="A221" s="28" t="s">
        <v>36</v>
      </c>
      <c r="B221" s="28" t="s">
        <v>0</v>
      </c>
      <c r="C221" s="28">
        <v>2013</v>
      </c>
      <c r="D221" s="28" t="s">
        <v>4</v>
      </c>
      <c r="E221" s="28" t="s">
        <v>15</v>
      </c>
      <c r="F221" s="28">
        <v>728.34044217396092</v>
      </c>
      <c r="H221">
        <f>VLOOKUP(A221&amp;B221,ticker_sector[],2,FALSE)</f>
        <v>2</v>
      </c>
      <c r="I221">
        <f>VLOOKUP(C221,year[],2,FALSE)</f>
        <v>3</v>
      </c>
      <c r="J221">
        <f>VLOOKUP(E221,showing[],2,FALSE)</f>
        <v>12</v>
      </c>
      <c r="K221">
        <f>Сектора[[#This Row],[Значение]]</f>
        <v>728.34044217396092</v>
      </c>
      <c r="L221" t="str">
        <f t="shared" si="3"/>
        <v>INSERT INTO msfo.statements (id_company, id_year, id_showing, value) VALUES (2,3,12,728,340442173961);</v>
      </c>
    </row>
    <row r="222" spans="1:12">
      <c r="A222" s="28" t="s">
        <v>36</v>
      </c>
      <c r="B222" s="28" t="s">
        <v>0</v>
      </c>
      <c r="C222" s="28">
        <v>2014</v>
      </c>
      <c r="D222" s="28" t="s">
        <v>4</v>
      </c>
      <c r="E222" s="28" t="s">
        <v>15</v>
      </c>
      <c r="F222" s="28">
        <v>1662.0806848399527</v>
      </c>
      <c r="H222">
        <f>VLOOKUP(A222&amp;B222,ticker_sector[],2,FALSE)</f>
        <v>2</v>
      </c>
      <c r="I222">
        <f>VLOOKUP(C222,year[],2,FALSE)</f>
        <v>4</v>
      </c>
      <c r="J222">
        <f>VLOOKUP(E222,showing[],2,FALSE)</f>
        <v>12</v>
      </c>
      <c r="K222">
        <f>Сектора[[#This Row],[Значение]]</f>
        <v>1662.0806848399527</v>
      </c>
      <c r="L222" t="str">
        <f t="shared" si="3"/>
        <v>INSERT INTO msfo.statements (id_company, id_year, id_showing, value) VALUES (2,4,12,1662,08068483995);</v>
      </c>
    </row>
    <row r="223" spans="1:12">
      <c r="A223" s="28" t="s">
        <v>36</v>
      </c>
      <c r="B223" s="28" t="s">
        <v>0</v>
      </c>
      <c r="C223" s="28">
        <v>2015</v>
      </c>
      <c r="D223" s="28" t="s">
        <v>4</v>
      </c>
      <c r="E223" s="28" t="s">
        <v>15</v>
      </c>
      <c r="F223" s="28">
        <v>1442.5782798935825</v>
      </c>
      <c r="H223">
        <f>VLOOKUP(A223&amp;B223,ticker_sector[],2,FALSE)</f>
        <v>2</v>
      </c>
      <c r="I223">
        <f>VLOOKUP(C223,year[],2,FALSE)</f>
        <v>5</v>
      </c>
      <c r="J223">
        <f>VLOOKUP(E223,showing[],2,FALSE)</f>
        <v>12</v>
      </c>
      <c r="K223">
        <f>Сектора[[#This Row],[Значение]]</f>
        <v>1442.5782798935825</v>
      </c>
      <c r="L223" t="str">
        <f t="shared" si="3"/>
        <v>INSERT INTO msfo.statements (id_company, id_year, id_showing, value) VALUES (2,5,12,1442,57827989358);</v>
      </c>
    </row>
    <row r="224" spans="1:12">
      <c r="A224" s="28" t="s">
        <v>36</v>
      </c>
      <c r="B224" s="28" t="s">
        <v>0</v>
      </c>
      <c r="C224" s="28">
        <v>2016</v>
      </c>
      <c r="D224" s="28" t="s">
        <v>4</v>
      </c>
      <c r="E224" s="28" t="s">
        <v>15</v>
      </c>
      <c r="F224" s="28">
        <v>2766.9729247620635</v>
      </c>
      <c r="H224">
        <f>VLOOKUP(A224&amp;B224,ticker_sector[],2,FALSE)</f>
        <v>2</v>
      </c>
      <c r="I224">
        <f>VLOOKUP(C224,year[],2,FALSE)</f>
        <v>6</v>
      </c>
      <c r="J224">
        <f>VLOOKUP(E224,showing[],2,FALSE)</f>
        <v>12</v>
      </c>
      <c r="K224">
        <f>Сектора[[#This Row],[Значение]]</f>
        <v>2766.9729247620635</v>
      </c>
      <c r="L224" t="str">
        <f t="shared" si="3"/>
        <v>INSERT INTO msfo.statements (id_company, id_year, id_showing, value) VALUES (2,6,12,2766,97292476206);</v>
      </c>
    </row>
    <row r="225" spans="1:12">
      <c r="A225" s="28" t="s">
        <v>36</v>
      </c>
      <c r="B225" s="28" t="s">
        <v>0</v>
      </c>
      <c r="C225" s="28">
        <v>2017</v>
      </c>
      <c r="D225" s="28" t="s">
        <v>4</v>
      </c>
      <c r="E225" s="28" t="s">
        <v>15</v>
      </c>
      <c r="F225" s="28">
        <v>2218.8985454911613</v>
      </c>
      <c r="H225">
        <f>VLOOKUP(A225&amp;B225,ticker_sector[],2,FALSE)</f>
        <v>2</v>
      </c>
      <c r="I225">
        <f>VLOOKUP(C225,year[],2,FALSE)</f>
        <v>7</v>
      </c>
      <c r="J225">
        <f>VLOOKUP(E225,showing[],2,FALSE)</f>
        <v>12</v>
      </c>
      <c r="K225">
        <f>Сектора[[#This Row],[Значение]]</f>
        <v>2218.8985454911613</v>
      </c>
      <c r="L225" t="str">
        <f t="shared" si="3"/>
        <v>INSERT INTO msfo.statements (id_company, id_year, id_showing, value) VALUES (2,7,12,2218,89854549116);</v>
      </c>
    </row>
    <row r="226" spans="1:12">
      <c r="A226" s="28" t="s">
        <v>36</v>
      </c>
      <c r="B226" s="28" t="s">
        <v>0</v>
      </c>
      <c r="C226" s="28">
        <v>2010</v>
      </c>
      <c r="D226" s="28" t="s">
        <v>7</v>
      </c>
      <c r="E226" s="28" t="s">
        <v>16</v>
      </c>
      <c r="F226" s="28">
        <v>179813.71</v>
      </c>
      <c r="H226">
        <f>VLOOKUP(A226&amp;B226,ticker_sector[],2,FALSE)</f>
        <v>2</v>
      </c>
      <c r="I226">
        <f>VLOOKUP(C226,year[],2,FALSE)</f>
        <v>0</v>
      </c>
      <c r="J226">
        <f>VLOOKUP(E226,showing[],2,FALSE)</f>
        <v>13</v>
      </c>
      <c r="K226">
        <f>Сектора[[#This Row],[Значение]]</f>
        <v>179813.71</v>
      </c>
      <c r="L226" t="str">
        <f t="shared" si="3"/>
        <v>INSERT INTO msfo.statements (id_company, id_year, id_showing, value) VALUES (2,0,13,179813,71);</v>
      </c>
    </row>
    <row r="227" spans="1:12">
      <c r="A227" s="28" t="s">
        <v>36</v>
      </c>
      <c r="B227" s="28" t="s">
        <v>0</v>
      </c>
      <c r="C227" s="28">
        <v>2011</v>
      </c>
      <c r="D227" s="28" t="s">
        <v>7</v>
      </c>
      <c r="E227" s="28" t="s">
        <v>16</v>
      </c>
      <c r="F227" s="28">
        <v>156889</v>
      </c>
      <c r="H227">
        <f>VLOOKUP(A227&amp;B227,ticker_sector[],2,FALSE)</f>
        <v>2</v>
      </c>
      <c r="I227">
        <f>VLOOKUP(C227,year[],2,FALSE)</f>
        <v>1</v>
      </c>
      <c r="J227">
        <f>VLOOKUP(E227,showing[],2,FALSE)</f>
        <v>13</v>
      </c>
      <c r="K227">
        <f>Сектора[[#This Row],[Значение]]</f>
        <v>156889</v>
      </c>
      <c r="L227" t="str">
        <f t="shared" si="3"/>
        <v>INSERT INTO msfo.statements (id_company, id_year, id_showing, value) VALUES (2,1,13,156889);</v>
      </c>
    </row>
    <row r="228" spans="1:12">
      <c r="A228" s="28" t="s">
        <v>36</v>
      </c>
      <c r="B228" s="28" t="s">
        <v>0</v>
      </c>
      <c r="C228" s="28">
        <v>2012</v>
      </c>
      <c r="D228" s="28" t="s">
        <v>7</v>
      </c>
      <c r="E228" s="28" t="s">
        <v>16</v>
      </c>
      <c r="F228" s="28">
        <v>122486</v>
      </c>
      <c r="H228">
        <f>VLOOKUP(A228&amp;B228,ticker_sector[],2,FALSE)</f>
        <v>2</v>
      </c>
      <c r="I228">
        <f>VLOOKUP(C228,year[],2,FALSE)</f>
        <v>2</v>
      </c>
      <c r="J228">
        <f>VLOOKUP(E228,showing[],2,FALSE)</f>
        <v>13</v>
      </c>
      <c r="K228">
        <f>Сектора[[#This Row],[Значение]]</f>
        <v>122486</v>
      </c>
      <c r="L228" t="str">
        <f t="shared" si="3"/>
        <v>INSERT INTO msfo.statements (id_company, id_year, id_showing, value) VALUES (2,2,13,122486);</v>
      </c>
    </row>
    <row r="229" spans="1:12">
      <c r="A229" s="28" t="s">
        <v>36</v>
      </c>
      <c r="B229" s="28" t="s">
        <v>0</v>
      </c>
      <c r="C229" s="28">
        <v>2013</v>
      </c>
      <c r="D229" s="28" t="s">
        <v>7</v>
      </c>
      <c r="E229" s="28" t="s">
        <v>16</v>
      </c>
      <c r="F229" s="28">
        <v>113833</v>
      </c>
      <c r="H229">
        <f>VLOOKUP(A229&amp;B229,ticker_sector[],2,FALSE)</f>
        <v>2</v>
      </c>
      <c r="I229">
        <f>VLOOKUP(C229,year[],2,FALSE)</f>
        <v>3</v>
      </c>
      <c r="J229">
        <f>VLOOKUP(E229,showing[],2,FALSE)</f>
        <v>13</v>
      </c>
      <c r="K229">
        <f>Сектора[[#This Row],[Значение]]</f>
        <v>113833</v>
      </c>
      <c r="L229" t="str">
        <f t="shared" si="3"/>
        <v>INSERT INTO msfo.statements (id_company, id_year, id_showing, value) VALUES (2,3,13,113833);</v>
      </c>
    </row>
    <row r="230" spans="1:12">
      <c r="A230" s="28" t="s">
        <v>36</v>
      </c>
      <c r="B230" s="28" t="s">
        <v>0</v>
      </c>
      <c r="C230" s="28">
        <v>2014</v>
      </c>
      <c r="D230" s="28" t="s">
        <v>7</v>
      </c>
      <c r="E230" s="28" t="s">
        <v>16</v>
      </c>
      <c r="F230" s="28">
        <v>183619</v>
      </c>
      <c r="H230">
        <f>VLOOKUP(A230&amp;B230,ticker_sector[],2,FALSE)</f>
        <v>2</v>
      </c>
      <c r="I230">
        <f>VLOOKUP(C230,year[],2,FALSE)</f>
        <v>4</v>
      </c>
      <c r="J230">
        <f>VLOOKUP(E230,showing[],2,FALSE)</f>
        <v>13</v>
      </c>
      <c r="K230">
        <f>Сектора[[#This Row],[Значение]]</f>
        <v>183619</v>
      </c>
      <c r="L230" t="str">
        <f t="shared" si="3"/>
        <v>INSERT INTO msfo.statements (id_company, id_year, id_showing, value) VALUES (2,4,13,183619);</v>
      </c>
    </row>
    <row r="231" spans="1:12">
      <c r="A231" s="28" t="s">
        <v>36</v>
      </c>
      <c r="B231" s="28" t="s">
        <v>0</v>
      </c>
      <c r="C231" s="28">
        <v>2015</v>
      </c>
      <c r="D231" s="28" t="s">
        <v>7</v>
      </c>
      <c r="E231" s="28" t="s">
        <v>16</v>
      </c>
      <c r="F231" s="28">
        <v>202482</v>
      </c>
      <c r="H231">
        <f>VLOOKUP(A231&amp;B231,ticker_sector[],2,FALSE)</f>
        <v>2</v>
      </c>
      <c r="I231">
        <f>VLOOKUP(C231,year[],2,FALSE)</f>
        <v>5</v>
      </c>
      <c r="J231">
        <f>VLOOKUP(E231,showing[],2,FALSE)</f>
        <v>13</v>
      </c>
      <c r="K231">
        <f>Сектора[[#This Row],[Значение]]</f>
        <v>202482</v>
      </c>
      <c r="L231" t="str">
        <f t="shared" si="3"/>
        <v>INSERT INTO msfo.statements (id_company, id_year, id_showing, value) VALUES (2,5,13,202482);</v>
      </c>
    </row>
    <row r="232" spans="1:12">
      <c r="A232" s="28" t="s">
        <v>36</v>
      </c>
      <c r="B232" s="28" t="s">
        <v>0</v>
      </c>
      <c r="C232" s="28">
        <v>2016</v>
      </c>
      <c r="D232" s="28" t="s">
        <v>7</v>
      </c>
      <c r="E232" s="28" t="s">
        <v>16</v>
      </c>
      <c r="F232" s="28">
        <v>192211</v>
      </c>
      <c r="H232">
        <f>VLOOKUP(A232&amp;B232,ticker_sector[],2,FALSE)</f>
        <v>2</v>
      </c>
      <c r="I232">
        <f>VLOOKUP(C232,year[],2,FALSE)</f>
        <v>6</v>
      </c>
      <c r="J232">
        <f>VLOOKUP(E232,showing[],2,FALSE)</f>
        <v>13</v>
      </c>
      <c r="K232">
        <f>Сектора[[#This Row],[Значение]]</f>
        <v>192211</v>
      </c>
      <c r="L232" t="str">
        <f t="shared" si="3"/>
        <v>INSERT INTO msfo.statements (id_company, id_year, id_showing, value) VALUES (2,6,13,192211);</v>
      </c>
    </row>
    <row r="233" spans="1:12">
      <c r="A233" s="28" t="s">
        <v>36</v>
      </c>
      <c r="B233" s="28" t="s">
        <v>0</v>
      </c>
      <c r="C233" s="28">
        <v>2017</v>
      </c>
      <c r="D233" s="28" t="s">
        <v>7</v>
      </c>
      <c r="E233" s="28" t="s">
        <v>16</v>
      </c>
      <c r="F233" s="28">
        <v>169449</v>
      </c>
      <c r="H233">
        <f>VLOOKUP(A233&amp;B233,ticker_sector[],2,FALSE)</f>
        <v>2</v>
      </c>
      <c r="I233">
        <f>VLOOKUP(C233,year[],2,FALSE)</f>
        <v>7</v>
      </c>
      <c r="J233">
        <f>VLOOKUP(E233,showing[],2,FALSE)</f>
        <v>13</v>
      </c>
      <c r="K233">
        <f>Сектора[[#This Row],[Значение]]</f>
        <v>169449</v>
      </c>
      <c r="L233" t="str">
        <f t="shared" si="3"/>
        <v>INSERT INTO msfo.statements (id_company, id_year, id_showing, value) VALUES (2,7,13,169449);</v>
      </c>
    </row>
    <row r="234" spans="1:12">
      <c r="A234" s="28" t="s">
        <v>36</v>
      </c>
      <c r="B234" s="28" t="s">
        <v>0</v>
      </c>
      <c r="C234" s="28">
        <v>2010</v>
      </c>
      <c r="D234" s="28" t="s">
        <v>7</v>
      </c>
      <c r="E234" s="28" t="s">
        <v>17</v>
      </c>
      <c r="F234" s="28">
        <v>5900</v>
      </c>
      <c r="H234">
        <f>VLOOKUP(A234&amp;B234,ticker_sector[],2,FALSE)</f>
        <v>2</v>
      </c>
      <c r="I234">
        <f>VLOOKUP(C234,year[],2,FALSE)</f>
        <v>0</v>
      </c>
      <c r="J234">
        <f>VLOOKUP(E234,showing[],2,FALSE)</f>
        <v>14</v>
      </c>
      <c r="K234">
        <f>Сектора[[#This Row],[Значение]]</f>
        <v>5900</v>
      </c>
      <c r="L234" t="str">
        <f t="shared" si="3"/>
        <v>INSERT INTO msfo.statements (id_company, id_year, id_showing, value) VALUES (2,0,14,5900);</v>
      </c>
    </row>
    <row r="235" spans="1:12">
      <c r="A235" s="28" t="s">
        <v>36</v>
      </c>
      <c r="B235" s="28" t="s">
        <v>0</v>
      </c>
      <c r="C235" s="28">
        <v>2011</v>
      </c>
      <c r="D235" s="28" t="s">
        <v>7</v>
      </c>
      <c r="E235" s="28" t="s">
        <v>17</v>
      </c>
      <c r="F235" s="28">
        <v>4872.9193908578991</v>
      </c>
      <c r="H235">
        <f>VLOOKUP(A235&amp;B235,ticker_sector[],2,FALSE)</f>
        <v>2</v>
      </c>
      <c r="I235">
        <f>VLOOKUP(C235,year[],2,FALSE)</f>
        <v>1</v>
      </c>
      <c r="J235">
        <f>VLOOKUP(E235,showing[],2,FALSE)</f>
        <v>14</v>
      </c>
      <c r="K235">
        <f>Сектора[[#This Row],[Значение]]</f>
        <v>4872.9193908578991</v>
      </c>
      <c r="L235" t="str">
        <f t="shared" si="3"/>
        <v>INSERT INTO msfo.statements (id_company, id_year, id_showing, value) VALUES (2,1,14,4872,9193908579);</v>
      </c>
    </row>
    <row r="236" spans="1:12">
      <c r="A236" s="28" t="s">
        <v>36</v>
      </c>
      <c r="B236" s="28" t="s">
        <v>0</v>
      </c>
      <c r="C236" s="28">
        <v>2012</v>
      </c>
      <c r="D236" s="28" t="s">
        <v>7</v>
      </c>
      <c r="E236" s="28" t="s">
        <v>17</v>
      </c>
      <c r="F236" s="28">
        <v>4032.7662670753671</v>
      </c>
      <c r="H236">
        <f>VLOOKUP(A236&amp;B236,ticker_sector[],2,FALSE)</f>
        <v>2</v>
      </c>
      <c r="I236">
        <f>VLOOKUP(C236,year[],2,FALSE)</f>
        <v>2</v>
      </c>
      <c r="J236">
        <f>VLOOKUP(E236,showing[],2,FALSE)</f>
        <v>14</v>
      </c>
      <c r="K236">
        <f>Сектора[[#This Row],[Значение]]</f>
        <v>4032.7662670753671</v>
      </c>
      <c r="L236" t="str">
        <f t="shared" si="3"/>
        <v>INSERT INTO msfo.statements (id_company, id_year, id_showing, value) VALUES (2,2,14,4032,76626707537);</v>
      </c>
    </row>
    <row r="237" spans="1:12">
      <c r="A237" s="28" t="s">
        <v>36</v>
      </c>
      <c r="B237" s="28" t="s">
        <v>0</v>
      </c>
      <c r="C237" s="28">
        <v>2013</v>
      </c>
      <c r="D237" s="28" t="s">
        <v>7</v>
      </c>
      <c r="E237" s="28" t="s">
        <v>17</v>
      </c>
      <c r="F237" s="28">
        <v>3478.0257384842894</v>
      </c>
      <c r="H237">
        <f>VLOOKUP(A237&amp;B237,ticker_sector[],2,FALSE)</f>
        <v>2</v>
      </c>
      <c r="I237">
        <f>VLOOKUP(C237,year[],2,FALSE)</f>
        <v>3</v>
      </c>
      <c r="J237">
        <f>VLOOKUP(E237,showing[],2,FALSE)</f>
        <v>14</v>
      </c>
      <c r="K237">
        <f>Сектора[[#This Row],[Значение]]</f>
        <v>3478.0257384842894</v>
      </c>
      <c r="L237" t="str">
        <f t="shared" si="3"/>
        <v>INSERT INTO msfo.statements (id_company, id_year, id_showing, value) VALUES (2,3,14,3478,02573848429);</v>
      </c>
    </row>
    <row r="238" spans="1:12">
      <c r="A238" s="28" t="s">
        <v>36</v>
      </c>
      <c r="B238" s="28" t="s">
        <v>0</v>
      </c>
      <c r="C238" s="28">
        <v>2014</v>
      </c>
      <c r="D238" s="28" t="s">
        <v>7</v>
      </c>
      <c r="E238" s="28" t="s">
        <v>17</v>
      </c>
      <c r="F238" s="28">
        <v>3263.8503761216102</v>
      </c>
      <c r="H238">
        <f>VLOOKUP(A238&amp;B238,ticker_sector[],2,FALSE)</f>
        <v>2</v>
      </c>
      <c r="I238">
        <f>VLOOKUP(C238,year[],2,FALSE)</f>
        <v>4</v>
      </c>
      <c r="J238">
        <f>VLOOKUP(E238,showing[],2,FALSE)</f>
        <v>14</v>
      </c>
      <c r="K238">
        <f>Сектора[[#This Row],[Значение]]</f>
        <v>3263.8503761216102</v>
      </c>
      <c r="L238" t="str">
        <f t="shared" si="3"/>
        <v>INSERT INTO msfo.statements (id_company, id_year, id_showing, value) VALUES (2,4,14,3263,85037612161);</v>
      </c>
    </row>
    <row r="239" spans="1:12">
      <c r="A239" s="28" t="s">
        <v>36</v>
      </c>
      <c r="B239" s="28" t="s">
        <v>0</v>
      </c>
      <c r="C239" s="28">
        <v>2015</v>
      </c>
      <c r="D239" s="28" t="s">
        <v>7</v>
      </c>
      <c r="E239" s="28" t="s">
        <v>17</v>
      </c>
      <c r="F239" s="28">
        <v>2778.1901603535543</v>
      </c>
      <c r="H239">
        <f>VLOOKUP(A239&amp;B239,ticker_sector[],2,FALSE)</f>
        <v>2</v>
      </c>
      <c r="I239">
        <f>VLOOKUP(C239,year[],2,FALSE)</f>
        <v>5</v>
      </c>
      <c r="J239">
        <f>VLOOKUP(E239,showing[],2,FALSE)</f>
        <v>14</v>
      </c>
      <c r="K239">
        <f>Сектора[[#This Row],[Значение]]</f>
        <v>2778.1901603535543</v>
      </c>
      <c r="L239" t="str">
        <f t="shared" si="3"/>
        <v>INSERT INTO msfo.statements (id_company, id_year, id_showing, value) VALUES (2,5,14,2778,19016035355);</v>
      </c>
    </row>
    <row r="240" spans="1:12">
      <c r="A240" s="28" t="s">
        <v>36</v>
      </c>
      <c r="B240" s="28" t="s">
        <v>0</v>
      </c>
      <c r="C240" s="28">
        <v>2016</v>
      </c>
      <c r="D240" s="28" t="s">
        <v>7</v>
      </c>
      <c r="E240" s="28" t="s">
        <v>17</v>
      </c>
      <c r="F240" s="28">
        <v>3168.8233325474926</v>
      </c>
      <c r="H240">
        <f>VLOOKUP(A240&amp;B240,ticker_sector[],2,FALSE)</f>
        <v>2</v>
      </c>
      <c r="I240">
        <f>VLOOKUP(C240,year[],2,FALSE)</f>
        <v>6</v>
      </c>
      <c r="J240">
        <f>VLOOKUP(E240,showing[],2,FALSE)</f>
        <v>14</v>
      </c>
      <c r="K240">
        <f>Сектора[[#This Row],[Значение]]</f>
        <v>3168.8233325474926</v>
      </c>
      <c r="L240" t="str">
        <f t="shared" si="3"/>
        <v>INSERT INTO msfo.statements (id_company, id_year, id_showing, value) VALUES (2,6,14,3168,82333254749);</v>
      </c>
    </row>
    <row r="241" spans="1:12">
      <c r="A241" s="28" t="s">
        <v>36</v>
      </c>
      <c r="B241" s="28" t="s">
        <v>0</v>
      </c>
      <c r="C241" s="28">
        <v>2017</v>
      </c>
      <c r="D241" s="28" t="s">
        <v>7</v>
      </c>
      <c r="E241" s="28" t="s">
        <v>17</v>
      </c>
      <c r="F241" s="28">
        <v>2941.812702039229</v>
      </c>
      <c r="H241">
        <f>VLOOKUP(A241&amp;B241,ticker_sector[],2,FALSE)</f>
        <v>2</v>
      </c>
      <c r="I241">
        <f>VLOOKUP(C241,year[],2,FALSE)</f>
        <v>7</v>
      </c>
      <c r="J241">
        <f>VLOOKUP(E241,showing[],2,FALSE)</f>
        <v>14</v>
      </c>
      <c r="K241">
        <f>Сектора[[#This Row],[Значение]]</f>
        <v>2941.812702039229</v>
      </c>
      <c r="L241" t="str">
        <f t="shared" si="3"/>
        <v>INSERT INTO msfo.statements (id_company, id_year, id_showing, value) VALUES (2,7,14,2941,81270203923);</v>
      </c>
    </row>
    <row r="242" spans="1:12">
      <c r="A242" s="28" t="s">
        <v>36</v>
      </c>
      <c r="B242" s="28" t="s">
        <v>0</v>
      </c>
      <c r="C242" s="28">
        <v>2010</v>
      </c>
      <c r="D242" s="28" t="s">
        <v>20</v>
      </c>
      <c r="E242" s="28" t="s">
        <v>18</v>
      </c>
      <c r="F242" s="28">
        <v>190.627747</v>
      </c>
      <c r="H242">
        <f>VLOOKUP(A242&amp;B242,ticker_sector[],2,FALSE)</f>
        <v>2</v>
      </c>
      <c r="I242">
        <f>VLOOKUP(C242,year[],2,FALSE)</f>
        <v>0</v>
      </c>
      <c r="J242">
        <f>VLOOKUP(E242,showing[],2,FALSE)</f>
        <v>15</v>
      </c>
      <c r="K242">
        <f>Сектора[[#This Row],[Значение]]</f>
        <v>190.627747</v>
      </c>
      <c r="L242" t="str">
        <f t="shared" si="3"/>
        <v>INSERT INTO msfo.statements (id_company, id_year, id_showing, value) VALUES (2,0,15,190,627747);</v>
      </c>
    </row>
    <row r="243" spans="1:12">
      <c r="A243" s="28" t="s">
        <v>36</v>
      </c>
      <c r="B243" s="28" t="s">
        <v>0</v>
      </c>
      <c r="C243" s="28">
        <v>2011</v>
      </c>
      <c r="D243" s="28" t="s">
        <v>20</v>
      </c>
      <c r="E243" s="28" t="s">
        <v>18</v>
      </c>
      <c r="F243" s="28">
        <v>190.627747</v>
      </c>
      <c r="H243">
        <f>VLOOKUP(A243&amp;B243,ticker_sector[],2,FALSE)</f>
        <v>2</v>
      </c>
      <c r="I243">
        <f>VLOOKUP(C243,year[],2,FALSE)</f>
        <v>1</v>
      </c>
      <c r="J243">
        <f>VLOOKUP(E243,showing[],2,FALSE)</f>
        <v>15</v>
      </c>
      <c r="K243">
        <f>Сектора[[#This Row],[Значение]]</f>
        <v>190.627747</v>
      </c>
      <c r="L243" t="str">
        <f t="shared" si="3"/>
        <v>INSERT INTO msfo.statements (id_company, id_year, id_showing, value) VALUES (2,1,15,190,627747);</v>
      </c>
    </row>
    <row r="244" spans="1:12">
      <c r="A244" s="28" t="s">
        <v>36</v>
      </c>
      <c r="B244" s="28" t="s">
        <v>0</v>
      </c>
      <c r="C244" s="28">
        <v>2012</v>
      </c>
      <c r="D244" s="28" t="s">
        <v>20</v>
      </c>
      <c r="E244" s="28" t="s">
        <v>18</v>
      </c>
      <c r="F244" s="28">
        <v>190.627747</v>
      </c>
      <c r="H244">
        <f>VLOOKUP(A244&amp;B244,ticker_sector[],2,FALSE)</f>
        <v>2</v>
      </c>
      <c r="I244">
        <f>VLOOKUP(C244,year[],2,FALSE)</f>
        <v>2</v>
      </c>
      <c r="J244">
        <f>VLOOKUP(E244,showing[],2,FALSE)</f>
        <v>15</v>
      </c>
      <c r="K244">
        <f>Сектора[[#This Row],[Значение]]</f>
        <v>190.627747</v>
      </c>
      <c r="L244" t="str">
        <f t="shared" si="3"/>
        <v>INSERT INTO msfo.statements (id_company, id_year, id_showing, value) VALUES (2,2,15,190,627747);</v>
      </c>
    </row>
    <row r="245" spans="1:12">
      <c r="A245" s="28" t="s">
        <v>36</v>
      </c>
      <c r="B245" s="28" t="s">
        <v>0</v>
      </c>
      <c r="C245" s="28">
        <v>2013</v>
      </c>
      <c r="D245" s="28" t="s">
        <v>20</v>
      </c>
      <c r="E245" s="28" t="s">
        <v>18</v>
      </c>
      <c r="F245" s="28">
        <v>158.245476</v>
      </c>
      <c r="H245">
        <f>VLOOKUP(A245&amp;B245,ticker_sector[],2,FALSE)</f>
        <v>2</v>
      </c>
      <c r="I245">
        <f>VLOOKUP(C245,year[],2,FALSE)</f>
        <v>3</v>
      </c>
      <c r="J245">
        <f>VLOOKUP(E245,showing[],2,FALSE)</f>
        <v>15</v>
      </c>
      <c r="K245">
        <f>Сектора[[#This Row],[Значение]]</f>
        <v>158.245476</v>
      </c>
      <c r="L245" t="str">
        <f t="shared" si="3"/>
        <v>INSERT INTO msfo.statements (id_company, id_year, id_showing, value) VALUES (2,3,15,158,245476);</v>
      </c>
    </row>
    <row r="246" spans="1:12">
      <c r="A246" s="28" t="s">
        <v>36</v>
      </c>
      <c r="B246" s="28" t="s">
        <v>0</v>
      </c>
      <c r="C246" s="28">
        <v>2014</v>
      </c>
      <c r="D246" s="28" t="s">
        <v>20</v>
      </c>
      <c r="E246" s="28" t="s">
        <v>18</v>
      </c>
      <c r="F246" s="28">
        <v>158.245476</v>
      </c>
      <c r="H246">
        <f>VLOOKUP(A246&amp;B246,ticker_sector[],2,FALSE)</f>
        <v>2</v>
      </c>
      <c r="I246">
        <f>VLOOKUP(C246,year[],2,FALSE)</f>
        <v>4</v>
      </c>
      <c r="J246">
        <f>VLOOKUP(E246,showing[],2,FALSE)</f>
        <v>15</v>
      </c>
      <c r="K246">
        <f>Сектора[[#This Row],[Значение]]</f>
        <v>158.245476</v>
      </c>
      <c r="L246" t="str">
        <f t="shared" si="3"/>
        <v>INSERT INTO msfo.statements (id_company, id_year, id_showing, value) VALUES (2,4,15,158,245476);</v>
      </c>
    </row>
    <row r="247" spans="1:12">
      <c r="A247" s="28" t="s">
        <v>36</v>
      </c>
      <c r="B247" s="28" t="s">
        <v>0</v>
      </c>
      <c r="C247" s="28">
        <v>2015</v>
      </c>
      <c r="D247" s="28" t="s">
        <v>20</v>
      </c>
      <c r="E247" s="28" t="s">
        <v>18</v>
      </c>
      <c r="F247" s="28">
        <v>156.99540099999999</v>
      </c>
      <c r="H247">
        <f>VLOOKUP(A247&amp;B247,ticker_sector[],2,FALSE)</f>
        <v>2</v>
      </c>
      <c r="I247">
        <f>VLOOKUP(C247,year[],2,FALSE)</f>
        <v>5</v>
      </c>
      <c r="J247">
        <f>VLOOKUP(E247,showing[],2,FALSE)</f>
        <v>15</v>
      </c>
      <c r="K247">
        <f>Сектора[[#This Row],[Значение]]</f>
        <v>156.99540099999999</v>
      </c>
      <c r="L247" t="str">
        <f t="shared" si="3"/>
        <v>INSERT INTO msfo.statements (id_company, id_year, id_showing, value) VALUES (2,5,15,156,995401);</v>
      </c>
    </row>
    <row r="248" spans="1:12">
      <c r="A248" s="28" t="s">
        <v>36</v>
      </c>
      <c r="B248" s="28" t="s">
        <v>0</v>
      </c>
      <c r="C248" s="28">
        <v>2016</v>
      </c>
      <c r="D248" s="28" t="s">
        <v>20</v>
      </c>
      <c r="E248" s="28" t="s">
        <v>18</v>
      </c>
      <c r="F248" s="28">
        <v>158.245476</v>
      </c>
      <c r="H248">
        <f>VLOOKUP(A248&amp;B248,ticker_sector[],2,FALSE)</f>
        <v>2</v>
      </c>
      <c r="I248">
        <f>VLOOKUP(C248,year[],2,FALSE)</f>
        <v>6</v>
      </c>
      <c r="J248">
        <f>VLOOKUP(E248,showing[],2,FALSE)</f>
        <v>15</v>
      </c>
      <c r="K248">
        <f>Сектора[[#This Row],[Значение]]</f>
        <v>158.245476</v>
      </c>
      <c r="L248" t="str">
        <f t="shared" si="3"/>
        <v>INSERT INTO msfo.statements (id_company, id_year, id_showing, value) VALUES (2,6,15,158,245476);</v>
      </c>
    </row>
    <row r="249" spans="1:12">
      <c r="A249" s="28" t="s">
        <v>36</v>
      </c>
      <c r="B249" s="28" t="s">
        <v>0</v>
      </c>
      <c r="C249" s="28">
        <v>2017</v>
      </c>
      <c r="D249" s="28" t="s">
        <v>20</v>
      </c>
      <c r="E249" s="28" t="s">
        <v>18</v>
      </c>
      <c r="F249" s="28">
        <v>158.245476</v>
      </c>
      <c r="H249">
        <f>VLOOKUP(A249&amp;B249,ticker_sector[],2,FALSE)</f>
        <v>2</v>
      </c>
      <c r="I249">
        <f>VLOOKUP(C249,year[],2,FALSE)</f>
        <v>7</v>
      </c>
      <c r="J249">
        <f>VLOOKUP(E249,showing[],2,FALSE)</f>
        <v>15</v>
      </c>
      <c r="K249">
        <f>Сектора[[#This Row],[Значение]]</f>
        <v>158.245476</v>
      </c>
      <c r="L249" t="str">
        <f t="shared" si="3"/>
        <v>INSERT INTO msfo.statements (id_company, id_year, id_showing, value) VALUES (2,7,15,158,245476);</v>
      </c>
    </row>
    <row r="250" spans="1:12">
      <c r="A250" s="28" t="s">
        <v>36</v>
      </c>
      <c r="B250" s="28" t="s">
        <v>0</v>
      </c>
      <c r="C250" s="28">
        <v>2010</v>
      </c>
      <c r="D250" s="28" t="s">
        <v>20</v>
      </c>
      <c r="E250" s="28" t="s">
        <v>19</v>
      </c>
      <c r="F250" s="28">
        <v>7165</v>
      </c>
      <c r="H250">
        <f>VLOOKUP(A250&amp;B250,ticker_sector[],2,FALSE)</f>
        <v>2</v>
      </c>
      <c r="I250">
        <f>VLOOKUP(C250,year[],2,FALSE)</f>
        <v>0</v>
      </c>
      <c r="J250">
        <f>VLOOKUP(E250,showing[],2,FALSE)</f>
        <v>16</v>
      </c>
      <c r="K250">
        <f>Сектора[[#This Row],[Значение]]</f>
        <v>7165</v>
      </c>
      <c r="L250" t="str">
        <f t="shared" si="3"/>
        <v>INSERT INTO msfo.statements (id_company, id_year, id_showing, value) VALUES (2,0,16,7165);</v>
      </c>
    </row>
    <row r="251" spans="1:12">
      <c r="A251" s="28" t="s">
        <v>36</v>
      </c>
      <c r="B251" s="28" t="s">
        <v>0</v>
      </c>
      <c r="C251" s="28">
        <v>2011</v>
      </c>
      <c r="D251" s="28" t="s">
        <v>20</v>
      </c>
      <c r="E251" s="28" t="s">
        <v>19</v>
      </c>
      <c r="F251" s="28">
        <v>4929</v>
      </c>
      <c r="H251">
        <f>VLOOKUP(A251&amp;B251,ticker_sector[],2,FALSE)</f>
        <v>2</v>
      </c>
      <c r="I251">
        <f>VLOOKUP(C251,year[],2,FALSE)</f>
        <v>1</v>
      </c>
      <c r="J251">
        <f>VLOOKUP(E251,showing[],2,FALSE)</f>
        <v>16</v>
      </c>
      <c r="K251">
        <f>Сектора[[#This Row],[Значение]]</f>
        <v>4929</v>
      </c>
      <c r="L251" t="str">
        <f t="shared" si="3"/>
        <v>INSERT INTO msfo.statements (id_company, id_year, id_showing, value) VALUES (2,1,16,4929);</v>
      </c>
    </row>
    <row r="252" spans="1:12">
      <c r="A252" s="28" t="s">
        <v>36</v>
      </c>
      <c r="B252" s="28" t="s">
        <v>0</v>
      </c>
      <c r="C252" s="28">
        <v>2012</v>
      </c>
      <c r="D252" s="28" t="s">
        <v>20</v>
      </c>
      <c r="E252" s="28" t="s">
        <v>19</v>
      </c>
      <c r="F252" s="28">
        <v>5603</v>
      </c>
      <c r="H252">
        <f>VLOOKUP(A252&amp;B252,ticker_sector[],2,FALSE)</f>
        <v>2</v>
      </c>
      <c r="I252">
        <f>VLOOKUP(C252,year[],2,FALSE)</f>
        <v>2</v>
      </c>
      <c r="J252">
        <f>VLOOKUP(E252,showing[],2,FALSE)</f>
        <v>16</v>
      </c>
      <c r="K252">
        <f>Сектора[[#This Row],[Значение]]</f>
        <v>5603</v>
      </c>
      <c r="L252" t="str">
        <f t="shared" si="3"/>
        <v>INSERT INTO msfo.statements (id_company, id_year, id_showing, value) VALUES (2,2,16,5603);</v>
      </c>
    </row>
    <row r="253" spans="1:12">
      <c r="A253" s="28" t="s">
        <v>36</v>
      </c>
      <c r="B253" s="28" t="s">
        <v>0</v>
      </c>
      <c r="C253" s="28">
        <v>2013</v>
      </c>
      <c r="D253" s="28" t="s">
        <v>20</v>
      </c>
      <c r="E253" s="28" t="s">
        <v>19</v>
      </c>
      <c r="F253" s="28">
        <v>5400</v>
      </c>
      <c r="H253">
        <f>VLOOKUP(A253&amp;B253,ticker_sector[],2,FALSE)</f>
        <v>2</v>
      </c>
      <c r="I253">
        <f>VLOOKUP(C253,year[],2,FALSE)</f>
        <v>3</v>
      </c>
      <c r="J253">
        <f>VLOOKUP(E253,showing[],2,FALSE)</f>
        <v>16</v>
      </c>
      <c r="K253">
        <f>Сектора[[#This Row],[Значение]]</f>
        <v>5400</v>
      </c>
      <c r="L253" t="str">
        <f t="shared" si="3"/>
        <v>INSERT INTO msfo.statements (id_company, id_year, id_showing, value) VALUES (2,3,16,5400);</v>
      </c>
    </row>
    <row r="254" spans="1:12">
      <c r="A254" s="28" t="s">
        <v>36</v>
      </c>
      <c r="B254" s="28" t="s">
        <v>0</v>
      </c>
      <c r="C254" s="28">
        <v>2014</v>
      </c>
      <c r="D254" s="28" t="s">
        <v>20</v>
      </c>
      <c r="E254" s="28" t="s">
        <v>19</v>
      </c>
      <c r="F254" s="28">
        <v>8080</v>
      </c>
      <c r="H254">
        <f>VLOOKUP(A254&amp;B254,ticker_sector[],2,FALSE)</f>
        <v>2</v>
      </c>
      <c r="I254">
        <f>VLOOKUP(C254,year[],2,FALSE)</f>
        <v>4</v>
      </c>
      <c r="J254">
        <f>VLOOKUP(E254,showing[],2,FALSE)</f>
        <v>16</v>
      </c>
      <c r="K254">
        <f>Сектора[[#This Row],[Значение]]</f>
        <v>8080</v>
      </c>
      <c r="L254" t="str">
        <f t="shared" si="3"/>
        <v>INSERT INTO msfo.statements (id_company, id_year, id_showing, value) VALUES (2,4,16,8080);</v>
      </c>
    </row>
    <row r="255" spans="1:12">
      <c r="A255" s="28" t="s">
        <v>36</v>
      </c>
      <c r="B255" s="28" t="s">
        <v>0</v>
      </c>
      <c r="C255" s="28">
        <v>2015</v>
      </c>
      <c r="D255" s="28" t="s">
        <v>20</v>
      </c>
      <c r="E255" s="28" t="s">
        <v>19</v>
      </c>
      <c r="F255" s="28">
        <v>9150</v>
      </c>
      <c r="H255">
        <f>VLOOKUP(A255&amp;B255,ticker_sector[],2,FALSE)</f>
        <v>2</v>
      </c>
      <c r="I255">
        <f>VLOOKUP(C255,year[],2,FALSE)</f>
        <v>5</v>
      </c>
      <c r="J255">
        <f>VLOOKUP(E255,showing[],2,FALSE)</f>
        <v>16</v>
      </c>
      <c r="K255">
        <f>Сектора[[#This Row],[Значение]]</f>
        <v>9150</v>
      </c>
      <c r="L255" t="str">
        <f t="shared" si="3"/>
        <v>INSERT INTO msfo.statements (id_company, id_year, id_showing, value) VALUES (2,5,16,9150);</v>
      </c>
    </row>
    <row r="256" spans="1:12">
      <c r="A256" s="28" t="s">
        <v>36</v>
      </c>
      <c r="B256" s="28" t="s">
        <v>0</v>
      </c>
      <c r="C256" s="28">
        <v>2016</v>
      </c>
      <c r="D256" s="28" t="s">
        <v>20</v>
      </c>
      <c r="E256" s="28" t="s">
        <v>19</v>
      </c>
      <c r="F256" s="28">
        <v>10122</v>
      </c>
      <c r="H256">
        <f>VLOOKUP(A256&amp;B256,ticker_sector[],2,FALSE)</f>
        <v>2</v>
      </c>
      <c r="I256">
        <f>VLOOKUP(C256,year[],2,FALSE)</f>
        <v>6</v>
      </c>
      <c r="J256">
        <f>VLOOKUP(E256,showing[],2,FALSE)</f>
        <v>16</v>
      </c>
      <c r="K256">
        <f>Сектора[[#This Row],[Значение]]</f>
        <v>10122</v>
      </c>
      <c r="L256" t="str">
        <f t="shared" si="3"/>
        <v>INSERT INTO msfo.statements (id_company, id_year, id_showing, value) VALUES (2,6,16,10122);</v>
      </c>
    </row>
    <row r="257" spans="1:12">
      <c r="A257" s="28" t="s">
        <v>36</v>
      </c>
      <c r="B257" s="28" t="s">
        <v>0</v>
      </c>
      <c r="C257" s="28">
        <v>2017</v>
      </c>
      <c r="D257" s="28" t="s">
        <v>20</v>
      </c>
      <c r="E257" s="28" t="s">
        <v>19</v>
      </c>
      <c r="F257" s="28">
        <v>10850</v>
      </c>
      <c r="H257">
        <f>VLOOKUP(A257&amp;B257,ticker_sector[],2,FALSE)</f>
        <v>2</v>
      </c>
      <c r="I257">
        <f>VLOOKUP(C257,year[],2,FALSE)</f>
        <v>7</v>
      </c>
      <c r="J257">
        <f>VLOOKUP(E257,showing[],2,FALSE)</f>
        <v>16</v>
      </c>
      <c r="K257">
        <f>Сектора[[#This Row],[Значение]]</f>
        <v>10850</v>
      </c>
      <c r="L257" t="str">
        <f t="shared" si="3"/>
        <v>INSERT INTO msfo.statements (id_company, id_year, id_showing, value) VALUES (2,7,16,10850);</v>
      </c>
    </row>
    <row r="258" spans="1:12">
      <c r="A258" s="28" t="s">
        <v>37</v>
      </c>
      <c r="B258" s="28" t="s">
        <v>0</v>
      </c>
      <c r="C258" s="28">
        <v>2010</v>
      </c>
      <c r="D258" s="28" t="s">
        <v>1</v>
      </c>
      <c r="E258" s="28" t="s">
        <v>2</v>
      </c>
      <c r="F258" s="28">
        <v>4459</v>
      </c>
      <c r="H258">
        <f>VLOOKUP(A258&amp;B258,ticker_sector[],2,FALSE)</f>
        <v>3</v>
      </c>
      <c r="I258">
        <f>VLOOKUP(C258,year[],2,FALSE)</f>
        <v>0</v>
      </c>
      <c r="J258">
        <f>VLOOKUP(E258,showing[],2,FALSE)</f>
        <v>1</v>
      </c>
      <c r="K258">
        <f>Сектора[[#This Row],[Значение]]</f>
        <v>4459</v>
      </c>
      <c r="L258" t="str">
        <f t="shared" si="3"/>
        <v>INSERT INTO msfo.statements (id_company, id_year, id_showing, value) VALUES (3,0,1,4459);</v>
      </c>
    </row>
    <row r="259" spans="1:12">
      <c r="A259" s="28" t="s">
        <v>37</v>
      </c>
      <c r="B259" s="28" t="s">
        <v>0</v>
      </c>
      <c r="C259" s="28">
        <v>2011</v>
      </c>
      <c r="D259" s="28" t="s">
        <v>1</v>
      </c>
      <c r="E259" s="28" t="s">
        <v>2</v>
      </c>
      <c r="F259" s="28">
        <v>4459</v>
      </c>
      <c r="H259">
        <f>VLOOKUP(A259&amp;B259,ticker_sector[],2,FALSE)</f>
        <v>3</v>
      </c>
      <c r="I259">
        <f>VLOOKUP(C259,year[],2,FALSE)</f>
        <v>1</v>
      </c>
      <c r="J259">
        <f>VLOOKUP(E259,showing[],2,FALSE)</f>
        <v>1</v>
      </c>
      <c r="K259">
        <f>Сектора[[#This Row],[Значение]]</f>
        <v>4459</v>
      </c>
      <c r="L259" t="str">
        <f t="shared" ref="L259:L322" si="4">"INSERT INTO msfo.statements (id_company, id_year, id_showing, value) VALUES ("&amp;H259&amp; ","&amp;I259&amp; ","&amp;J259&amp; ","&amp;K259&amp;");"</f>
        <v>INSERT INTO msfo.statements (id_company, id_year, id_showing, value) VALUES (3,1,1,4459);</v>
      </c>
    </row>
    <row r="260" spans="1:12">
      <c r="A260" s="28" t="s">
        <v>37</v>
      </c>
      <c r="B260" s="28" t="s">
        <v>0</v>
      </c>
      <c r="C260" s="28">
        <v>2012</v>
      </c>
      <c r="D260" s="28" t="s">
        <v>1</v>
      </c>
      <c r="E260" s="28" t="s">
        <v>2</v>
      </c>
      <c r="F260" s="28">
        <v>4122</v>
      </c>
      <c r="H260">
        <f>VLOOKUP(A260&amp;B260,ticker_sector[],2,FALSE)</f>
        <v>3</v>
      </c>
      <c r="I260">
        <f>VLOOKUP(C260,year[],2,FALSE)</f>
        <v>2</v>
      </c>
      <c r="J260">
        <f>VLOOKUP(E260,showing[],2,FALSE)</f>
        <v>1</v>
      </c>
      <c r="K260">
        <f>Сектора[[#This Row],[Значение]]</f>
        <v>4122</v>
      </c>
      <c r="L260" t="str">
        <f t="shared" si="4"/>
        <v>INSERT INTO msfo.statements (id_company, id_year, id_showing, value) VALUES (3,2,1,4122);</v>
      </c>
    </row>
    <row r="261" spans="1:12">
      <c r="A261" s="28" t="s">
        <v>37</v>
      </c>
      <c r="B261" s="28" t="s">
        <v>0</v>
      </c>
      <c r="C261" s="28">
        <v>2013</v>
      </c>
      <c r="D261" s="28" t="s">
        <v>1</v>
      </c>
      <c r="E261" s="28" t="s">
        <v>2</v>
      </c>
      <c r="F261" s="28">
        <v>3874</v>
      </c>
      <c r="H261">
        <f>VLOOKUP(A261&amp;B261,ticker_sector[],2,FALSE)</f>
        <v>3</v>
      </c>
      <c r="I261">
        <f>VLOOKUP(C261,year[],2,FALSE)</f>
        <v>3</v>
      </c>
      <c r="J261">
        <f>VLOOKUP(E261,showing[],2,FALSE)</f>
        <v>1</v>
      </c>
      <c r="K261">
        <f>Сектора[[#This Row],[Значение]]</f>
        <v>3874</v>
      </c>
      <c r="L261" t="str">
        <f t="shared" si="4"/>
        <v>INSERT INTO msfo.statements (id_company, id_year, id_showing, value) VALUES (3,3,1,3874);</v>
      </c>
    </row>
    <row r="262" spans="1:12">
      <c r="A262" s="28" t="s">
        <v>37</v>
      </c>
      <c r="B262" s="28" t="s">
        <v>0</v>
      </c>
      <c r="C262" s="28">
        <v>2014</v>
      </c>
      <c r="D262" s="28" t="s">
        <v>1</v>
      </c>
      <c r="E262" s="28" t="s">
        <v>2</v>
      </c>
      <c r="F262" s="28">
        <v>3835</v>
      </c>
      <c r="H262">
        <f>VLOOKUP(A262&amp;B262,ticker_sector[],2,FALSE)</f>
        <v>3</v>
      </c>
      <c r="I262">
        <f>VLOOKUP(C262,year[],2,FALSE)</f>
        <v>4</v>
      </c>
      <c r="J262">
        <f>VLOOKUP(E262,showing[],2,FALSE)</f>
        <v>1</v>
      </c>
      <c r="K262">
        <f>Сектора[[#This Row],[Значение]]</f>
        <v>3835</v>
      </c>
      <c r="L262" t="str">
        <f t="shared" si="4"/>
        <v>INSERT INTO msfo.statements (id_company, id_year, id_showing, value) VALUES (3,4,1,3835);</v>
      </c>
    </row>
    <row r="263" spans="1:12">
      <c r="A263" s="28" t="s">
        <v>37</v>
      </c>
      <c r="B263" s="28" t="s">
        <v>0</v>
      </c>
      <c r="C263" s="28">
        <v>2015</v>
      </c>
      <c r="D263" s="28" t="s">
        <v>1</v>
      </c>
      <c r="E263" s="28" t="s">
        <v>2</v>
      </c>
      <c r="F263" s="28">
        <v>3973</v>
      </c>
      <c r="H263">
        <f>VLOOKUP(A263&amp;B263,ticker_sector[],2,FALSE)</f>
        <v>3</v>
      </c>
      <c r="I263">
        <f>VLOOKUP(C263,year[],2,FALSE)</f>
        <v>5</v>
      </c>
      <c r="J263">
        <f>VLOOKUP(E263,showing[],2,FALSE)</f>
        <v>1</v>
      </c>
      <c r="K263">
        <f>Сектора[[#This Row],[Значение]]</f>
        <v>3973</v>
      </c>
      <c r="L263" t="str">
        <f t="shared" si="4"/>
        <v>INSERT INTO msfo.statements (id_company, id_year, id_showing, value) VALUES (3,5,1,3973);</v>
      </c>
    </row>
    <row r="264" spans="1:12">
      <c r="A264" s="28" t="s">
        <v>37</v>
      </c>
      <c r="B264" s="28" t="s">
        <v>0</v>
      </c>
      <c r="C264" s="28">
        <v>2016</v>
      </c>
      <c r="D264" s="28" t="s">
        <v>1</v>
      </c>
      <c r="E264" s="28" t="s">
        <v>2</v>
      </c>
      <c r="F264" s="28">
        <v>4604</v>
      </c>
      <c r="H264">
        <f>VLOOKUP(A264&amp;B264,ticker_sector[],2,FALSE)</f>
        <v>3</v>
      </c>
      <c r="I264">
        <f>VLOOKUP(C264,year[],2,FALSE)</f>
        <v>6</v>
      </c>
      <c r="J264">
        <f>VLOOKUP(E264,showing[],2,FALSE)</f>
        <v>1</v>
      </c>
      <c r="K264">
        <f>Сектора[[#This Row],[Значение]]</f>
        <v>4604</v>
      </c>
      <c r="L264" t="str">
        <f t="shared" si="4"/>
        <v>INSERT INTO msfo.statements (id_company, id_year, id_showing, value) VALUES (3,6,1,4604);</v>
      </c>
    </row>
    <row r="265" spans="1:12">
      <c r="A265" s="28" t="s">
        <v>37</v>
      </c>
      <c r="B265" s="28" t="s">
        <v>0</v>
      </c>
      <c r="C265" s="28">
        <v>2017</v>
      </c>
      <c r="D265" s="28" t="s">
        <v>1</v>
      </c>
      <c r="E265" s="28" t="s">
        <v>2</v>
      </c>
      <c r="F265" s="28">
        <v>5544</v>
      </c>
      <c r="H265">
        <f>VLOOKUP(A265&amp;B265,ticker_sector[],2,FALSE)</f>
        <v>3</v>
      </c>
      <c r="I265">
        <f>VLOOKUP(C265,year[],2,FALSE)</f>
        <v>7</v>
      </c>
      <c r="J265">
        <f>VLOOKUP(E265,showing[],2,FALSE)</f>
        <v>1</v>
      </c>
      <c r="K265">
        <f>Сектора[[#This Row],[Значение]]</f>
        <v>5544</v>
      </c>
      <c r="L265" t="str">
        <f t="shared" si="4"/>
        <v>INSERT INTO msfo.statements (id_company, id_year, id_showing, value) VALUES (3,7,1,5544);</v>
      </c>
    </row>
    <row r="266" spans="1:12">
      <c r="A266" s="28" t="s">
        <v>37</v>
      </c>
      <c r="B266" s="28" t="s">
        <v>0</v>
      </c>
      <c r="C266" s="28">
        <v>2010</v>
      </c>
      <c r="D266" s="28" t="s">
        <v>1</v>
      </c>
      <c r="E266" s="28" t="s">
        <v>3</v>
      </c>
      <c r="F266" s="28">
        <v>6813</v>
      </c>
      <c r="H266">
        <f>VLOOKUP(A266&amp;B266,ticker_sector[],2,FALSE)</f>
        <v>3</v>
      </c>
      <c r="I266">
        <f>VLOOKUP(C266,year[],2,FALSE)</f>
        <v>0</v>
      </c>
      <c r="J266">
        <f>VLOOKUP(E266,showing[],2,FALSE)</f>
        <v>2</v>
      </c>
      <c r="K266">
        <f>Сектора[[#This Row],[Значение]]</f>
        <v>6813</v>
      </c>
      <c r="L266" t="str">
        <f t="shared" si="4"/>
        <v>INSERT INTO msfo.statements (id_company, id_year, id_showing, value) VALUES (3,0,2,6813);</v>
      </c>
    </row>
    <row r="267" spans="1:12">
      <c r="A267" s="28" t="s">
        <v>37</v>
      </c>
      <c r="B267" s="28" t="s">
        <v>0</v>
      </c>
      <c r="C267" s="28">
        <v>2011</v>
      </c>
      <c r="D267" s="28" t="s">
        <v>1</v>
      </c>
      <c r="E267" s="28" t="s">
        <v>3</v>
      </c>
      <c r="F267" s="28">
        <v>6813</v>
      </c>
      <c r="H267">
        <f>VLOOKUP(A267&amp;B267,ticker_sector[],2,FALSE)</f>
        <v>3</v>
      </c>
      <c r="I267">
        <f>VLOOKUP(C267,year[],2,FALSE)</f>
        <v>1</v>
      </c>
      <c r="J267">
        <f>VLOOKUP(E267,showing[],2,FALSE)</f>
        <v>2</v>
      </c>
      <c r="K267">
        <f>Сектора[[#This Row],[Значение]]</f>
        <v>6813</v>
      </c>
      <c r="L267" t="str">
        <f t="shared" si="4"/>
        <v>INSERT INTO msfo.statements (id_company, id_year, id_showing, value) VALUES (3,1,2,6813);</v>
      </c>
    </row>
    <row r="268" spans="1:12">
      <c r="A268" s="28" t="s">
        <v>37</v>
      </c>
      <c r="B268" s="28" t="s">
        <v>0</v>
      </c>
      <c r="C268" s="28">
        <v>2012</v>
      </c>
      <c r="D268" s="28" t="s">
        <v>1</v>
      </c>
      <c r="E268" s="28" t="s">
        <v>3</v>
      </c>
      <c r="F268" s="28">
        <v>6512</v>
      </c>
      <c r="H268">
        <f>VLOOKUP(A268&amp;B268,ticker_sector[],2,FALSE)</f>
        <v>3</v>
      </c>
      <c r="I268">
        <f>VLOOKUP(C268,year[],2,FALSE)</f>
        <v>2</v>
      </c>
      <c r="J268">
        <f>VLOOKUP(E268,showing[],2,FALSE)</f>
        <v>2</v>
      </c>
      <c r="K268">
        <f>Сектора[[#This Row],[Значение]]</f>
        <v>6512</v>
      </c>
      <c r="L268" t="str">
        <f t="shared" si="4"/>
        <v>INSERT INTO msfo.statements (id_company, id_year, id_showing, value) VALUES (3,2,2,6512);</v>
      </c>
    </row>
    <row r="269" spans="1:12">
      <c r="A269" s="28" t="s">
        <v>37</v>
      </c>
      <c r="B269" s="28" t="s">
        <v>0</v>
      </c>
      <c r="C269" s="28">
        <v>2013</v>
      </c>
      <c r="D269" s="28" t="s">
        <v>1</v>
      </c>
      <c r="E269" s="28" t="s">
        <v>3</v>
      </c>
      <c r="F269" s="28">
        <v>5742</v>
      </c>
      <c r="H269">
        <f>VLOOKUP(A269&amp;B269,ticker_sector[],2,FALSE)</f>
        <v>3</v>
      </c>
      <c r="I269">
        <f>VLOOKUP(C269,year[],2,FALSE)</f>
        <v>3</v>
      </c>
      <c r="J269">
        <f>VLOOKUP(E269,showing[],2,FALSE)</f>
        <v>2</v>
      </c>
      <c r="K269">
        <f>Сектора[[#This Row],[Значение]]</f>
        <v>5742</v>
      </c>
      <c r="L269" t="str">
        <f t="shared" si="4"/>
        <v>INSERT INTO msfo.statements (id_company, id_year, id_showing, value) VALUES (3,3,2,5742);</v>
      </c>
    </row>
    <row r="270" spans="1:12">
      <c r="A270" s="28" t="s">
        <v>37</v>
      </c>
      <c r="B270" s="28" t="s">
        <v>0</v>
      </c>
      <c r="C270" s="28">
        <v>2014</v>
      </c>
      <c r="D270" s="28" t="s">
        <v>1</v>
      </c>
      <c r="E270" s="28" t="s">
        <v>3</v>
      </c>
      <c r="F270" s="28">
        <v>8736</v>
      </c>
      <c r="H270">
        <f>VLOOKUP(A270&amp;B270,ticker_sector[],2,FALSE)</f>
        <v>3</v>
      </c>
      <c r="I270">
        <f>VLOOKUP(C270,year[],2,FALSE)</f>
        <v>4</v>
      </c>
      <c r="J270">
        <f>VLOOKUP(E270,showing[],2,FALSE)</f>
        <v>2</v>
      </c>
      <c r="K270">
        <f>Сектора[[#This Row],[Значение]]</f>
        <v>8736</v>
      </c>
      <c r="L270" t="str">
        <f t="shared" si="4"/>
        <v>INSERT INTO msfo.statements (id_company, id_year, id_showing, value) VALUES (3,4,2,8736);</v>
      </c>
    </row>
    <row r="271" spans="1:12">
      <c r="A271" s="28" t="s">
        <v>37</v>
      </c>
      <c r="B271" s="28" t="s">
        <v>0</v>
      </c>
      <c r="C271" s="28">
        <v>2015</v>
      </c>
      <c r="D271" s="28" t="s">
        <v>1</v>
      </c>
      <c r="E271" s="28" t="s">
        <v>3</v>
      </c>
      <c r="F271" s="28">
        <v>12743</v>
      </c>
      <c r="H271">
        <f>VLOOKUP(A271&amp;B271,ticker_sector[],2,FALSE)</f>
        <v>3</v>
      </c>
      <c r="I271">
        <f>VLOOKUP(C271,year[],2,FALSE)</f>
        <v>5</v>
      </c>
      <c r="J271">
        <f>VLOOKUP(E271,showing[],2,FALSE)</f>
        <v>2</v>
      </c>
      <c r="K271">
        <f>Сектора[[#This Row],[Значение]]</f>
        <v>12743</v>
      </c>
      <c r="L271" t="str">
        <f t="shared" si="4"/>
        <v>INSERT INTO msfo.statements (id_company, id_year, id_showing, value) VALUES (3,5,2,12743);</v>
      </c>
    </row>
    <row r="272" spans="1:12">
      <c r="A272" s="28" t="s">
        <v>37</v>
      </c>
      <c r="B272" s="28" t="s">
        <v>0</v>
      </c>
      <c r="C272" s="28">
        <v>2016</v>
      </c>
      <c r="D272" s="28" t="s">
        <v>1</v>
      </c>
      <c r="E272" s="28" t="s">
        <v>3</v>
      </c>
      <c r="F272" s="28">
        <v>13469</v>
      </c>
      <c r="H272">
        <f>VLOOKUP(A272&amp;B272,ticker_sector[],2,FALSE)</f>
        <v>3</v>
      </c>
      <c r="I272">
        <f>VLOOKUP(C272,year[],2,FALSE)</f>
        <v>6</v>
      </c>
      <c r="J272">
        <f>VLOOKUP(E272,showing[],2,FALSE)</f>
        <v>2</v>
      </c>
      <c r="K272">
        <f>Сектора[[#This Row],[Значение]]</f>
        <v>13469</v>
      </c>
      <c r="L272" t="str">
        <f t="shared" si="4"/>
        <v>INSERT INTO msfo.statements (id_company, id_year, id_showing, value) VALUES (3,6,2,13469);</v>
      </c>
    </row>
    <row r="273" spans="1:12">
      <c r="A273" s="28" t="s">
        <v>37</v>
      </c>
      <c r="B273" s="28" t="s">
        <v>0</v>
      </c>
      <c r="C273" s="28">
        <v>2017</v>
      </c>
      <c r="D273" s="28" t="s">
        <v>1</v>
      </c>
      <c r="E273" s="28" t="s">
        <v>3</v>
      </c>
      <c r="F273" s="28">
        <v>12794</v>
      </c>
      <c r="H273">
        <f>VLOOKUP(A273&amp;B273,ticker_sector[],2,FALSE)</f>
        <v>3</v>
      </c>
      <c r="I273">
        <f>VLOOKUP(C273,year[],2,FALSE)</f>
        <v>7</v>
      </c>
      <c r="J273">
        <f>VLOOKUP(E273,showing[],2,FALSE)</f>
        <v>2</v>
      </c>
      <c r="K273">
        <f>Сектора[[#This Row],[Значение]]</f>
        <v>12794</v>
      </c>
      <c r="L273" t="str">
        <f t="shared" si="4"/>
        <v>INSERT INTO msfo.statements (id_company, id_year, id_showing, value) VALUES (3,7,2,12794);</v>
      </c>
    </row>
    <row r="274" spans="1:12">
      <c r="A274" s="28" t="s">
        <v>37</v>
      </c>
      <c r="B274" s="28" t="s">
        <v>0</v>
      </c>
      <c r="C274" s="28">
        <v>2010</v>
      </c>
      <c r="D274" s="28" t="s">
        <v>1</v>
      </c>
      <c r="E274" s="28" t="s">
        <v>5</v>
      </c>
      <c r="F274" s="28">
        <v>11272</v>
      </c>
      <c r="H274">
        <f>VLOOKUP(A274&amp;B274,ticker_sector[],2,FALSE)</f>
        <v>3</v>
      </c>
      <c r="I274">
        <f>VLOOKUP(C274,year[],2,FALSE)</f>
        <v>0</v>
      </c>
      <c r="J274">
        <f>VLOOKUP(E274,showing[],2,FALSE)</f>
        <v>3</v>
      </c>
      <c r="K274">
        <f>Сектора[[#This Row],[Значение]]</f>
        <v>11272</v>
      </c>
      <c r="L274" t="str">
        <f t="shared" si="4"/>
        <v>INSERT INTO msfo.statements (id_company, id_year, id_showing, value) VALUES (3,0,3,11272);</v>
      </c>
    </row>
    <row r="275" spans="1:12">
      <c r="A275" s="28" t="s">
        <v>37</v>
      </c>
      <c r="B275" s="28" t="s">
        <v>0</v>
      </c>
      <c r="C275" s="28">
        <v>2011</v>
      </c>
      <c r="D275" s="28" t="s">
        <v>1</v>
      </c>
      <c r="E275" s="28" t="s">
        <v>5</v>
      </c>
      <c r="F275" s="28">
        <v>11272</v>
      </c>
      <c r="H275">
        <f>VLOOKUP(A275&amp;B275,ticker_sector[],2,FALSE)</f>
        <v>3</v>
      </c>
      <c r="I275">
        <f>VLOOKUP(C275,year[],2,FALSE)</f>
        <v>1</v>
      </c>
      <c r="J275">
        <f>VLOOKUP(E275,showing[],2,FALSE)</f>
        <v>3</v>
      </c>
      <c r="K275">
        <f>Сектора[[#This Row],[Значение]]</f>
        <v>11272</v>
      </c>
      <c r="L275" t="str">
        <f t="shared" si="4"/>
        <v>INSERT INTO msfo.statements (id_company, id_year, id_showing, value) VALUES (3,1,3,11272);</v>
      </c>
    </row>
    <row r="276" spans="1:12">
      <c r="A276" s="28" t="s">
        <v>37</v>
      </c>
      <c r="B276" s="28" t="s">
        <v>0</v>
      </c>
      <c r="C276" s="28">
        <v>2012</v>
      </c>
      <c r="D276" s="28" t="s">
        <v>1</v>
      </c>
      <c r="E276" s="28" t="s">
        <v>5</v>
      </c>
      <c r="F276" s="28">
        <v>10634</v>
      </c>
      <c r="H276">
        <f>VLOOKUP(A276&amp;B276,ticker_sector[],2,FALSE)</f>
        <v>3</v>
      </c>
      <c r="I276">
        <f>VLOOKUP(C276,year[],2,FALSE)</f>
        <v>2</v>
      </c>
      <c r="J276">
        <f>VLOOKUP(E276,showing[],2,FALSE)</f>
        <v>3</v>
      </c>
      <c r="K276">
        <f>Сектора[[#This Row],[Значение]]</f>
        <v>10634</v>
      </c>
      <c r="L276" t="str">
        <f t="shared" si="4"/>
        <v>INSERT INTO msfo.statements (id_company, id_year, id_showing, value) VALUES (3,2,3,10634);</v>
      </c>
    </row>
    <row r="277" spans="1:12">
      <c r="A277" s="28" t="s">
        <v>37</v>
      </c>
      <c r="B277" s="28" t="s">
        <v>0</v>
      </c>
      <c r="C277" s="28">
        <v>2013</v>
      </c>
      <c r="D277" s="28" t="s">
        <v>1</v>
      </c>
      <c r="E277" s="28" t="s">
        <v>5</v>
      </c>
      <c r="F277" s="28">
        <v>9616</v>
      </c>
      <c r="H277">
        <f>VLOOKUP(A277&amp;B277,ticker_sector[],2,FALSE)</f>
        <v>3</v>
      </c>
      <c r="I277">
        <f>VLOOKUP(C277,year[],2,FALSE)</f>
        <v>3</v>
      </c>
      <c r="J277">
        <f>VLOOKUP(E277,showing[],2,FALSE)</f>
        <v>3</v>
      </c>
      <c r="K277">
        <f>Сектора[[#This Row],[Значение]]</f>
        <v>9616</v>
      </c>
      <c r="L277" t="str">
        <f t="shared" si="4"/>
        <v>INSERT INTO msfo.statements (id_company, id_year, id_showing, value) VALUES (3,3,3,9616);</v>
      </c>
    </row>
    <row r="278" spans="1:12">
      <c r="A278" s="28" t="s">
        <v>37</v>
      </c>
      <c r="B278" s="28" t="s">
        <v>0</v>
      </c>
      <c r="C278" s="28">
        <v>2014</v>
      </c>
      <c r="D278" s="28" t="s">
        <v>1</v>
      </c>
      <c r="E278" s="28" t="s">
        <v>5</v>
      </c>
      <c r="F278" s="28">
        <v>12571</v>
      </c>
      <c r="H278">
        <f>VLOOKUP(A278&amp;B278,ticker_sector[],2,FALSE)</f>
        <v>3</v>
      </c>
      <c r="I278">
        <f>VLOOKUP(C278,year[],2,FALSE)</f>
        <v>4</v>
      </c>
      <c r="J278">
        <f>VLOOKUP(E278,showing[],2,FALSE)</f>
        <v>3</v>
      </c>
      <c r="K278">
        <f>Сектора[[#This Row],[Значение]]</f>
        <v>12571</v>
      </c>
      <c r="L278" t="str">
        <f t="shared" si="4"/>
        <v>INSERT INTO msfo.statements (id_company, id_year, id_showing, value) VALUES (3,4,3,12571);</v>
      </c>
    </row>
    <row r="279" spans="1:12">
      <c r="A279" s="28" t="s">
        <v>37</v>
      </c>
      <c r="B279" s="28" t="s">
        <v>0</v>
      </c>
      <c r="C279" s="28">
        <v>2015</v>
      </c>
      <c r="D279" s="28" t="s">
        <v>1</v>
      </c>
      <c r="E279" s="28" t="s">
        <v>5</v>
      </c>
      <c r="F279" s="28">
        <v>16716</v>
      </c>
      <c r="H279">
        <f>VLOOKUP(A279&amp;B279,ticker_sector[],2,FALSE)</f>
        <v>3</v>
      </c>
      <c r="I279">
        <f>VLOOKUP(C279,year[],2,FALSE)</f>
        <v>5</v>
      </c>
      <c r="J279">
        <f>VLOOKUP(E279,showing[],2,FALSE)</f>
        <v>3</v>
      </c>
      <c r="K279">
        <f>Сектора[[#This Row],[Значение]]</f>
        <v>16716</v>
      </c>
      <c r="L279" t="str">
        <f t="shared" si="4"/>
        <v>INSERT INTO msfo.statements (id_company, id_year, id_showing, value) VALUES (3,5,3,16716);</v>
      </c>
    </row>
    <row r="280" spans="1:12">
      <c r="A280" s="28" t="s">
        <v>37</v>
      </c>
      <c r="B280" s="28" t="s">
        <v>0</v>
      </c>
      <c r="C280" s="28">
        <v>2016</v>
      </c>
      <c r="D280" s="28" t="s">
        <v>1</v>
      </c>
      <c r="E280" s="28" t="s">
        <v>5</v>
      </c>
      <c r="F280" s="28">
        <v>18073</v>
      </c>
      <c r="H280">
        <f>VLOOKUP(A280&amp;B280,ticker_sector[],2,FALSE)</f>
        <v>3</v>
      </c>
      <c r="I280">
        <f>VLOOKUP(C280,year[],2,FALSE)</f>
        <v>6</v>
      </c>
      <c r="J280">
        <f>VLOOKUP(E280,showing[],2,FALSE)</f>
        <v>3</v>
      </c>
      <c r="K280">
        <f>Сектора[[#This Row],[Значение]]</f>
        <v>18073</v>
      </c>
      <c r="L280" t="str">
        <f t="shared" si="4"/>
        <v>INSERT INTO msfo.statements (id_company, id_year, id_showing, value) VALUES (3,6,3,18073);</v>
      </c>
    </row>
    <row r="281" spans="1:12">
      <c r="A281" s="28" t="s">
        <v>37</v>
      </c>
      <c r="B281" s="28" t="s">
        <v>0</v>
      </c>
      <c r="C281" s="28">
        <v>2017</v>
      </c>
      <c r="D281" s="28" t="s">
        <v>1</v>
      </c>
      <c r="E281" s="28" t="s">
        <v>5</v>
      </c>
      <c r="F281" s="28">
        <v>18338</v>
      </c>
      <c r="H281">
        <f>VLOOKUP(A281&amp;B281,ticker_sector[],2,FALSE)</f>
        <v>3</v>
      </c>
      <c r="I281">
        <f>VLOOKUP(C281,year[],2,FALSE)</f>
        <v>7</v>
      </c>
      <c r="J281">
        <f>VLOOKUP(E281,showing[],2,FALSE)</f>
        <v>3</v>
      </c>
      <c r="K281">
        <f>Сектора[[#This Row],[Значение]]</f>
        <v>18338</v>
      </c>
      <c r="L281" t="str">
        <f t="shared" si="4"/>
        <v>INSERT INTO msfo.statements (id_company, id_year, id_showing, value) VALUES (3,7,3,18338);</v>
      </c>
    </row>
    <row r="282" spans="1:12">
      <c r="A282" s="28" t="s">
        <v>37</v>
      </c>
      <c r="B282" s="28" t="s">
        <v>0</v>
      </c>
      <c r="C282" s="28">
        <v>2010</v>
      </c>
      <c r="D282" s="28" t="s">
        <v>1</v>
      </c>
      <c r="E282" s="28" t="s">
        <v>6</v>
      </c>
      <c r="F282" s="28">
        <v>8512</v>
      </c>
      <c r="H282">
        <f>VLOOKUP(A282&amp;B282,ticker_sector[],2,FALSE)</f>
        <v>3</v>
      </c>
      <c r="I282">
        <f>VLOOKUP(C282,year[],2,FALSE)</f>
        <v>0</v>
      </c>
      <c r="J282">
        <f>VLOOKUP(E282,showing[],2,FALSE)</f>
        <v>4</v>
      </c>
      <c r="K282">
        <f>Сектора[[#This Row],[Значение]]</f>
        <v>8512</v>
      </c>
      <c r="L282" t="str">
        <f t="shared" si="4"/>
        <v>INSERT INTO msfo.statements (id_company, id_year, id_showing, value) VALUES (3,0,4,8512);</v>
      </c>
    </row>
    <row r="283" spans="1:12">
      <c r="A283" s="28" t="s">
        <v>37</v>
      </c>
      <c r="B283" s="28" t="s">
        <v>0</v>
      </c>
      <c r="C283" s="28">
        <v>2011</v>
      </c>
      <c r="D283" s="28" t="s">
        <v>1</v>
      </c>
      <c r="E283" s="28" t="s">
        <v>6</v>
      </c>
      <c r="F283" s="28">
        <v>8512</v>
      </c>
      <c r="H283">
        <f>VLOOKUP(A283&amp;B283,ticker_sector[],2,FALSE)</f>
        <v>3</v>
      </c>
      <c r="I283">
        <f>VLOOKUP(C283,year[],2,FALSE)</f>
        <v>1</v>
      </c>
      <c r="J283">
        <f>VLOOKUP(E283,showing[],2,FALSE)</f>
        <v>4</v>
      </c>
      <c r="K283">
        <f>Сектора[[#This Row],[Значение]]</f>
        <v>8512</v>
      </c>
      <c r="L283" t="str">
        <f t="shared" si="4"/>
        <v>INSERT INTO msfo.statements (id_company, id_year, id_showing, value) VALUES (3,1,4,8512);</v>
      </c>
    </row>
    <row r="284" spans="1:12">
      <c r="A284" s="28" t="s">
        <v>37</v>
      </c>
      <c r="B284" s="28" t="s">
        <v>0</v>
      </c>
      <c r="C284" s="28">
        <v>2012</v>
      </c>
      <c r="D284" s="28" t="s">
        <v>1</v>
      </c>
      <c r="E284" s="28" t="s">
        <v>6</v>
      </c>
      <c r="F284" s="28">
        <v>9161</v>
      </c>
      <c r="H284">
        <f>VLOOKUP(A284&amp;B284,ticker_sector[],2,FALSE)</f>
        <v>3</v>
      </c>
      <c r="I284">
        <f>VLOOKUP(C284,year[],2,FALSE)</f>
        <v>2</v>
      </c>
      <c r="J284">
        <f>VLOOKUP(E284,showing[],2,FALSE)</f>
        <v>4</v>
      </c>
      <c r="K284">
        <f>Сектора[[#This Row],[Значение]]</f>
        <v>9161</v>
      </c>
      <c r="L284" t="str">
        <f t="shared" si="4"/>
        <v>INSERT INTO msfo.statements (id_company, id_year, id_showing, value) VALUES (3,2,4,9161);</v>
      </c>
    </row>
    <row r="285" spans="1:12">
      <c r="A285" s="28" t="s">
        <v>37</v>
      </c>
      <c r="B285" s="28" t="s">
        <v>0</v>
      </c>
      <c r="C285" s="28">
        <v>2013</v>
      </c>
      <c r="D285" s="28" t="s">
        <v>1</v>
      </c>
      <c r="E285" s="28" t="s">
        <v>6</v>
      </c>
      <c r="F285" s="28">
        <v>8015</v>
      </c>
      <c r="H285">
        <f>VLOOKUP(A285&amp;B285,ticker_sector[],2,FALSE)</f>
        <v>3</v>
      </c>
      <c r="I285">
        <f>VLOOKUP(C285,year[],2,FALSE)</f>
        <v>3</v>
      </c>
      <c r="J285">
        <f>VLOOKUP(E285,showing[],2,FALSE)</f>
        <v>4</v>
      </c>
      <c r="K285">
        <f>Сектора[[#This Row],[Значение]]</f>
        <v>8015</v>
      </c>
      <c r="L285" t="str">
        <f t="shared" si="4"/>
        <v>INSERT INTO msfo.statements (id_company, id_year, id_showing, value) VALUES (3,3,4,8015);</v>
      </c>
    </row>
    <row r="286" spans="1:12">
      <c r="A286" s="28" t="s">
        <v>37</v>
      </c>
      <c r="B286" s="28" t="s">
        <v>0</v>
      </c>
      <c r="C286" s="28">
        <v>2014</v>
      </c>
      <c r="D286" s="28" t="s">
        <v>1</v>
      </c>
      <c r="E286" s="28" t="s">
        <v>6</v>
      </c>
      <c r="F286" s="28">
        <v>10853</v>
      </c>
      <c r="H286">
        <f>VLOOKUP(A286&amp;B286,ticker_sector[],2,FALSE)</f>
        <v>3</v>
      </c>
      <c r="I286">
        <f>VLOOKUP(C286,year[],2,FALSE)</f>
        <v>4</v>
      </c>
      <c r="J286">
        <f>VLOOKUP(E286,showing[],2,FALSE)</f>
        <v>4</v>
      </c>
      <c r="K286">
        <f>Сектора[[#This Row],[Значение]]</f>
        <v>10853</v>
      </c>
      <c r="L286" t="str">
        <f t="shared" si="4"/>
        <v>INSERT INTO msfo.statements (id_company, id_year, id_showing, value) VALUES (3,4,4,10853);</v>
      </c>
    </row>
    <row r="287" spans="1:12">
      <c r="A287" s="28" t="s">
        <v>37</v>
      </c>
      <c r="B287" s="28" t="s">
        <v>0</v>
      </c>
      <c r="C287" s="28">
        <v>2015</v>
      </c>
      <c r="D287" s="28" t="s">
        <v>1</v>
      </c>
      <c r="E287" s="28" t="s">
        <v>6</v>
      </c>
      <c r="F287" s="28">
        <v>14529</v>
      </c>
      <c r="H287">
        <f>VLOOKUP(A287&amp;B287,ticker_sector[],2,FALSE)</f>
        <v>3</v>
      </c>
      <c r="I287">
        <f>VLOOKUP(C287,year[],2,FALSE)</f>
        <v>5</v>
      </c>
      <c r="J287">
        <f>VLOOKUP(E287,showing[],2,FALSE)</f>
        <v>4</v>
      </c>
      <c r="K287">
        <f>Сектора[[#This Row],[Значение]]</f>
        <v>14529</v>
      </c>
      <c r="L287" t="str">
        <f t="shared" si="4"/>
        <v>INSERT INTO msfo.statements (id_company, id_year, id_showing, value) VALUES (3,5,4,14529);</v>
      </c>
    </row>
    <row r="288" spans="1:12">
      <c r="A288" s="28" t="s">
        <v>37</v>
      </c>
      <c r="B288" s="28" t="s">
        <v>0</v>
      </c>
      <c r="C288" s="28">
        <v>2016</v>
      </c>
      <c r="D288" s="28" t="s">
        <v>1</v>
      </c>
      <c r="E288" s="28" t="s">
        <v>6</v>
      </c>
      <c r="F288" s="28">
        <v>16085</v>
      </c>
      <c r="H288">
        <f>VLOOKUP(A288&amp;B288,ticker_sector[],2,FALSE)</f>
        <v>3</v>
      </c>
      <c r="I288">
        <f>VLOOKUP(C288,year[],2,FALSE)</f>
        <v>6</v>
      </c>
      <c r="J288">
        <f>VLOOKUP(E288,showing[],2,FALSE)</f>
        <v>4</v>
      </c>
      <c r="K288">
        <f>Сектора[[#This Row],[Значение]]</f>
        <v>16085</v>
      </c>
      <c r="L288" t="str">
        <f t="shared" si="4"/>
        <v>INSERT INTO msfo.statements (id_company, id_year, id_showing, value) VALUES (3,6,4,16085);</v>
      </c>
    </row>
    <row r="289" spans="1:12">
      <c r="A289" s="28" t="s">
        <v>37</v>
      </c>
      <c r="B289" s="28" t="s">
        <v>0</v>
      </c>
      <c r="C289" s="28">
        <v>2017</v>
      </c>
      <c r="D289" s="28" t="s">
        <v>1</v>
      </c>
      <c r="E289" s="28" t="s">
        <v>6</v>
      </c>
      <c r="F289" s="28">
        <v>14862</v>
      </c>
      <c r="H289">
        <f>VLOOKUP(A289&amp;B289,ticker_sector[],2,FALSE)</f>
        <v>3</v>
      </c>
      <c r="I289">
        <f>VLOOKUP(C289,year[],2,FALSE)</f>
        <v>7</v>
      </c>
      <c r="J289">
        <f>VLOOKUP(E289,showing[],2,FALSE)</f>
        <v>4</v>
      </c>
      <c r="K289">
        <f>Сектора[[#This Row],[Значение]]</f>
        <v>14862</v>
      </c>
      <c r="L289" t="str">
        <f t="shared" si="4"/>
        <v>INSERT INTO msfo.statements (id_company, id_year, id_showing, value) VALUES (3,7,4,14862);</v>
      </c>
    </row>
    <row r="290" spans="1:12">
      <c r="A290" s="28" t="s">
        <v>37</v>
      </c>
      <c r="B290" s="28" t="s">
        <v>0</v>
      </c>
      <c r="C290" s="28">
        <v>2010</v>
      </c>
      <c r="D290" s="28" t="s">
        <v>1</v>
      </c>
      <c r="E290" s="28" t="s">
        <v>8</v>
      </c>
      <c r="F290" s="28">
        <v>798</v>
      </c>
      <c r="H290">
        <f>VLOOKUP(A290&amp;B290,ticker_sector[],2,FALSE)</f>
        <v>3</v>
      </c>
      <c r="I290">
        <f>VLOOKUP(C290,year[],2,FALSE)</f>
        <v>0</v>
      </c>
      <c r="J290">
        <f>VLOOKUP(E290,showing[],2,FALSE)</f>
        <v>5</v>
      </c>
      <c r="K290">
        <f>Сектора[[#This Row],[Значение]]</f>
        <v>798</v>
      </c>
      <c r="L290" t="str">
        <f t="shared" si="4"/>
        <v>INSERT INTO msfo.statements (id_company, id_year, id_showing, value) VALUES (3,0,5,798);</v>
      </c>
    </row>
    <row r="291" spans="1:12">
      <c r="A291" s="28" t="s">
        <v>37</v>
      </c>
      <c r="B291" s="28" t="s">
        <v>0</v>
      </c>
      <c r="C291" s="28">
        <v>2011</v>
      </c>
      <c r="D291" s="28" t="s">
        <v>1</v>
      </c>
      <c r="E291" s="28" t="s">
        <v>8</v>
      </c>
      <c r="F291" s="28">
        <v>798</v>
      </c>
      <c r="H291">
        <f>VLOOKUP(A291&amp;B291,ticker_sector[],2,FALSE)</f>
        <v>3</v>
      </c>
      <c r="I291">
        <f>VLOOKUP(C291,year[],2,FALSE)</f>
        <v>1</v>
      </c>
      <c r="J291">
        <f>VLOOKUP(E291,showing[],2,FALSE)</f>
        <v>5</v>
      </c>
      <c r="K291">
        <f>Сектора[[#This Row],[Значение]]</f>
        <v>798</v>
      </c>
      <c r="L291" t="str">
        <f t="shared" si="4"/>
        <v>INSERT INTO msfo.statements (id_company, id_year, id_showing, value) VALUES (3,1,5,798);</v>
      </c>
    </row>
    <row r="292" spans="1:12">
      <c r="A292" s="28" t="s">
        <v>37</v>
      </c>
      <c r="B292" s="28" t="s">
        <v>0</v>
      </c>
      <c r="C292" s="28">
        <v>2012</v>
      </c>
      <c r="D292" s="28" t="s">
        <v>1</v>
      </c>
      <c r="E292" s="28" t="s">
        <v>8</v>
      </c>
      <c r="F292" s="28">
        <v>706</v>
      </c>
      <c r="H292">
        <f>VLOOKUP(A292&amp;B292,ticker_sector[],2,FALSE)</f>
        <v>3</v>
      </c>
      <c r="I292">
        <f>VLOOKUP(C292,year[],2,FALSE)</f>
        <v>2</v>
      </c>
      <c r="J292">
        <f>VLOOKUP(E292,showing[],2,FALSE)</f>
        <v>5</v>
      </c>
      <c r="K292">
        <f>Сектора[[#This Row],[Значение]]</f>
        <v>706</v>
      </c>
      <c r="L292" t="str">
        <f t="shared" si="4"/>
        <v>INSERT INTO msfo.statements (id_company, id_year, id_showing, value) VALUES (3,2,5,706);</v>
      </c>
    </row>
    <row r="293" spans="1:12">
      <c r="A293" s="28" t="s">
        <v>37</v>
      </c>
      <c r="B293" s="28" t="s">
        <v>0</v>
      </c>
      <c r="C293" s="28">
        <v>2013</v>
      </c>
      <c r="D293" s="28" t="s">
        <v>1</v>
      </c>
      <c r="E293" s="28" t="s">
        <v>8</v>
      </c>
      <c r="F293" s="28">
        <v>779</v>
      </c>
      <c r="H293">
        <f>VLOOKUP(A293&amp;B293,ticker_sector[],2,FALSE)</f>
        <v>3</v>
      </c>
      <c r="I293">
        <f>VLOOKUP(C293,year[],2,FALSE)</f>
        <v>3</v>
      </c>
      <c r="J293">
        <f>VLOOKUP(E293,showing[],2,FALSE)</f>
        <v>5</v>
      </c>
      <c r="K293">
        <f>Сектора[[#This Row],[Значение]]</f>
        <v>779</v>
      </c>
      <c r="L293" t="str">
        <f t="shared" si="4"/>
        <v>INSERT INTO msfo.statements (id_company, id_year, id_showing, value) VALUES (3,3,5,779);</v>
      </c>
    </row>
    <row r="294" spans="1:12">
      <c r="A294" s="28" t="s">
        <v>37</v>
      </c>
      <c r="B294" s="28" t="s">
        <v>0</v>
      </c>
      <c r="C294" s="28">
        <v>2014</v>
      </c>
      <c r="D294" s="28" t="s">
        <v>1</v>
      </c>
      <c r="E294" s="28" t="s">
        <v>8</v>
      </c>
      <c r="F294" s="28">
        <v>811</v>
      </c>
      <c r="H294">
        <f>VLOOKUP(A294&amp;B294,ticker_sector[],2,FALSE)</f>
        <v>3</v>
      </c>
      <c r="I294">
        <f>VLOOKUP(C294,year[],2,FALSE)</f>
        <v>4</v>
      </c>
      <c r="J294">
        <f>VLOOKUP(E294,showing[],2,FALSE)</f>
        <v>5</v>
      </c>
      <c r="K294">
        <f>Сектора[[#This Row],[Значение]]</f>
        <v>811</v>
      </c>
      <c r="L294" t="str">
        <f t="shared" si="4"/>
        <v>INSERT INTO msfo.statements (id_company, id_year, id_showing, value) VALUES (3,4,5,811);</v>
      </c>
    </row>
    <row r="295" spans="1:12">
      <c r="A295" s="28" t="s">
        <v>37</v>
      </c>
      <c r="B295" s="28" t="s">
        <v>0</v>
      </c>
      <c r="C295" s="28">
        <v>2015</v>
      </c>
      <c r="D295" s="28" t="s">
        <v>1</v>
      </c>
      <c r="E295" s="28" t="s">
        <v>8</v>
      </c>
      <c r="F295" s="28">
        <v>1070</v>
      </c>
      <c r="H295">
        <f>VLOOKUP(A295&amp;B295,ticker_sector[],2,FALSE)</f>
        <v>3</v>
      </c>
      <c r="I295">
        <f>VLOOKUP(C295,year[],2,FALSE)</f>
        <v>5</v>
      </c>
      <c r="J295">
        <f>VLOOKUP(E295,showing[],2,FALSE)</f>
        <v>5</v>
      </c>
      <c r="K295">
        <f>Сектора[[#This Row],[Значение]]</f>
        <v>1070</v>
      </c>
      <c r="L295" t="str">
        <f t="shared" si="4"/>
        <v>INSERT INTO msfo.statements (id_company, id_year, id_showing, value) VALUES (3,5,5,1070);</v>
      </c>
    </row>
    <row r="296" spans="1:12">
      <c r="A296" s="28" t="s">
        <v>37</v>
      </c>
      <c r="B296" s="28" t="s">
        <v>0</v>
      </c>
      <c r="C296" s="28">
        <v>2016</v>
      </c>
      <c r="D296" s="28" t="s">
        <v>1</v>
      </c>
      <c r="E296" s="28" t="s">
        <v>8</v>
      </c>
      <c r="F296" s="28">
        <v>1098</v>
      </c>
      <c r="H296">
        <f>VLOOKUP(A296&amp;B296,ticker_sector[],2,FALSE)</f>
        <v>3</v>
      </c>
      <c r="I296">
        <f>VLOOKUP(C296,year[],2,FALSE)</f>
        <v>6</v>
      </c>
      <c r="J296">
        <f>VLOOKUP(E296,showing[],2,FALSE)</f>
        <v>5</v>
      </c>
      <c r="K296">
        <f>Сектора[[#This Row],[Значение]]</f>
        <v>1098</v>
      </c>
      <c r="L296" t="str">
        <f t="shared" si="4"/>
        <v>INSERT INTO msfo.statements (id_company, id_year, id_showing, value) VALUES (3,6,5,1098);</v>
      </c>
    </row>
    <row r="297" spans="1:12">
      <c r="A297" s="28" t="s">
        <v>37</v>
      </c>
      <c r="B297" s="28" t="s">
        <v>0</v>
      </c>
      <c r="C297" s="28">
        <v>2017</v>
      </c>
      <c r="D297" s="28" t="s">
        <v>1</v>
      </c>
      <c r="E297" s="28" t="s">
        <v>8</v>
      </c>
      <c r="F297" s="28">
        <v>1733</v>
      </c>
      <c r="H297">
        <f>VLOOKUP(A297&amp;B297,ticker_sector[],2,FALSE)</f>
        <v>3</v>
      </c>
      <c r="I297">
        <f>VLOOKUP(C297,year[],2,FALSE)</f>
        <v>7</v>
      </c>
      <c r="J297">
        <f>VLOOKUP(E297,showing[],2,FALSE)</f>
        <v>5</v>
      </c>
      <c r="K297">
        <f>Сектора[[#This Row],[Значение]]</f>
        <v>1733</v>
      </c>
      <c r="L297" t="str">
        <f t="shared" si="4"/>
        <v>INSERT INTO msfo.statements (id_company, id_year, id_showing, value) VALUES (3,7,5,1733);</v>
      </c>
    </row>
    <row r="298" spans="1:12">
      <c r="A298" s="28" t="s">
        <v>37</v>
      </c>
      <c r="B298" s="28" t="s">
        <v>0</v>
      </c>
      <c r="C298" s="28">
        <v>2010</v>
      </c>
      <c r="D298" s="28" t="s">
        <v>1</v>
      </c>
      <c r="E298" s="28" t="s">
        <v>9</v>
      </c>
      <c r="F298" s="28">
        <v>1962</v>
      </c>
      <c r="H298">
        <f>VLOOKUP(A298&amp;B298,ticker_sector[],2,FALSE)</f>
        <v>3</v>
      </c>
      <c r="I298">
        <f>VLOOKUP(C298,year[],2,FALSE)</f>
        <v>0</v>
      </c>
      <c r="J298">
        <f>VLOOKUP(E298,showing[],2,FALSE)</f>
        <v>6</v>
      </c>
      <c r="K298">
        <f>Сектора[[#This Row],[Значение]]</f>
        <v>1962</v>
      </c>
      <c r="L298" t="str">
        <f t="shared" si="4"/>
        <v>INSERT INTO msfo.statements (id_company, id_year, id_showing, value) VALUES (3,0,6,1962);</v>
      </c>
    </row>
    <row r="299" spans="1:12">
      <c r="A299" s="28" t="s">
        <v>37</v>
      </c>
      <c r="B299" s="28" t="s">
        <v>0</v>
      </c>
      <c r="C299" s="28">
        <v>2011</v>
      </c>
      <c r="D299" s="28" t="s">
        <v>1</v>
      </c>
      <c r="E299" s="28" t="s">
        <v>9</v>
      </c>
      <c r="F299" s="28">
        <v>1962</v>
      </c>
      <c r="H299">
        <f>VLOOKUP(A299&amp;B299,ticker_sector[],2,FALSE)</f>
        <v>3</v>
      </c>
      <c r="I299">
        <f>VLOOKUP(C299,year[],2,FALSE)</f>
        <v>1</v>
      </c>
      <c r="J299">
        <f>VLOOKUP(E299,showing[],2,FALSE)</f>
        <v>6</v>
      </c>
      <c r="K299">
        <f>Сектора[[#This Row],[Значение]]</f>
        <v>1962</v>
      </c>
      <c r="L299" t="str">
        <f t="shared" si="4"/>
        <v>INSERT INTO msfo.statements (id_company, id_year, id_showing, value) VALUES (3,1,6,1962);</v>
      </c>
    </row>
    <row r="300" spans="1:12">
      <c r="A300" s="28" t="s">
        <v>37</v>
      </c>
      <c r="B300" s="28" t="s">
        <v>0</v>
      </c>
      <c r="C300" s="28">
        <v>2012</v>
      </c>
      <c r="D300" s="28" t="s">
        <v>1</v>
      </c>
      <c r="E300" s="28" t="s">
        <v>9</v>
      </c>
      <c r="F300" s="28">
        <v>767</v>
      </c>
      <c r="H300">
        <f>VLOOKUP(A300&amp;B300,ticker_sector[],2,FALSE)</f>
        <v>3</v>
      </c>
      <c r="I300">
        <f>VLOOKUP(C300,year[],2,FALSE)</f>
        <v>2</v>
      </c>
      <c r="J300">
        <f>VLOOKUP(E300,showing[],2,FALSE)</f>
        <v>6</v>
      </c>
      <c r="K300">
        <f>Сектора[[#This Row],[Значение]]</f>
        <v>767</v>
      </c>
      <c r="L300" t="str">
        <f t="shared" si="4"/>
        <v>INSERT INTO msfo.statements (id_company, id_year, id_showing, value) VALUES (3,2,6,767);</v>
      </c>
    </row>
    <row r="301" spans="1:12">
      <c r="A301" s="28" t="s">
        <v>37</v>
      </c>
      <c r="B301" s="28" t="s">
        <v>0</v>
      </c>
      <c r="C301" s="28">
        <v>2013</v>
      </c>
      <c r="D301" s="28" t="s">
        <v>1</v>
      </c>
      <c r="E301" s="28" t="s">
        <v>9</v>
      </c>
      <c r="F301" s="28">
        <v>822</v>
      </c>
      <c r="H301">
        <f>VLOOKUP(A301&amp;B301,ticker_sector[],2,FALSE)</f>
        <v>3</v>
      </c>
      <c r="I301">
        <f>VLOOKUP(C301,year[],2,FALSE)</f>
        <v>3</v>
      </c>
      <c r="J301">
        <f>VLOOKUP(E301,showing[],2,FALSE)</f>
        <v>6</v>
      </c>
      <c r="K301">
        <f>Сектора[[#This Row],[Значение]]</f>
        <v>822</v>
      </c>
      <c r="L301" t="str">
        <f t="shared" si="4"/>
        <v>INSERT INTO msfo.statements (id_company, id_year, id_showing, value) VALUES (3,3,6,822);</v>
      </c>
    </row>
    <row r="302" spans="1:12">
      <c r="A302" s="28" t="s">
        <v>37</v>
      </c>
      <c r="B302" s="28" t="s">
        <v>0</v>
      </c>
      <c r="C302" s="28">
        <v>2014</v>
      </c>
      <c r="D302" s="28" t="s">
        <v>1</v>
      </c>
      <c r="E302" s="28" t="s">
        <v>9</v>
      </c>
      <c r="F302" s="28">
        <v>907</v>
      </c>
      <c r="H302">
        <f>VLOOKUP(A302&amp;B302,ticker_sector[],2,FALSE)</f>
        <v>3</v>
      </c>
      <c r="I302">
        <f>VLOOKUP(C302,year[],2,FALSE)</f>
        <v>4</v>
      </c>
      <c r="J302">
        <f>VLOOKUP(E302,showing[],2,FALSE)</f>
        <v>6</v>
      </c>
      <c r="K302">
        <f>Сектора[[#This Row],[Значение]]</f>
        <v>907</v>
      </c>
      <c r="L302" t="str">
        <f t="shared" si="4"/>
        <v>INSERT INTO msfo.statements (id_company, id_year, id_showing, value) VALUES (3,4,6,907);</v>
      </c>
    </row>
    <row r="303" spans="1:12">
      <c r="A303" s="28" t="s">
        <v>37</v>
      </c>
      <c r="B303" s="28" t="s">
        <v>0</v>
      </c>
      <c r="C303" s="28">
        <v>2015</v>
      </c>
      <c r="D303" s="28" t="s">
        <v>1</v>
      </c>
      <c r="E303" s="28" t="s">
        <v>9</v>
      </c>
      <c r="F303" s="28">
        <v>1117</v>
      </c>
      <c r="H303">
        <f>VLOOKUP(A303&amp;B303,ticker_sector[],2,FALSE)</f>
        <v>3</v>
      </c>
      <c r="I303">
        <f>VLOOKUP(C303,year[],2,FALSE)</f>
        <v>5</v>
      </c>
      <c r="J303">
        <f>VLOOKUP(E303,showing[],2,FALSE)</f>
        <v>6</v>
      </c>
      <c r="K303">
        <f>Сектора[[#This Row],[Значение]]</f>
        <v>1117</v>
      </c>
      <c r="L303" t="str">
        <f t="shared" si="4"/>
        <v>INSERT INTO msfo.statements (id_company, id_year, id_showing, value) VALUES (3,5,6,1117);</v>
      </c>
    </row>
    <row r="304" spans="1:12">
      <c r="A304" s="28" t="s">
        <v>37</v>
      </c>
      <c r="B304" s="28" t="s">
        <v>0</v>
      </c>
      <c r="C304" s="28">
        <v>2016</v>
      </c>
      <c r="D304" s="28" t="s">
        <v>1</v>
      </c>
      <c r="E304" s="28" t="s">
        <v>9</v>
      </c>
      <c r="F304" s="28">
        <v>890</v>
      </c>
      <c r="H304">
        <f>VLOOKUP(A304&amp;B304,ticker_sector[],2,FALSE)</f>
        <v>3</v>
      </c>
      <c r="I304">
        <f>VLOOKUP(C304,year[],2,FALSE)</f>
        <v>6</v>
      </c>
      <c r="J304">
        <f>VLOOKUP(E304,showing[],2,FALSE)</f>
        <v>6</v>
      </c>
      <c r="K304">
        <f>Сектора[[#This Row],[Значение]]</f>
        <v>890</v>
      </c>
      <c r="L304" t="str">
        <f t="shared" si="4"/>
        <v>INSERT INTO msfo.statements (id_company, id_year, id_showing, value) VALUES (3,6,6,890);</v>
      </c>
    </row>
    <row r="305" spans="1:12">
      <c r="A305" s="28" t="s">
        <v>37</v>
      </c>
      <c r="B305" s="28" t="s">
        <v>0</v>
      </c>
      <c r="C305" s="28">
        <v>2017</v>
      </c>
      <c r="D305" s="28" t="s">
        <v>1</v>
      </c>
      <c r="E305" s="28" t="s">
        <v>9</v>
      </c>
      <c r="F305" s="28">
        <v>1743</v>
      </c>
      <c r="H305">
        <f>VLOOKUP(A305&amp;B305,ticker_sector[],2,FALSE)</f>
        <v>3</v>
      </c>
      <c r="I305">
        <f>VLOOKUP(C305,year[],2,FALSE)</f>
        <v>7</v>
      </c>
      <c r="J305">
        <f>VLOOKUP(E305,showing[],2,FALSE)</f>
        <v>6</v>
      </c>
      <c r="K305">
        <f>Сектора[[#This Row],[Значение]]</f>
        <v>1743</v>
      </c>
      <c r="L305" t="str">
        <f t="shared" si="4"/>
        <v>INSERT INTO msfo.statements (id_company, id_year, id_showing, value) VALUES (3,7,6,1743);</v>
      </c>
    </row>
    <row r="306" spans="1:12">
      <c r="A306" s="28" t="s">
        <v>37</v>
      </c>
      <c r="B306" s="28" t="s">
        <v>0</v>
      </c>
      <c r="C306" s="28">
        <v>2010</v>
      </c>
      <c r="D306" s="28" t="s">
        <v>1</v>
      </c>
      <c r="E306" s="28" t="s">
        <v>10</v>
      </c>
      <c r="F306" s="28">
        <v>11272</v>
      </c>
      <c r="H306">
        <f>VLOOKUP(A306&amp;B306,ticker_sector[],2,FALSE)</f>
        <v>3</v>
      </c>
      <c r="I306">
        <f>VLOOKUP(C306,year[],2,FALSE)</f>
        <v>0</v>
      </c>
      <c r="J306">
        <f>VLOOKUP(E306,showing[],2,FALSE)</f>
        <v>7</v>
      </c>
      <c r="K306">
        <f>Сектора[[#This Row],[Значение]]</f>
        <v>11272</v>
      </c>
      <c r="L306" t="str">
        <f t="shared" si="4"/>
        <v>INSERT INTO msfo.statements (id_company, id_year, id_showing, value) VALUES (3,0,7,11272);</v>
      </c>
    </row>
    <row r="307" spans="1:12">
      <c r="A307" s="28" t="s">
        <v>37</v>
      </c>
      <c r="B307" s="28" t="s">
        <v>0</v>
      </c>
      <c r="C307" s="28">
        <v>2011</v>
      </c>
      <c r="D307" s="28" t="s">
        <v>1</v>
      </c>
      <c r="E307" s="28" t="s">
        <v>10</v>
      </c>
      <c r="F307" s="28">
        <v>11272</v>
      </c>
      <c r="H307">
        <f>VLOOKUP(A307&amp;B307,ticker_sector[],2,FALSE)</f>
        <v>3</v>
      </c>
      <c r="I307">
        <f>VLOOKUP(C307,year[],2,FALSE)</f>
        <v>1</v>
      </c>
      <c r="J307">
        <f>VLOOKUP(E307,showing[],2,FALSE)</f>
        <v>7</v>
      </c>
      <c r="K307">
        <f>Сектора[[#This Row],[Значение]]</f>
        <v>11272</v>
      </c>
      <c r="L307" t="str">
        <f t="shared" si="4"/>
        <v>INSERT INTO msfo.statements (id_company, id_year, id_showing, value) VALUES (3,1,7,11272);</v>
      </c>
    </row>
    <row r="308" spans="1:12">
      <c r="A308" s="28" t="s">
        <v>37</v>
      </c>
      <c r="B308" s="28" t="s">
        <v>0</v>
      </c>
      <c r="C308" s="28">
        <v>2012</v>
      </c>
      <c r="D308" s="28" t="s">
        <v>1</v>
      </c>
      <c r="E308" s="28" t="s">
        <v>10</v>
      </c>
      <c r="F308" s="28">
        <v>10634</v>
      </c>
      <c r="H308">
        <f>VLOOKUP(A308&amp;B308,ticker_sector[],2,FALSE)</f>
        <v>3</v>
      </c>
      <c r="I308">
        <f>VLOOKUP(C308,year[],2,FALSE)</f>
        <v>2</v>
      </c>
      <c r="J308">
        <f>VLOOKUP(E308,showing[],2,FALSE)</f>
        <v>7</v>
      </c>
      <c r="K308">
        <f>Сектора[[#This Row],[Значение]]</f>
        <v>10634</v>
      </c>
      <c r="L308" t="str">
        <f t="shared" si="4"/>
        <v>INSERT INTO msfo.statements (id_company, id_year, id_showing, value) VALUES (3,2,7,10634);</v>
      </c>
    </row>
    <row r="309" spans="1:12">
      <c r="A309" s="28" t="s">
        <v>37</v>
      </c>
      <c r="B309" s="28" t="s">
        <v>0</v>
      </c>
      <c r="C309" s="28">
        <v>2013</v>
      </c>
      <c r="D309" s="28" t="s">
        <v>1</v>
      </c>
      <c r="E309" s="28" t="s">
        <v>10</v>
      </c>
      <c r="F309" s="28">
        <v>9616</v>
      </c>
      <c r="H309">
        <f>VLOOKUP(A309&amp;B309,ticker_sector[],2,FALSE)</f>
        <v>3</v>
      </c>
      <c r="I309">
        <f>VLOOKUP(C309,year[],2,FALSE)</f>
        <v>3</v>
      </c>
      <c r="J309">
        <f>VLOOKUP(E309,showing[],2,FALSE)</f>
        <v>7</v>
      </c>
      <c r="K309">
        <f>Сектора[[#This Row],[Значение]]</f>
        <v>9616</v>
      </c>
      <c r="L309" t="str">
        <f t="shared" si="4"/>
        <v>INSERT INTO msfo.statements (id_company, id_year, id_showing, value) VALUES (3,3,7,9616);</v>
      </c>
    </row>
    <row r="310" spans="1:12">
      <c r="A310" s="28" t="s">
        <v>37</v>
      </c>
      <c r="B310" s="28" t="s">
        <v>0</v>
      </c>
      <c r="C310" s="28">
        <v>2014</v>
      </c>
      <c r="D310" s="28" t="s">
        <v>1</v>
      </c>
      <c r="E310" s="28" t="s">
        <v>10</v>
      </c>
      <c r="F310" s="28">
        <v>12571</v>
      </c>
      <c r="H310">
        <f>VLOOKUP(A310&amp;B310,ticker_sector[],2,FALSE)</f>
        <v>3</v>
      </c>
      <c r="I310">
        <f>VLOOKUP(C310,year[],2,FALSE)</f>
        <v>4</v>
      </c>
      <c r="J310">
        <f>VLOOKUP(E310,showing[],2,FALSE)</f>
        <v>7</v>
      </c>
      <c r="K310">
        <f>Сектора[[#This Row],[Значение]]</f>
        <v>12571</v>
      </c>
      <c r="L310" t="str">
        <f t="shared" si="4"/>
        <v>INSERT INTO msfo.statements (id_company, id_year, id_showing, value) VALUES (3,4,7,12571);</v>
      </c>
    </row>
    <row r="311" spans="1:12">
      <c r="A311" s="28" t="s">
        <v>37</v>
      </c>
      <c r="B311" s="28" t="s">
        <v>0</v>
      </c>
      <c r="C311" s="28">
        <v>2015</v>
      </c>
      <c r="D311" s="28" t="s">
        <v>1</v>
      </c>
      <c r="E311" s="28" t="s">
        <v>10</v>
      </c>
      <c r="F311" s="28">
        <v>16716</v>
      </c>
      <c r="H311">
        <f>VLOOKUP(A311&amp;B311,ticker_sector[],2,FALSE)</f>
        <v>3</v>
      </c>
      <c r="I311">
        <f>VLOOKUP(C311,year[],2,FALSE)</f>
        <v>5</v>
      </c>
      <c r="J311">
        <f>VLOOKUP(E311,showing[],2,FALSE)</f>
        <v>7</v>
      </c>
      <c r="K311">
        <f>Сектора[[#This Row],[Значение]]</f>
        <v>16716</v>
      </c>
      <c r="L311" t="str">
        <f t="shared" si="4"/>
        <v>INSERT INTO msfo.statements (id_company, id_year, id_showing, value) VALUES (3,5,7,16716);</v>
      </c>
    </row>
    <row r="312" spans="1:12">
      <c r="A312" s="28" t="s">
        <v>37</v>
      </c>
      <c r="B312" s="28" t="s">
        <v>0</v>
      </c>
      <c r="C312" s="28">
        <v>2016</v>
      </c>
      <c r="D312" s="28" t="s">
        <v>1</v>
      </c>
      <c r="E312" s="28" t="s">
        <v>10</v>
      </c>
      <c r="F312" s="28">
        <v>18073</v>
      </c>
      <c r="H312">
        <f>VLOOKUP(A312&amp;B312,ticker_sector[],2,FALSE)</f>
        <v>3</v>
      </c>
      <c r="I312">
        <f>VLOOKUP(C312,year[],2,FALSE)</f>
        <v>6</v>
      </c>
      <c r="J312">
        <f>VLOOKUP(E312,showing[],2,FALSE)</f>
        <v>7</v>
      </c>
      <c r="K312">
        <f>Сектора[[#This Row],[Значение]]</f>
        <v>18073</v>
      </c>
      <c r="L312" t="str">
        <f t="shared" si="4"/>
        <v>INSERT INTO msfo.statements (id_company, id_year, id_showing, value) VALUES (3,6,7,18073);</v>
      </c>
    </row>
    <row r="313" spans="1:12">
      <c r="A313" s="28" t="s">
        <v>37</v>
      </c>
      <c r="B313" s="28" t="s">
        <v>0</v>
      </c>
      <c r="C313" s="28">
        <v>2017</v>
      </c>
      <c r="D313" s="28" t="s">
        <v>1</v>
      </c>
      <c r="E313" s="28" t="s">
        <v>10</v>
      </c>
      <c r="F313" s="28">
        <v>18338</v>
      </c>
      <c r="H313">
        <f>VLOOKUP(A313&amp;B313,ticker_sector[],2,FALSE)</f>
        <v>3</v>
      </c>
      <c r="I313">
        <f>VLOOKUP(C313,year[],2,FALSE)</f>
        <v>7</v>
      </c>
      <c r="J313">
        <f>VLOOKUP(E313,showing[],2,FALSE)</f>
        <v>7</v>
      </c>
      <c r="K313">
        <f>Сектора[[#This Row],[Значение]]</f>
        <v>18338</v>
      </c>
      <c r="L313" t="str">
        <f t="shared" si="4"/>
        <v>INSERT INTO msfo.statements (id_company, id_year, id_showing, value) VALUES (3,7,7,18338);</v>
      </c>
    </row>
    <row r="314" spans="1:12">
      <c r="A314" s="28" t="s">
        <v>37</v>
      </c>
      <c r="B314" s="28" t="s">
        <v>0</v>
      </c>
      <c r="C314" s="28">
        <v>2010</v>
      </c>
      <c r="D314" s="28" t="s">
        <v>1</v>
      </c>
      <c r="E314" s="28" t="s">
        <v>11</v>
      </c>
      <c r="F314" s="28">
        <v>0.24485450674237047</v>
      </c>
      <c r="H314">
        <f>VLOOKUP(A314&amp;B314,ticker_sector[],2,FALSE)</f>
        <v>3</v>
      </c>
      <c r="I314">
        <f>VLOOKUP(C314,year[],2,FALSE)</f>
        <v>0</v>
      </c>
      <c r="J314">
        <f>VLOOKUP(E314,showing[],2,FALSE)</f>
        <v>8</v>
      </c>
      <c r="K314">
        <f>Сектора[[#This Row],[Значение]]</f>
        <v>0.24485450674237047</v>
      </c>
      <c r="L314" t="str">
        <f t="shared" si="4"/>
        <v>INSERT INTO msfo.statements (id_company, id_year, id_showing, value) VALUES (3,0,8,0,24485450674237);</v>
      </c>
    </row>
    <row r="315" spans="1:12">
      <c r="A315" s="28" t="s">
        <v>37</v>
      </c>
      <c r="B315" s="28" t="s">
        <v>0</v>
      </c>
      <c r="C315" s="28">
        <v>2011</v>
      </c>
      <c r="D315" s="28" t="s">
        <v>1</v>
      </c>
      <c r="E315" s="28" t="s">
        <v>11</v>
      </c>
      <c r="F315" s="28">
        <v>0.24485450674237047</v>
      </c>
      <c r="H315">
        <f>VLOOKUP(A315&amp;B315,ticker_sector[],2,FALSE)</f>
        <v>3</v>
      </c>
      <c r="I315">
        <f>VLOOKUP(C315,year[],2,FALSE)</f>
        <v>1</v>
      </c>
      <c r="J315">
        <f>VLOOKUP(E315,showing[],2,FALSE)</f>
        <v>8</v>
      </c>
      <c r="K315">
        <f>Сектора[[#This Row],[Значение]]</f>
        <v>0.24485450674237047</v>
      </c>
      <c r="L315" t="str">
        <f t="shared" si="4"/>
        <v>INSERT INTO msfo.statements (id_company, id_year, id_showing, value) VALUES (3,1,8,0,24485450674237);</v>
      </c>
    </row>
    <row r="316" spans="1:12">
      <c r="A316" s="28" t="s">
        <v>37</v>
      </c>
      <c r="B316" s="28" t="s">
        <v>0</v>
      </c>
      <c r="C316" s="28">
        <v>2012</v>
      </c>
      <c r="D316" s="28" t="s">
        <v>1</v>
      </c>
      <c r="E316" s="28" t="s">
        <v>11</v>
      </c>
      <c r="F316" s="28">
        <v>0.13851796125634758</v>
      </c>
      <c r="H316">
        <f>VLOOKUP(A316&amp;B316,ticker_sector[],2,FALSE)</f>
        <v>3</v>
      </c>
      <c r="I316">
        <f>VLOOKUP(C316,year[],2,FALSE)</f>
        <v>2</v>
      </c>
      <c r="J316">
        <f>VLOOKUP(E316,showing[],2,FALSE)</f>
        <v>8</v>
      </c>
      <c r="K316">
        <f>Сектора[[#This Row],[Значение]]</f>
        <v>0.13851796125634758</v>
      </c>
      <c r="L316" t="str">
        <f t="shared" si="4"/>
        <v>INSERT INTO msfo.statements (id_company, id_year, id_showing, value) VALUES (3,2,8,0,138517961256348);</v>
      </c>
    </row>
    <row r="317" spans="1:12">
      <c r="A317" s="28" t="s">
        <v>37</v>
      </c>
      <c r="B317" s="28" t="s">
        <v>0</v>
      </c>
      <c r="C317" s="28">
        <v>2013</v>
      </c>
      <c r="D317" s="28" t="s">
        <v>1</v>
      </c>
      <c r="E317" s="28" t="s">
        <v>11</v>
      </c>
      <c r="F317" s="28">
        <v>0.16649334442595673</v>
      </c>
      <c r="H317">
        <f>VLOOKUP(A317&amp;B317,ticker_sector[],2,FALSE)</f>
        <v>3</v>
      </c>
      <c r="I317">
        <f>VLOOKUP(C317,year[],2,FALSE)</f>
        <v>3</v>
      </c>
      <c r="J317">
        <f>VLOOKUP(E317,showing[],2,FALSE)</f>
        <v>8</v>
      </c>
      <c r="K317">
        <f>Сектора[[#This Row],[Значение]]</f>
        <v>0.16649334442595673</v>
      </c>
      <c r="L317" t="str">
        <f t="shared" si="4"/>
        <v>INSERT INTO msfo.statements (id_company, id_year, id_showing, value) VALUES (3,3,8,0,166493344425957);</v>
      </c>
    </row>
    <row r="318" spans="1:12">
      <c r="A318" s="28" t="s">
        <v>37</v>
      </c>
      <c r="B318" s="28" t="s">
        <v>0</v>
      </c>
      <c r="C318" s="28">
        <v>2014</v>
      </c>
      <c r="D318" s="28" t="s">
        <v>1</v>
      </c>
      <c r="E318" s="28" t="s">
        <v>11</v>
      </c>
      <c r="F318" s="28">
        <v>0.13666374990056479</v>
      </c>
      <c r="H318">
        <f>VLOOKUP(A318&amp;B318,ticker_sector[],2,FALSE)</f>
        <v>3</v>
      </c>
      <c r="I318">
        <f>VLOOKUP(C318,year[],2,FALSE)</f>
        <v>4</v>
      </c>
      <c r="J318">
        <f>VLOOKUP(E318,showing[],2,FALSE)</f>
        <v>8</v>
      </c>
      <c r="K318">
        <f>Сектора[[#This Row],[Значение]]</f>
        <v>0.13666374990056479</v>
      </c>
      <c r="L318" t="str">
        <f t="shared" si="4"/>
        <v>INSERT INTO msfo.statements (id_company, id_year, id_showing, value) VALUES (3,4,8,0,136663749900565);</v>
      </c>
    </row>
    <row r="319" spans="1:12">
      <c r="A319" s="28" t="s">
        <v>37</v>
      </c>
      <c r="B319" s="28" t="s">
        <v>0</v>
      </c>
      <c r="C319" s="28">
        <v>2015</v>
      </c>
      <c r="D319" s="28" t="s">
        <v>1</v>
      </c>
      <c r="E319" s="28" t="s">
        <v>11</v>
      </c>
      <c r="F319" s="28">
        <v>0.13083273510409188</v>
      </c>
      <c r="H319">
        <f>VLOOKUP(A319&amp;B319,ticker_sector[],2,FALSE)</f>
        <v>3</v>
      </c>
      <c r="I319">
        <f>VLOOKUP(C319,year[],2,FALSE)</f>
        <v>5</v>
      </c>
      <c r="J319">
        <f>VLOOKUP(E319,showing[],2,FALSE)</f>
        <v>8</v>
      </c>
      <c r="K319">
        <f>Сектора[[#This Row],[Значение]]</f>
        <v>0.13083273510409188</v>
      </c>
      <c r="L319" t="str">
        <f t="shared" si="4"/>
        <v>INSERT INTO msfo.statements (id_company, id_year, id_showing, value) VALUES (3,5,8,0,130832735104092);</v>
      </c>
    </row>
    <row r="320" spans="1:12">
      <c r="A320" s="28" t="s">
        <v>37</v>
      </c>
      <c r="B320" s="28" t="s">
        <v>0</v>
      </c>
      <c r="C320" s="28">
        <v>2016</v>
      </c>
      <c r="D320" s="28" t="s">
        <v>1</v>
      </c>
      <c r="E320" s="28" t="s">
        <v>11</v>
      </c>
      <c r="F320" s="28">
        <v>0.10999834006529076</v>
      </c>
      <c r="H320">
        <f>VLOOKUP(A320&amp;B320,ticker_sector[],2,FALSE)</f>
        <v>3</v>
      </c>
      <c r="I320">
        <f>VLOOKUP(C320,year[],2,FALSE)</f>
        <v>6</v>
      </c>
      <c r="J320">
        <f>VLOOKUP(E320,showing[],2,FALSE)</f>
        <v>8</v>
      </c>
      <c r="K320">
        <f>Сектора[[#This Row],[Значение]]</f>
        <v>0.10999834006529076</v>
      </c>
      <c r="L320" t="str">
        <f t="shared" si="4"/>
        <v>INSERT INTO msfo.statements (id_company, id_year, id_showing, value) VALUES (3,6,8,0,109998340065291);</v>
      </c>
    </row>
    <row r="321" spans="1:12">
      <c r="A321" s="28" t="s">
        <v>37</v>
      </c>
      <c r="B321" s="28" t="s">
        <v>0</v>
      </c>
      <c r="C321" s="28">
        <v>2017</v>
      </c>
      <c r="D321" s="28" t="s">
        <v>1</v>
      </c>
      <c r="E321" s="28" t="s">
        <v>11</v>
      </c>
      <c r="F321" s="28">
        <v>0.18955175046351838</v>
      </c>
      <c r="H321">
        <f>VLOOKUP(A321&amp;B321,ticker_sector[],2,FALSE)</f>
        <v>3</v>
      </c>
      <c r="I321">
        <f>VLOOKUP(C321,year[],2,FALSE)</f>
        <v>7</v>
      </c>
      <c r="J321">
        <f>VLOOKUP(E321,showing[],2,FALSE)</f>
        <v>8</v>
      </c>
      <c r="K321">
        <f>Сектора[[#This Row],[Значение]]</f>
        <v>0.18955175046351838</v>
      </c>
      <c r="L321" t="str">
        <f t="shared" si="4"/>
        <v>INSERT INTO msfo.statements (id_company, id_year, id_showing, value) VALUES (3,7,8,0,189551750463518);</v>
      </c>
    </row>
    <row r="322" spans="1:12">
      <c r="A322" s="28" t="s">
        <v>37</v>
      </c>
      <c r="B322" s="28" t="s">
        <v>0</v>
      </c>
      <c r="C322" s="28">
        <v>2010</v>
      </c>
      <c r="D322" s="28" t="s">
        <v>4</v>
      </c>
      <c r="E322" s="28" t="s">
        <v>12</v>
      </c>
      <c r="F322" s="28">
        <v>10757</v>
      </c>
      <c r="H322">
        <f>VLOOKUP(A322&amp;B322,ticker_sector[],2,FALSE)</f>
        <v>3</v>
      </c>
      <c r="I322">
        <f>VLOOKUP(C322,year[],2,FALSE)</f>
        <v>0</v>
      </c>
      <c r="J322">
        <f>VLOOKUP(E322,showing[],2,FALSE)</f>
        <v>9</v>
      </c>
      <c r="K322">
        <f>Сектора[[#This Row],[Значение]]</f>
        <v>10757</v>
      </c>
      <c r="L322" t="str">
        <f t="shared" si="4"/>
        <v>INSERT INTO msfo.statements (id_company, id_year, id_showing, value) VALUES (3,0,9,10757);</v>
      </c>
    </row>
    <row r="323" spans="1:12">
      <c r="A323" s="28" t="s">
        <v>37</v>
      </c>
      <c r="B323" s="28" t="s">
        <v>0</v>
      </c>
      <c r="C323" s="28">
        <v>2011</v>
      </c>
      <c r="D323" s="28" t="s">
        <v>4</v>
      </c>
      <c r="E323" s="28" t="s">
        <v>12</v>
      </c>
      <c r="F323" s="28">
        <v>10757</v>
      </c>
      <c r="H323">
        <f>VLOOKUP(A323&amp;B323,ticker_sector[],2,FALSE)</f>
        <v>3</v>
      </c>
      <c r="I323">
        <f>VLOOKUP(C323,year[],2,FALSE)</f>
        <v>1</v>
      </c>
      <c r="J323">
        <f>VLOOKUP(E323,showing[],2,FALSE)</f>
        <v>9</v>
      </c>
      <c r="K323">
        <f>Сектора[[#This Row],[Значение]]</f>
        <v>10757</v>
      </c>
      <c r="L323" t="str">
        <f t="shared" ref="L323:L386" si="5">"INSERT INTO msfo.statements (id_company, id_year, id_showing, value) VALUES ("&amp;H323&amp; ","&amp;I323&amp; ","&amp;J323&amp; ","&amp;K323&amp;");"</f>
        <v>INSERT INTO msfo.statements (id_company, id_year, id_showing, value) VALUES (3,1,9,10757);</v>
      </c>
    </row>
    <row r="324" spans="1:12">
      <c r="A324" s="28" t="s">
        <v>37</v>
      </c>
      <c r="B324" s="28" t="s">
        <v>0</v>
      </c>
      <c r="C324" s="28">
        <v>2012</v>
      </c>
      <c r="D324" s="28" t="s">
        <v>4</v>
      </c>
      <c r="E324" s="28" t="s">
        <v>12</v>
      </c>
      <c r="F324" s="28">
        <v>11676</v>
      </c>
      <c r="H324">
        <f>VLOOKUP(A324&amp;B324,ticker_sector[],2,FALSE)</f>
        <v>3</v>
      </c>
      <c r="I324">
        <f>VLOOKUP(C324,year[],2,FALSE)</f>
        <v>2</v>
      </c>
      <c r="J324">
        <f>VLOOKUP(E324,showing[],2,FALSE)</f>
        <v>9</v>
      </c>
      <c r="K324">
        <f>Сектора[[#This Row],[Значение]]</f>
        <v>11676</v>
      </c>
      <c r="L324" t="str">
        <f t="shared" si="5"/>
        <v>INSERT INTO msfo.statements (id_company, id_year, id_showing, value) VALUES (3,2,9,11676);</v>
      </c>
    </row>
    <row r="325" spans="1:12">
      <c r="A325" s="28" t="s">
        <v>37</v>
      </c>
      <c r="B325" s="28" t="s">
        <v>0</v>
      </c>
      <c r="C325" s="28">
        <v>2013</v>
      </c>
      <c r="D325" s="28" t="s">
        <v>4</v>
      </c>
      <c r="E325" s="28" t="s">
        <v>12</v>
      </c>
      <c r="F325" s="28">
        <v>9223</v>
      </c>
      <c r="H325">
        <f>VLOOKUP(A325&amp;B325,ticker_sector[],2,FALSE)</f>
        <v>3</v>
      </c>
      <c r="I325">
        <f>VLOOKUP(C325,year[],2,FALSE)</f>
        <v>3</v>
      </c>
      <c r="J325">
        <f>VLOOKUP(E325,showing[],2,FALSE)</f>
        <v>9</v>
      </c>
      <c r="K325">
        <f>Сектора[[#This Row],[Значение]]</f>
        <v>9223</v>
      </c>
      <c r="L325" t="str">
        <f t="shared" si="5"/>
        <v>INSERT INTO msfo.statements (id_company, id_year, id_showing, value) VALUES (3,3,9,9223);</v>
      </c>
    </row>
    <row r="326" spans="1:12">
      <c r="A326" s="28" t="s">
        <v>37</v>
      </c>
      <c r="B326" s="28" t="s">
        <v>0</v>
      </c>
      <c r="C326" s="28">
        <v>2014</v>
      </c>
      <c r="D326" s="28" t="s">
        <v>4</v>
      </c>
      <c r="E326" s="28" t="s">
        <v>12</v>
      </c>
      <c r="F326" s="28">
        <v>9370</v>
      </c>
      <c r="H326">
        <f>VLOOKUP(A326&amp;B326,ticker_sector[],2,FALSE)</f>
        <v>3</v>
      </c>
      <c r="I326">
        <f>VLOOKUP(C326,year[],2,FALSE)</f>
        <v>4</v>
      </c>
      <c r="J326">
        <f>VLOOKUP(E326,showing[],2,FALSE)</f>
        <v>9</v>
      </c>
      <c r="K326">
        <f>Сектора[[#This Row],[Значение]]</f>
        <v>9370</v>
      </c>
      <c r="L326" t="str">
        <f t="shared" si="5"/>
        <v>INSERT INTO msfo.statements (id_company, id_year, id_showing, value) VALUES (3,4,9,9370);</v>
      </c>
    </row>
    <row r="327" spans="1:12">
      <c r="A327" s="28" t="s">
        <v>37</v>
      </c>
      <c r="B327" s="28" t="s">
        <v>0</v>
      </c>
      <c r="C327" s="28">
        <v>2015</v>
      </c>
      <c r="D327" s="28" t="s">
        <v>4</v>
      </c>
      <c r="E327" s="28" t="s">
        <v>12</v>
      </c>
      <c r="F327" s="28">
        <v>12073</v>
      </c>
      <c r="H327">
        <f>VLOOKUP(A327&amp;B327,ticker_sector[],2,FALSE)</f>
        <v>3</v>
      </c>
      <c r="I327">
        <f>VLOOKUP(C327,year[],2,FALSE)</f>
        <v>5</v>
      </c>
      <c r="J327">
        <f>VLOOKUP(E327,showing[],2,FALSE)</f>
        <v>9</v>
      </c>
      <c r="K327">
        <f>Сектора[[#This Row],[Значение]]</f>
        <v>12073</v>
      </c>
      <c r="L327" t="str">
        <f t="shared" si="5"/>
        <v>INSERT INTO msfo.statements (id_company, id_year, id_showing, value) VALUES (3,5,9,12073);</v>
      </c>
    </row>
    <row r="328" spans="1:12">
      <c r="A328" s="28" t="s">
        <v>37</v>
      </c>
      <c r="B328" s="28" t="s">
        <v>0</v>
      </c>
      <c r="C328" s="28">
        <v>2016</v>
      </c>
      <c r="D328" s="28" t="s">
        <v>4</v>
      </c>
      <c r="E328" s="28" t="s">
        <v>12</v>
      </c>
      <c r="F328" s="28">
        <v>14167</v>
      </c>
      <c r="H328">
        <f>VLOOKUP(A328&amp;B328,ticker_sector[],2,FALSE)</f>
        <v>3</v>
      </c>
      <c r="I328">
        <f>VLOOKUP(C328,year[],2,FALSE)</f>
        <v>6</v>
      </c>
      <c r="J328">
        <f>VLOOKUP(E328,showing[],2,FALSE)</f>
        <v>9</v>
      </c>
      <c r="K328">
        <f>Сектора[[#This Row],[Значение]]</f>
        <v>14167</v>
      </c>
      <c r="L328" t="str">
        <f t="shared" si="5"/>
        <v>INSERT INTO msfo.statements (id_company, id_year, id_showing, value) VALUES (3,6,9,14167);</v>
      </c>
    </row>
    <row r="329" spans="1:12">
      <c r="A329" s="28" t="s">
        <v>37</v>
      </c>
      <c r="B329" s="28" t="s">
        <v>0</v>
      </c>
      <c r="C329" s="28">
        <v>2017</v>
      </c>
      <c r="D329" s="28" t="s">
        <v>4</v>
      </c>
      <c r="E329" s="28" t="s">
        <v>12</v>
      </c>
      <c r="F329" s="28">
        <v>11194</v>
      </c>
      <c r="H329">
        <f>VLOOKUP(A329&amp;B329,ticker_sector[],2,FALSE)</f>
        <v>3</v>
      </c>
      <c r="I329">
        <f>VLOOKUP(C329,year[],2,FALSE)</f>
        <v>7</v>
      </c>
      <c r="J329">
        <f>VLOOKUP(E329,showing[],2,FALSE)</f>
        <v>9</v>
      </c>
      <c r="K329">
        <f>Сектора[[#This Row],[Значение]]</f>
        <v>11194</v>
      </c>
      <c r="L329" t="str">
        <f t="shared" si="5"/>
        <v>INSERT INTO msfo.statements (id_company, id_year, id_showing, value) VALUES (3,7,9,11194);</v>
      </c>
    </row>
    <row r="330" spans="1:12">
      <c r="A330" s="28" t="s">
        <v>37</v>
      </c>
      <c r="B330" s="28" t="s">
        <v>0</v>
      </c>
      <c r="C330" s="28">
        <v>2010</v>
      </c>
      <c r="D330" s="28" t="s">
        <v>4</v>
      </c>
      <c r="E330" s="28" t="s">
        <v>13</v>
      </c>
      <c r="F330" s="28">
        <v>2598</v>
      </c>
      <c r="H330">
        <f>VLOOKUP(A330&amp;B330,ticker_sector[],2,FALSE)</f>
        <v>3</v>
      </c>
      <c r="I330">
        <f>VLOOKUP(C330,year[],2,FALSE)</f>
        <v>0</v>
      </c>
      <c r="J330">
        <f>VLOOKUP(E330,showing[],2,FALSE)</f>
        <v>10</v>
      </c>
      <c r="K330">
        <f>Сектора[[#This Row],[Значение]]</f>
        <v>2598</v>
      </c>
      <c r="L330" t="str">
        <f t="shared" si="5"/>
        <v>INSERT INTO msfo.statements (id_company, id_year, id_showing, value) VALUES (3,0,10,2598);</v>
      </c>
    </row>
    <row r="331" spans="1:12">
      <c r="A331" s="28" t="s">
        <v>37</v>
      </c>
      <c r="B331" s="28" t="s">
        <v>0</v>
      </c>
      <c r="C331" s="28">
        <v>2011</v>
      </c>
      <c r="D331" s="28" t="s">
        <v>4</v>
      </c>
      <c r="E331" s="28" t="s">
        <v>13</v>
      </c>
      <c r="F331" s="28">
        <v>2598</v>
      </c>
      <c r="H331">
        <f>VLOOKUP(A331&amp;B331,ticker_sector[],2,FALSE)</f>
        <v>3</v>
      </c>
      <c r="I331">
        <f>VLOOKUP(C331,year[],2,FALSE)</f>
        <v>1</v>
      </c>
      <c r="J331">
        <f>VLOOKUP(E331,showing[],2,FALSE)</f>
        <v>10</v>
      </c>
      <c r="K331">
        <f>Сектора[[#This Row],[Значение]]</f>
        <v>2598</v>
      </c>
      <c r="L331" t="str">
        <f t="shared" si="5"/>
        <v>INSERT INTO msfo.statements (id_company, id_year, id_showing, value) VALUES (3,1,10,2598);</v>
      </c>
    </row>
    <row r="332" spans="1:12">
      <c r="A332" s="28" t="s">
        <v>37</v>
      </c>
      <c r="B332" s="28" t="s">
        <v>0</v>
      </c>
      <c r="C332" s="28">
        <v>2012</v>
      </c>
      <c r="D332" s="28" t="s">
        <v>4</v>
      </c>
      <c r="E332" s="28" t="s">
        <v>13</v>
      </c>
      <c r="F332" s="28">
        <v>2188</v>
      </c>
      <c r="H332">
        <f>VLOOKUP(A332&amp;B332,ticker_sector[],2,FALSE)</f>
        <v>3</v>
      </c>
      <c r="I332">
        <f>VLOOKUP(C332,year[],2,FALSE)</f>
        <v>2</v>
      </c>
      <c r="J332">
        <f>VLOOKUP(E332,showing[],2,FALSE)</f>
        <v>10</v>
      </c>
      <c r="K332">
        <f>Сектора[[#This Row],[Значение]]</f>
        <v>2188</v>
      </c>
      <c r="L332" t="str">
        <f t="shared" si="5"/>
        <v>INSERT INTO msfo.statements (id_company, id_year, id_showing, value) VALUES (3,2,10,2188);</v>
      </c>
    </row>
    <row r="333" spans="1:12">
      <c r="A333" s="28" t="s">
        <v>37</v>
      </c>
      <c r="B333" s="28" t="s">
        <v>0</v>
      </c>
      <c r="C333" s="28">
        <v>2013</v>
      </c>
      <c r="D333" s="28" t="s">
        <v>4</v>
      </c>
      <c r="E333" s="28" t="s">
        <v>13</v>
      </c>
      <c r="F333" s="28">
        <v>1184</v>
      </c>
      <c r="H333">
        <f>VLOOKUP(A333&amp;B333,ticker_sector[],2,FALSE)</f>
        <v>3</v>
      </c>
      <c r="I333">
        <f>VLOOKUP(C333,year[],2,FALSE)</f>
        <v>3</v>
      </c>
      <c r="J333">
        <f>VLOOKUP(E333,showing[],2,FALSE)</f>
        <v>10</v>
      </c>
      <c r="K333">
        <f>Сектора[[#This Row],[Значение]]</f>
        <v>1184</v>
      </c>
      <c r="L333" t="str">
        <f t="shared" si="5"/>
        <v>INSERT INTO msfo.statements (id_company, id_year, id_showing, value) VALUES (3,3,10,1184);</v>
      </c>
    </row>
    <row r="334" spans="1:12">
      <c r="A334" s="28" t="s">
        <v>37</v>
      </c>
      <c r="B334" s="28" t="s">
        <v>0</v>
      </c>
      <c r="C334" s="28">
        <v>2014</v>
      </c>
      <c r="D334" s="28" t="s">
        <v>4</v>
      </c>
      <c r="E334" s="28" t="s">
        <v>13</v>
      </c>
      <c r="F334" s="28">
        <v>2808</v>
      </c>
      <c r="H334">
        <f>VLOOKUP(A334&amp;B334,ticker_sector[],2,FALSE)</f>
        <v>3</v>
      </c>
      <c r="I334">
        <f>VLOOKUP(C334,year[],2,FALSE)</f>
        <v>4</v>
      </c>
      <c r="J334">
        <f>VLOOKUP(E334,showing[],2,FALSE)</f>
        <v>10</v>
      </c>
      <c r="K334">
        <f>Сектора[[#This Row],[Значение]]</f>
        <v>2808</v>
      </c>
      <c r="L334" t="str">
        <f t="shared" si="5"/>
        <v>INSERT INTO msfo.statements (id_company, id_year, id_showing, value) VALUES (3,4,10,2808);</v>
      </c>
    </row>
    <row r="335" spans="1:12">
      <c r="A335" s="28" t="s">
        <v>37</v>
      </c>
      <c r="B335" s="28" t="s">
        <v>0</v>
      </c>
      <c r="C335" s="28">
        <v>2015</v>
      </c>
      <c r="D335" s="28" t="s">
        <v>4</v>
      </c>
      <c r="E335" s="28" t="s">
        <v>13</v>
      </c>
      <c r="F335" s="28">
        <v>3572</v>
      </c>
      <c r="H335">
        <f>VLOOKUP(A335&amp;B335,ticker_sector[],2,FALSE)</f>
        <v>3</v>
      </c>
      <c r="I335">
        <f>VLOOKUP(C335,year[],2,FALSE)</f>
        <v>5</v>
      </c>
      <c r="J335">
        <f>VLOOKUP(E335,showing[],2,FALSE)</f>
        <v>10</v>
      </c>
      <c r="K335">
        <f>Сектора[[#This Row],[Значение]]</f>
        <v>3572</v>
      </c>
      <c r="L335" t="str">
        <f t="shared" si="5"/>
        <v>INSERT INTO msfo.statements (id_company, id_year, id_showing, value) VALUES (3,5,10,3572);</v>
      </c>
    </row>
    <row r="336" spans="1:12">
      <c r="A336" s="28" t="s">
        <v>37</v>
      </c>
      <c r="B336" s="28" t="s">
        <v>0</v>
      </c>
      <c r="C336" s="28">
        <v>2016</v>
      </c>
      <c r="D336" s="28" t="s">
        <v>4</v>
      </c>
      <c r="E336" s="28" t="s">
        <v>13</v>
      </c>
      <c r="F336" s="28">
        <v>1567</v>
      </c>
      <c r="H336">
        <f>VLOOKUP(A336&amp;B336,ticker_sector[],2,FALSE)</f>
        <v>3</v>
      </c>
      <c r="I336">
        <f>VLOOKUP(C336,year[],2,FALSE)</f>
        <v>6</v>
      </c>
      <c r="J336">
        <f>VLOOKUP(E336,showing[],2,FALSE)</f>
        <v>10</v>
      </c>
      <c r="K336">
        <f>Сектора[[#This Row],[Значение]]</f>
        <v>1567</v>
      </c>
      <c r="L336" t="str">
        <f t="shared" si="5"/>
        <v>INSERT INTO msfo.statements (id_company, id_year, id_showing, value) VALUES (3,6,10,1567);</v>
      </c>
    </row>
    <row r="337" spans="1:12">
      <c r="A337" s="28" t="s">
        <v>37</v>
      </c>
      <c r="B337" s="28" t="s">
        <v>0</v>
      </c>
      <c r="C337" s="28">
        <v>2017</v>
      </c>
      <c r="D337" s="28" t="s">
        <v>4</v>
      </c>
      <c r="E337" s="28" t="s">
        <v>13</v>
      </c>
      <c r="F337" s="28">
        <v>-916</v>
      </c>
      <c r="H337">
        <f>VLOOKUP(A337&amp;B337,ticker_sector[],2,FALSE)</f>
        <v>3</v>
      </c>
      <c r="I337">
        <f>VLOOKUP(C337,year[],2,FALSE)</f>
        <v>7</v>
      </c>
      <c r="J337">
        <f>VLOOKUP(E337,showing[],2,FALSE)</f>
        <v>10</v>
      </c>
      <c r="K337">
        <f>Сектора[[#This Row],[Значение]]</f>
        <v>-916</v>
      </c>
      <c r="L337" t="str">
        <f t="shared" si="5"/>
        <v>INSERT INTO msfo.statements (id_company, id_year, id_showing, value) VALUES (3,7,10,-916);</v>
      </c>
    </row>
    <row r="338" spans="1:12">
      <c r="A338" s="28" t="s">
        <v>37</v>
      </c>
      <c r="B338" s="28" t="s">
        <v>0</v>
      </c>
      <c r="C338" s="28">
        <v>2010</v>
      </c>
      <c r="D338" s="28" t="s">
        <v>4</v>
      </c>
      <c r="E338" s="28" t="s">
        <v>14</v>
      </c>
      <c r="F338" s="28">
        <v>352.95584524672785</v>
      </c>
      <c r="H338">
        <f>VLOOKUP(A338&amp;B338,ticker_sector[],2,FALSE)</f>
        <v>3</v>
      </c>
      <c r="I338">
        <f>VLOOKUP(C338,year[],2,FALSE)</f>
        <v>0</v>
      </c>
      <c r="J338">
        <f>VLOOKUP(E338,showing[],2,FALSE)</f>
        <v>11</v>
      </c>
      <c r="K338">
        <f>Сектора[[#This Row],[Значение]]</f>
        <v>352.95584524672785</v>
      </c>
      <c r="L338" t="str">
        <f t="shared" si="5"/>
        <v>INSERT INTO msfo.statements (id_company, id_year, id_showing, value) VALUES (3,0,11,352,955845246728);</v>
      </c>
    </row>
    <row r="339" spans="1:12">
      <c r="A339" s="28" t="s">
        <v>37</v>
      </c>
      <c r="B339" s="28" t="s">
        <v>0</v>
      </c>
      <c r="C339" s="28">
        <v>2011</v>
      </c>
      <c r="D339" s="28" t="s">
        <v>4</v>
      </c>
      <c r="E339" s="28" t="s">
        <v>14</v>
      </c>
      <c r="F339" s="28">
        <v>334.10878957389247</v>
      </c>
      <c r="H339">
        <f>VLOOKUP(A339&amp;B339,ticker_sector[],2,FALSE)</f>
        <v>3</v>
      </c>
      <c r="I339">
        <f>VLOOKUP(C339,year[],2,FALSE)</f>
        <v>1</v>
      </c>
      <c r="J339">
        <f>VLOOKUP(E339,showing[],2,FALSE)</f>
        <v>11</v>
      </c>
      <c r="K339">
        <f>Сектора[[#This Row],[Значение]]</f>
        <v>334.10878957389247</v>
      </c>
      <c r="L339" t="str">
        <f t="shared" si="5"/>
        <v>INSERT INTO msfo.statements (id_company, id_year, id_showing, value) VALUES (3,1,11,334,108789573892);</v>
      </c>
    </row>
    <row r="340" spans="1:12">
      <c r="A340" s="28" t="s">
        <v>37</v>
      </c>
      <c r="B340" s="28" t="s">
        <v>0</v>
      </c>
      <c r="C340" s="28">
        <v>2012</v>
      </c>
      <c r="D340" s="28" t="s">
        <v>4</v>
      </c>
      <c r="E340" s="28" t="s">
        <v>14</v>
      </c>
      <c r="F340" s="28">
        <v>384.42417038985673</v>
      </c>
      <c r="H340">
        <f>VLOOKUP(A340&amp;B340,ticker_sector[],2,FALSE)</f>
        <v>3</v>
      </c>
      <c r="I340">
        <f>VLOOKUP(C340,year[],2,FALSE)</f>
        <v>2</v>
      </c>
      <c r="J340">
        <f>VLOOKUP(E340,showing[],2,FALSE)</f>
        <v>11</v>
      </c>
      <c r="K340">
        <f>Сектора[[#This Row],[Значение]]</f>
        <v>384.42417038985673</v>
      </c>
      <c r="L340" t="str">
        <f t="shared" si="5"/>
        <v>INSERT INTO msfo.statements (id_company, id_year, id_showing, value) VALUES (3,2,11,384,424170389857);</v>
      </c>
    </row>
    <row r="341" spans="1:12">
      <c r="A341" s="28" t="s">
        <v>37</v>
      </c>
      <c r="B341" s="28" t="s">
        <v>0</v>
      </c>
      <c r="C341" s="28">
        <v>2013</v>
      </c>
      <c r="D341" s="28" t="s">
        <v>4</v>
      </c>
      <c r="E341" s="28" t="s">
        <v>14</v>
      </c>
      <c r="F341" s="28">
        <v>281.79729415934395</v>
      </c>
      <c r="H341">
        <f>VLOOKUP(A341&amp;B341,ticker_sector[],2,FALSE)</f>
        <v>3</v>
      </c>
      <c r="I341">
        <f>VLOOKUP(C341,year[],2,FALSE)</f>
        <v>3</v>
      </c>
      <c r="J341">
        <f>VLOOKUP(E341,showing[],2,FALSE)</f>
        <v>11</v>
      </c>
      <c r="K341">
        <f>Сектора[[#This Row],[Значение]]</f>
        <v>281.79729415934395</v>
      </c>
      <c r="L341" t="str">
        <f t="shared" si="5"/>
        <v>INSERT INTO msfo.statements (id_company, id_year, id_showing, value) VALUES (3,3,11,281,797294159344);</v>
      </c>
    </row>
    <row r="342" spans="1:12">
      <c r="A342" s="28" t="s">
        <v>37</v>
      </c>
      <c r="B342" s="28" t="s">
        <v>0</v>
      </c>
      <c r="C342" s="28">
        <v>2014</v>
      </c>
      <c r="D342" s="28" t="s">
        <v>4</v>
      </c>
      <c r="E342" s="28" t="s">
        <v>14</v>
      </c>
      <c r="F342" s="28">
        <v>166.55290587716678</v>
      </c>
      <c r="H342">
        <f>VLOOKUP(A342&amp;B342,ticker_sector[],2,FALSE)</f>
        <v>3</v>
      </c>
      <c r="I342">
        <f>VLOOKUP(C342,year[],2,FALSE)</f>
        <v>4</v>
      </c>
      <c r="J342">
        <f>VLOOKUP(E342,showing[],2,FALSE)</f>
        <v>11</v>
      </c>
      <c r="K342">
        <f>Сектора[[#This Row],[Значение]]</f>
        <v>166.55290587716678</v>
      </c>
      <c r="L342" t="str">
        <f t="shared" si="5"/>
        <v>INSERT INTO msfo.statements (id_company, id_year, id_showing, value) VALUES (3,4,11,166,552905877167);</v>
      </c>
    </row>
    <row r="343" spans="1:12">
      <c r="A343" s="28" t="s">
        <v>37</v>
      </c>
      <c r="B343" s="28" t="s">
        <v>0</v>
      </c>
      <c r="C343" s="28">
        <v>2015</v>
      </c>
      <c r="D343" s="28" t="s">
        <v>4</v>
      </c>
      <c r="E343" s="28" t="s">
        <v>14</v>
      </c>
      <c r="F343" s="28">
        <v>165.64973580836056</v>
      </c>
      <c r="H343">
        <f>VLOOKUP(A343&amp;B343,ticker_sector[],2,FALSE)</f>
        <v>3</v>
      </c>
      <c r="I343">
        <f>VLOOKUP(C343,year[],2,FALSE)</f>
        <v>5</v>
      </c>
      <c r="J343">
        <f>VLOOKUP(E343,showing[],2,FALSE)</f>
        <v>11</v>
      </c>
      <c r="K343">
        <f>Сектора[[#This Row],[Значение]]</f>
        <v>165.64973580836056</v>
      </c>
      <c r="L343" t="str">
        <f t="shared" si="5"/>
        <v>INSERT INTO msfo.statements (id_company, id_year, id_showing, value) VALUES (3,5,11,165,649735808361);</v>
      </c>
    </row>
    <row r="344" spans="1:12">
      <c r="A344" s="28" t="s">
        <v>37</v>
      </c>
      <c r="B344" s="28" t="s">
        <v>0</v>
      </c>
      <c r="C344" s="28">
        <v>2016</v>
      </c>
      <c r="D344" s="28" t="s">
        <v>4</v>
      </c>
      <c r="E344" s="28" t="s">
        <v>14</v>
      </c>
      <c r="F344" s="28">
        <v>233.55957854753541</v>
      </c>
      <c r="H344">
        <f>VLOOKUP(A344&amp;B344,ticker_sector[],2,FALSE)</f>
        <v>3</v>
      </c>
      <c r="I344">
        <f>VLOOKUP(C344,year[],2,FALSE)</f>
        <v>6</v>
      </c>
      <c r="J344">
        <f>VLOOKUP(E344,showing[],2,FALSE)</f>
        <v>11</v>
      </c>
      <c r="K344">
        <f>Сектора[[#This Row],[Значение]]</f>
        <v>233.55957854753541</v>
      </c>
      <c r="L344" t="str">
        <f t="shared" si="5"/>
        <v>INSERT INTO msfo.statements (id_company, id_year, id_showing, value) VALUES (3,6,11,233,559578547535);</v>
      </c>
    </row>
    <row r="345" spans="1:12">
      <c r="A345" s="28" t="s">
        <v>37</v>
      </c>
      <c r="B345" s="28" t="s">
        <v>0</v>
      </c>
      <c r="C345" s="28">
        <v>2017</v>
      </c>
      <c r="D345" s="28" t="s">
        <v>4</v>
      </c>
      <c r="E345" s="28" t="s">
        <v>14</v>
      </c>
      <c r="F345" s="28">
        <v>194.33960298748963</v>
      </c>
      <c r="H345">
        <f>VLOOKUP(A345&amp;B345,ticker_sector[],2,FALSE)</f>
        <v>3</v>
      </c>
      <c r="I345">
        <f>VLOOKUP(C345,year[],2,FALSE)</f>
        <v>7</v>
      </c>
      <c r="J345">
        <f>VLOOKUP(E345,showing[],2,FALSE)</f>
        <v>11</v>
      </c>
      <c r="K345">
        <f>Сектора[[#This Row],[Значение]]</f>
        <v>194.33960298748963</v>
      </c>
      <c r="L345" t="str">
        <f t="shared" si="5"/>
        <v>INSERT INTO msfo.statements (id_company, id_year, id_showing, value) VALUES (3,7,11,194,33960298749);</v>
      </c>
    </row>
    <row r="346" spans="1:12">
      <c r="A346" s="28" t="s">
        <v>37</v>
      </c>
      <c r="B346" s="28" t="s">
        <v>0</v>
      </c>
      <c r="C346" s="28">
        <v>2010</v>
      </c>
      <c r="D346" s="28" t="s">
        <v>4</v>
      </c>
      <c r="E346" s="28" t="s">
        <v>15</v>
      </c>
      <c r="F346" s="28">
        <v>85.244890392395547</v>
      </c>
      <c r="H346">
        <f>VLOOKUP(A346&amp;B346,ticker_sector[],2,FALSE)</f>
        <v>3</v>
      </c>
      <c r="I346">
        <f>VLOOKUP(C346,year[],2,FALSE)</f>
        <v>0</v>
      </c>
      <c r="J346">
        <f>VLOOKUP(E346,showing[],2,FALSE)</f>
        <v>12</v>
      </c>
      <c r="K346">
        <f>Сектора[[#This Row],[Значение]]</f>
        <v>85.244890392395547</v>
      </c>
      <c r="L346" t="str">
        <f t="shared" si="5"/>
        <v>INSERT INTO msfo.statements (id_company, id_year, id_showing, value) VALUES (3,0,12,85,2448903923955);</v>
      </c>
    </row>
    <row r="347" spans="1:12">
      <c r="A347" s="28" t="s">
        <v>37</v>
      </c>
      <c r="B347" s="28" t="s">
        <v>0</v>
      </c>
      <c r="C347" s="28">
        <v>2011</v>
      </c>
      <c r="D347" s="28" t="s">
        <v>4</v>
      </c>
      <c r="E347" s="28" t="s">
        <v>15</v>
      </c>
      <c r="F347" s="28">
        <v>80.693003189827337</v>
      </c>
      <c r="H347">
        <f>VLOOKUP(A347&amp;B347,ticker_sector[],2,FALSE)</f>
        <v>3</v>
      </c>
      <c r="I347">
        <f>VLOOKUP(C347,year[],2,FALSE)</f>
        <v>1</v>
      </c>
      <c r="J347">
        <f>VLOOKUP(E347,showing[],2,FALSE)</f>
        <v>12</v>
      </c>
      <c r="K347">
        <f>Сектора[[#This Row],[Значение]]</f>
        <v>80.693003189827337</v>
      </c>
      <c r="L347" t="str">
        <f t="shared" si="5"/>
        <v>INSERT INTO msfo.statements (id_company, id_year, id_showing, value) VALUES (3,1,12,80,6930031898273);</v>
      </c>
    </row>
    <row r="348" spans="1:12">
      <c r="A348" s="28" t="s">
        <v>37</v>
      </c>
      <c r="B348" s="28" t="s">
        <v>0</v>
      </c>
      <c r="C348" s="28">
        <v>2012</v>
      </c>
      <c r="D348" s="28" t="s">
        <v>4</v>
      </c>
      <c r="E348" s="28" t="s">
        <v>15</v>
      </c>
      <c r="F348" s="28">
        <v>72.038376568431516</v>
      </c>
      <c r="H348">
        <f>VLOOKUP(A348&amp;B348,ticker_sector[],2,FALSE)</f>
        <v>3</v>
      </c>
      <c r="I348">
        <f>VLOOKUP(C348,year[],2,FALSE)</f>
        <v>2</v>
      </c>
      <c r="J348">
        <f>VLOOKUP(E348,showing[],2,FALSE)</f>
        <v>12</v>
      </c>
      <c r="K348">
        <f>Сектора[[#This Row],[Значение]]</f>
        <v>72.038376568431516</v>
      </c>
      <c r="L348" t="str">
        <f t="shared" si="5"/>
        <v>INSERT INTO msfo.statements (id_company, id_year, id_showing, value) VALUES (3,2,12,72,0383765684315);</v>
      </c>
    </row>
    <row r="349" spans="1:12">
      <c r="A349" s="28" t="s">
        <v>37</v>
      </c>
      <c r="B349" s="28" t="s">
        <v>0</v>
      </c>
      <c r="C349" s="28">
        <v>2013</v>
      </c>
      <c r="D349" s="28" t="s">
        <v>4</v>
      </c>
      <c r="E349" s="28" t="s">
        <v>15</v>
      </c>
      <c r="F349" s="28">
        <v>36.175647434095552</v>
      </c>
      <c r="H349">
        <f>VLOOKUP(A349&amp;B349,ticker_sector[],2,FALSE)</f>
        <v>3</v>
      </c>
      <c r="I349">
        <f>VLOOKUP(C349,year[],2,FALSE)</f>
        <v>3</v>
      </c>
      <c r="J349">
        <f>VLOOKUP(E349,showing[],2,FALSE)</f>
        <v>12</v>
      </c>
      <c r="K349">
        <f>Сектора[[#This Row],[Значение]]</f>
        <v>36.175647434095552</v>
      </c>
      <c r="L349" t="str">
        <f t="shared" si="5"/>
        <v>INSERT INTO msfo.statements (id_company, id_year, id_showing, value) VALUES (3,3,12,36,1756474340956);</v>
      </c>
    </row>
    <row r="350" spans="1:12">
      <c r="A350" s="28" t="s">
        <v>37</v>
      </c>
      <c r="B350" s="28" t="s">
        <v>0</v>
      </c>
      <c r="C350" s="28">
        <v>2014</v>
      </c>
      <c r="D350" s="28" t="s">
        <v>4</v>
      </c>
      <c r="E350" s="28" t="s">
        <v>15</v>
      </c>
      <c r="F350" s="28">
        <v>49.912546393071963</v>
      </c>
      <c r="H350">
        <f>VLOOKUP(A350&amp;B350,ticker_sector[],2,FALSE)</f>
        <v>3</v>
      </c>
      <c r="I350">
        <f>VLOOKUP(C350,year[],2,FALSE)</f>
        <v>4</v>
      </c>
      <c r="J350">
        <f>VLOOKUP(E350,showing[],2,FALSE)</f>
        <v>12</v>
      </c>
      <c r="K350">
        <f>Сектора[[#This Row],[Значение]]</f>
        <v>49.912546393071963</v>
      </c>
      <c r="L350" t="str">
        <f t="shared" si="5"/>
        <v>INSERT INTO msfo.statements (id_company, id_year, id_showing, value) VALUES (3,4,12,49,912546393072);</v>
      </c>
    </row>
    <row r="351" spans="1:12">
      <c r="A351" s="28" t="s">
        <v>37</v>
      </c>
      <c r="B351" s="28" t="s">
        <v>0</v>
      </c>
      <c r="C351" s="28">
        <v>2015</v>
      </c>
      <c r="D351" s="28" t="s">
        <v>4</v>
      </c>
      <c r="E351" s="28" t="s">
        <v>15</v>
      </c>
      <c r="F351" s="28">
        <v>49.010258950340756</v>
      </c>
      <c r="H351">
        <f>VLOOKUP(A351&amp;B351,ticker_sector[],2,FALSE)</f>
        <v>3</v>
      </c>
      <c r="I351">
        <f>VLOOKUP(C351,year[],2,FALSE)</f>
        <v>5</v>
      </c>
      <c r="J351">
        <f>VLOOKUP(E351,showing[],2,FALSE)</f>
        <v>12</v>
      </c>
      <c r="K351">
        <f>Сектора[[#This Row],[Значение]]</f>
        <v>49.010258950340756</v>
      </c>
      <c r="L351" t="str">
        <f t="shared" si="5"/>
        <v>INSERT INTO msfo.statements (id_company, id_year, id_showing, value) VALUES (3,5,12,49,0102589503408);</v>
      </c>
    </row>
    <row r="352" spans="1:12">
      <c r="A352" s="28" t="s">
        <v>37</v>
      </c>
      <c r="B352" s="28" t="s">
        <v>0</v>
      </c>
      <c r="C352" s="28">
        <v>2016</v>
      </c>
      <c r="D352" s="28" t="s">
        <v>4</v>
      </c>
      <c r="E352" s="28" t="s">
        <v>15</v>
      </c>
      <c r="F352" s="28">
        <v>25.833829292298155</v>
      </c>
      <c r="H352">
        <f>VLOOKUP(A352&amp;B352,ticker_sector[],2,FALSE)</f>
        <v>3</v>
      </c>
      <c r="I352">
        <f>VLOOKUP(C352,year[],2,FALSE)</f>
        <v>6</v>
      </c>
      <c r="J352">
        <f>VLOOKUP(E352,showing[],2,FALSE)</f>
        <v>12</v>
      </c>
      <c r="K352">
        <f>Сектора[[#This Row],[Значение]]</f>
        <v>25.833829292298155</v>
      </c>
      <c r="L352" t="str">
        <f t="shared" si="5"/>
        <v>INSERT INTO msfo.statements (id_company, id_year, id_showing, value) VALUES (3,6,12,25,8338292922982);</v>
      </c>
    </row>
    <row r="353" spans="1:12">
      <c r="A353" s="28" t="s">
        <v>37</v>
      </c>
      <c r="B353" s="28" t="s">
        <v>0</v>
      </c>
      <c r="C353" s="28">
        <v>2017</v>
      </c>
      <c r="D353" s="28" t="s">
        <v>4</v>
      </c>
      <c r="E353" s="28" t="s">
        <v>15</v>
      </c>
      <c r="F353" s="28">
        <v>-15.90272255999111</v>
      </c>
      <c r="H353">
        <f>VLOOKUP(A353&amp;B353,ticker_sector[],2,FALSE)</f>
        <v>3</v>
      </c>
      <c r="I353">
        <f>VLOOKUP(C353,year[],2,FALSE)</f>
        <v>7</v>
      </c>
      <c r="J353">
        <f>VLOOKUP(E353,showing[],2,FALSE)</f>
        <v>12</v>
      </c>
      <c r="K353">
        <f>Сектора[[#This Row],[Значение]]</f>
        <v>-15.90272255999111</v>
      </c>
      <c r="L353" t="str">
        <f t="shared" si="5"/>
        <v>INSERT INTO msfo.statements (id_company, id_year, id_showing, value) VALUES (3,7,12,-15,9027225599911);</v>
      </c>
    </row>
    <row r="354" spans="1:12">
      <c r="A354" s="28" t="s">
        <v>37</v>
      </c>
      <c r="B354" s="28" t="s">
        <v>0</v>
      </c>
      <c r="C354" s="28">
        <v>2010</v>
      </c>
      <c r="D354" s="28" t="s">
        <v>7</v>
      </c>
      <c r="E354" s="28" t="s">
        <v>16</v>
      </c>
      <c r="F354" s="28">
        <v>4087</v>
      </c>
      <c r="H354">
        <f>VLOOKUP(A354&amp;B354,ticker_sector[],2,FALSE)</f>
        <v>3</v>
      </c>
      <c r="I354">
        <f>VLOOKUP(C354,year[],2,FALSE)</f>
        <v>0</v>
      </c>
      <c r="J354">
        <f>VLOOKUP(E354,showing[],2,FALSE)</f>
        <v>13</v>
      </c>
      <c r="K354">
        <f>Сектора[[#This Row],[Значение]]</f>
        <v>4087</v>
      </c>
      <c r="L354" t="str">
        <f t="shared" si="5"/>
        <v>INSERT INTO msfo.statements (id_company, id_year, id_showing, value) VALUES (3,0,13,4087);</v>
      </c>
    </row>
    <row r="355" spans="1:12">
      <c r="A355" s="28" t="s">
        <v>37</v>
      </c>
      <c r="B355" s="28" t="s">
        <v>0</v>
      </c>
      <c r="C355" s="28">
        <v>2011</v>
      </c>
      <c r="D355" s="28" t="s">
        <v>7</v>
      </c>
      <c r="E355" s="28" t="s">
        <v>16</v>
      </c>
      <c r="F355" s="28">
        <v>4087</v>
      </c>
      <c r="H355">
        <f>VLOOKUP(A355&amp;B355,ticker_sector[],2,FALSE)</f>
        <v>3</v>
      </c>
      <c r="I355">
        <f>VLOOKUP(C355,year[],2,FALSE)</f>
        <v>1</v>
      </c>
      <c r="J355">
        <f>VLOOKUP(E355,showing[],2,FALSE)</f>
        <v>13</v>
      </c>
      <c r="K355">
        <f>Сектора[[#This Row],[Значение]]</f>
        <v>4087</v>
      </c>
      <c r="L355" t="str">
        <f t="shared" si="5"/>
        <v>INSERT INTO msfo.statements (id_company, id_year, id_showing, value) VALUES (3,1,13,4087);</v>
      </c>
    </row>
    <row r="356" spans="1:12">
      <c r="A356" s="28" t="s">
        <v>37</v>
      </c>
      <c r="B356" s="28" t="s">
        <v>0</v>
      </c>
      <c r="C356" s="28">
        <v>2012</v>
      </c>
      <c r="D356" s="28" t="s">
        <v>7</v>
      </c>
      <c r="E356" s="28" t="s">
        <v>16</v>
      </c>
      <c r="F356" s="28">
        <v>3675</v>
      </c>
      <c r="H356">
        <f>VLOOKUP(A356&amp;B356,ticker_sector[],2,FALSE)</f>
        <v>3</v>
      </c>
      <c r="I356">
        <f>VLOOKUP(C356,year[],2,FALSE)</f>
        <v>2</v>
      </c>
      <c r="J356">
        <f>VLOOKUP(E356,showing[],2,FALSE)</f>
        <v>13</v>
      </c>
      <c r="K356">
        <f>Сектора[[#This Row],[Значение]]</f>
        <v>3675</v>
      </c>
      <c r="L356" t="str">
        <f t="shared" si="5"/>
        <v>INSERT INTO msfo.statements (id_company, id_year, id_showing, value) VALUES (3,2,13,3675);</v>
      </c>
    </row>
    <row r="357" spans="1:12">
      <c r="A357" s="28" t="s">
        <v>37</v>
      </c>
      <c r="B357" s="28" t="s">
        <v>0</v>
      </c>
      <c r="C357" s="28">
        <v>2013</v>
      </c>
      <c r="D357" s="28" t="s">
        <v>7</v>
      </c>
      <c r="E357" s="28" t="s">
        <v>16</v>
      </c>
      <c r="F357" s="28">
        <v>2342</v>
      </c>
      <c r="H357">
        <f>VLOOKUP(A357&amp;B357,ticker_sector[],2,FALSE)</f>
        <v>3</v>
      </c>
      <c r="I357">
        <f>VLOOKUP(C357,year[],2,FALSE)</f>
        <v>3</v>
      </c>
      <c r="J357">
        <f>VLOOKUP(E357,showing[],2,FALSE)</f>
        <v>13</v>
      </c>
      <c r="K357">
        <f>Сектора[[#This Row],[Значение]]</f>
        <v>2342</v>
      </c>
      <c r="L357" t="str">
        <f t="shared" si="5"/>
        <v>INSERT INTO msfo.statements (id_company, id_year, id_showing, value) VALUES (3,3,13,2342);</v>
      </c>
    </row>
    <row r="358" spans="1:12">
      <c r="A358" s="28" t="s">
        <v>37</v>
      </c>
      <c r="B358" s="28" t="s">
        <v>0</v>
      </c>
      <c r="C358" s="28">
        <v>2014</v>
      </c>
      <c r="D358" s="28" t="s">
        <v>7</v>
      </c>
      <c r="E358" s="28" t="s">
        <v>16</v>
      </c>
      <c r="F358" s="28">
        <v>2181</v>
      </c>
      <c r="H358">
        <f>VLOOKUP(A358&amp;B358,ticker_sector[],2,FALSE)</f>
        <v>3</v>
      </c>
      <c r="I358">
        <f>VLOOKUP(C358,year[],2,FALSE)</f>
        <v>4</v>
      </c>
      <c r="J358">
        <f>VLOOKUP(E358,showing[],2,FALSE)</f>
        <v>13</v>
      </c>
      <c r="K358">
        <f>Сектора[[#This Row],[Значение]]</f>
        <v>2181</v>
      </c>
      <c r="L358" t="str">
        <f t="shared" si="5"/>
        <v>INSERT INTO msfo.statements (id_company, id_year, id_showing, value) VALUES (3,4,13,2181);</v>
      </c>
    </row>
    <row r="359" spans="1:12">
      <c r="A359" s="28" t="s">
        <v>37</v>
      </c>
      <c r="B359" s="28" t="s">
        <v>0</v>
      </c>
      <c r="C359" s="28">
        <v>2015</v>
      </c>
      <c r="D359" s="28" t="s">
        <v>7</v>
      </c>
      <c r="E359" s="28" t="s">
        <v>16</v>
      </c>
      <c r="F359" s="28">
        <v>3819</v>
      </c>
      <c r="H359">
        <f>VLOOKUP(A359&amp;B359,ticker_sector[],2,FALSE)</f>
        <v>3</v>
      </c>
      <c r="I359">
        <f>VLOOKUP(C359,year[],2,FALSE)</f>
        <v>5</v>
      </c>
      <c r="J359">
        <f>VLOOKUP(E359,showing[],2,FALSE)</f>
        <v>13</v>
      </c>
      <c r="K359">
        <f>Сектора[[#This Row],[Значение]]</f>
        <v>3819</v>
      </c>
      <c r="L359" t="str">
        <f t="shared" si="5"/>
        <v>INSERT INTO msfo.statements (id_company, id_year, id_showing, value) VALUES (3,5,13,3819);</v>
      </c>
    </row>
    <row r="360" spans="1:12">
      <c r="A360" s="28" t="s">
        <v>37</v>
      </c>
      <c r="B360" s="28" t="s">
        <v>0</v>
      </c>
      <c r="C360" s="28">
        <v>2016</v>
      </c>
      <c r="D360" s="28" t="s">
        <v>7</v>
      </c>
      <c r="E360" s="28" t="s">
        <v>16</v>
      </c>
      <c r="F360" s="28">
        <v>4628</v>
      </c>
      <c r="H360">
        <f>VLOOKUP(A360&amp;B360,ticker_sector[],2,FALSE)</f>
        <v>3</v>
      </c>
      <c r="I360">
        <f>VLOOKUP(C360,year[],2,FALSE)</f>
        <v>6</v>
      </c>
      <c r="J360">
        <f>VLOOKUP(E360,showing[],2,FALSE)</f>
        <v>13</v>
      </c>
      <c r="K360">
        <f>Сектора[[#This Row],[Значение]]</f>
        <v>4628</v>
      </c>
      <c r="L360" t="str">
        <f t="shared" si="5"/>
        <v>INSERT INTO msfo.statements (id_company, id_year, id_showing, value) VALUES (3,6,13,4628);</v>
      </c>
    </row>
    <row r="361" spans="1:12">
      <c r="A361" s="28" t="s">
        <v>37</v>
      </c>
      <c r="B361" s="28" t="s">
        <v>0</v>
      </c>
      <c r="C361" s="28">
        <v>2017</v>
      </c>
      <c r="D361" s="28" t="s">
        <v>7</v>
      </c>
      <c r="E361" s="28" t="s">
        <v>16</v>
      </c>
      <c r="F361" s="28">
        <v>1224</v>
      </c>
      <c r="H361">
        <f>VLOOKUP(A361&amp;B361,ticker_sector[],2,FALSE)</f>
        <v>3</v>
      </c>
      <c r="I361">
        <f>VLOOKUP(C361,year[],2,FALSE)</f>
        <v>7</v>
      </c>
      <c r="J361">
        <f>VLOOKUP(E361,showing[],2,FALSE)</f>
        <v>13</v>
      </c>
      <c r="K361">
        <f>Сектора[[#This Row],[Значение]]</f>
        <v>1224</v>
      </c>
      <c r="L361" t="str">
        <f t="shared" si="5"/>
        <v>INSERT INTO msfo.statements (id_company, id_year, id_showing, value) VALUES (3,7,13,1224);</v>
      </c>
    </row>
    <row r="362" spans="1:12">
      <c r="A362" s="28" t="s">
        <v>37</v>
      </c>
      <c r="B362" s="28" t="s">
        <v>0</v>
      </c>
      <c r="C362" s="28">
        <v>2010</v>
      </c>
      <c r="D362" s="28" t="s">
        <v>7</v>
      </c>
      <c r="E362" s="28" t="s">
        <v>17</v>
      </c>
      <c r="F362" s="28">
        <v>134.1015654479294</v>
      </c>
      <c r="H362">
        <f>VLOOKUP(A362&amp;B362,ticker_sector[],2,FALSE)</f>
        <v>3</v>
      </c>
      <c r="I362">
        <f>VLOOKUP(C362,year[],2,FALSE)</f>
        <v>0</v>
      </c>
      <c r="J362">
        <f>VLOOKUP(E362,showing[],2,FALSE)</f>
        <v>14</v>
      </c>
      <c r="K362">
        <f>Сектора[[#This Row],[Значение]]</f>
        <v>134.1015654479294</v>
      </c>
      <c r="L362" t="str">
        <f t="shared" si="5"/>
        <v>INSERT INTO msfo.statements (id_company, id_year, id_showing, value) VALUES (3,0,14,134,101565447929);</v>
      </c>
    </row>
    <row r="363" spans="1:12">
      <c r="A363" s="28" t="s">
        <v>37</v>
      </c>
      <c r="B363" s="28" t="s">
        <v>0</v>
      </c>
      <c r="C363" s="28">
        <v>2011</v>
      </c>
      <c r="D363" s="28" t="s">
        <v>7</v>
      </c>
      <c r="E363" s="28" t="s">
        <v>17</v>
      </c>
      <c r="F363" s="28">
        <v>126.94084066082537</v>
      </c>
      <c r="H363">
        <f>VLOOKUP(A363&amp;B363,ticker_sector[],2,FALSE)</f>
        <v>3</v>
      </c>
      <c r="I363">
        <f>VLOOKUP(C363,year[],2,FALSE)</f>
        <v>1</v>
      </c>
      <c r="J363">
        <f>VLOOKUP(E363,showing[],2,FALSE)</f>
        <v>14</v>
      </c>
      <c r="K363">
        <f>Сектора[[#This Row],[Значение]]</f>
        <v>126.94084066082537</v>
      </c>
      <c r="L363" t="str">
        <f t="shared" si="5"/>
        <v>INSERT INTO msfo.statements (id_company, id_year, id_showing, value) VALUES (3,1,14,126,940840660825);</v>
      </c>
    </row>
    <row r="364" spans="1:12">
      <c r="A364" s="28" t="s">
        <v>37</v>
      </c>
      <c r="B364" s="28" t="s">
        <v>0</v>
      </c>
      <c r="C364" s="28">
        <v>2012</v>
      </c>
      <c r="D364" s="28" t="s">
        <v>7</v>
      </c>
      <c r="E364" s="28" t="s">
        <v>17</v>
      </c>
      <c r="F364" s="28">
        <v>120.996816219829</v>
      </c>
      <c r="H364">
        <f>VLOOKUP(A364&amp;B364,ticker_sector[],2,FALSE)</f>
        <v>3</v>
      </c>
      <c r="I364">
        <f>VLOOKUP(C364,year[],2,FALSE)</f>
        <v>2</v>
      </c>
      <c r="J364">
        <f>VLOOKUP(E364,showing[],2,FALSE)</f>
        <v>14</v>
      </c>
      <c r="K364">
        <f>Сектора[[#This Row],[Значение]]</f>
        <v>120.996816219829</v>
      </c>
      <c r="L364" t="str">
        <f t="shared" si="5"/>
        <v>INSERT INTO msfo.statements (id_company, id_year, id_showing, value) VALUES (3,2,14,120,996816219829);</v>
      </c>
    </row>
    <row r="365" spans="1:12">
      <c r="A365" s="28" t="s">
        <v>37</v>
      </c>
      <c r="B365" s="28" t="s">
        <v>0</v>
      </c>
      <c r="C365" s="28">
        <v>2013</v>
      </c>
      <c r="D365" s="28" t="s">
        <v>7</v>
      </c>
      <c r="E365" s="28" t="s">
        <v>17</v>
      </c>
      <c r="F365" s="28">
        <v>71.556897204942373</v>
      </c>
      <c r="H365">
        <f>VLOOKUP(A365&amp;B365,ticker_sector[],2,FALSE)</f>
        <v>3</v>
      </c>
      <c r="I365">
        <f>VLOOKUP(C365,year[],2,FALSE)</f>
        <v>3</v>
      </c>
      <c r="J365">
        <f>VLOOKUP(E365,showing[],2,FALSE)</f>
        <v>14</v>
      </c>
      <c r="K365">
        <f>Сектора[[#This Row],[Значение]]</f>
        <v>71.556897204942373</v>
      </c>
      <c r="L365" t="str">
        <f t="shared" si="5"/>
        <v>INSERT INTO msfo.statements (id_company, id_year, id_showing, value) VALUES (3,3,14,71,5568972049424);</v>
      </c>
    </row>
    <row r="366" spans="1:12">
      <c r="A366" s="28" t="s">
        <v>37</v>
      </c>
      <c r="B366" s="28" t="s">
        <v>0</v>
      </c>
      <c r="C366" s="28">
        <v>2014</v>
      </c>
      <c r="D366" s="28" t="s">
        <v>7</v>
      </c>
      <c r="E366" s="28" t="s">
        <v>17</v>
      </c>
      <c r="F366" s="28">
        <v>38.767544046755681</v>
      </c>
      <c r="H366">
        <f>VLOOKUP(A366&amp;B366,ticker_sector[],2,FALSE)</f>
        <v>3</v>
      </c>
      <c r="I366">
        <f>VLOOKUP(C366,year[],2,FALSE)</f>
        <v>4</v>
      </c>
      <c r="J366">
        <f>VLOOKUP(E366,showing[],2,FALSE)</f>
        <v>14</v>
      </c>
      <c r="K366">
        <f>Сектора[[#This Row],[Значение]]</f>
        <v>38.767544046755681</v>
      </c>
      <c r="L366" t="str">
        <f t="shared" si="5"/>
        <v>INSERT INTO msfo.statements (id_company, id_year, id_showing, value) VALUES (3,4,14,38,7675440467557);</v>
      </c>
    </row>
    <row r="367" spans="1:12">
      <c r="A367" s="28" t="s">
        <v>37</v>
      </c>
      <c r="B367" s="28" t="s">
        <v>0</v>
      </c>
      <c r="C367" s="28">
        <v>2015</v>
      </c>
      <c r="D367" s="28" t="s">
        <v>7</v>
      </c>
      <c r="E367" s="28" t="s">
        <v>17</v>
      </c>
      <c r="F367" s="28">
        <v>52.399266218183463</v>
      </c>
      <c r="H367">
        <f>VLOOKUP(A367&amp;B367,ticker_sector[],2,FALSE)</f>
        <v>3</v>
      </c>
      <c r="I367">
        <f>VLOOKUP(C367,year[],2,FALSE)</f>
        <v>5</v>
      </c>
      <c r="J367">
        <f>VLOOKUP(E367,showing[],2,FALSE)</f>
        <v>14</v>
      </c>
      <c r="K367">
        <f>Сектора[[#This Row],[Значение]]</f>
        <v>52.399266218183463</v>
      </c>
      <c r="L367" t="str">
        <f t="shared" si="5"/>
        <v>INSERT INTO msfo.statements (id_company, id_year, id_showing, value) VALUES (3,5,14,52,3992662181835);</v>
      </c>
    </row>
    <row r="368" spans="1:12">
      <c r="A368" s="28" t="s">
        <v>37</v>
      </c>
      <c r="B368" s="28" t="s">
        <v>0</v>
      </c>
      <c r="C368" s="28">
        <v>2016</v>
      </c>
      <c r="D368" s="28" t="s">
        <v>7</v>
      </c>
      <c r="E368" s="28" t="s">
        <v>17</v>
      </c>
      <c r="F368" s="28">
        <v>76.297997424860156</v>
      </c>
      <c r="H368">
        <f>VLOOKUP(A368&amp;B368,ticker_sector[],2,FALSE)</f>
        <v>3</v>
      </c>
      <c r="I368">
        <f>VLOOKUP(C368,year[],2,FALSE)</f>
        <v>6</v>
      </c>
      <c r="J368">
        <f>VLOOKUP(E368,showing[],2,FALSE)</f>
        <v>14</v>
      </c>
      <c r="K368">
        <f>Сектора[[#This Row],[Значение]]</f>
        <v>76.297997424860156</v>
      </c>
      <c r="L368" t="str">
        <f t="shared" si="5"/>
        <v>INSERT INTO msfo.statements (id_company, id_year, id_showing, value) VALUES (3,6,14,76,2979974248602);</v>
      </c>
    </row>
    <row r="369" spans="1:12">
      <c r="A369" s="28" t="s">
        <v>37</v>
      </c>
      <c r="B369" s="28" t="s">
        <v>0</v>
      </c>
      <c r="C369" s="28">
        <v>2017</v>
      </c>
      <c r="D369" s="28" t="s">
        <v>7</v>
      </c>
      <c r="E369" s="28" t="s">
        <v>17</v>
      </c>
      <c r="F369" s="28">
        <v>21.249926215533975</v>
      </c>
      <c r="H369">
        <f>VLOOKUP(A369&amp;B369,ticker_sector[],2,FALSE)</f>
        <v>3</v>
      </c>
      <c r="I369">
        <f>VLOOKUP(C369,year[],2,FALSE)</f>
        <v>7</v>
      </c>
      <c r="J369">
        <f>VLOOKUP(E369,showing[],2,FALSE)</f>
        <v>14</v>
      </c>
      <c r="K369">
        <f>Сектора[[#This Row],[Значение]]</f>
        <v>21.249926215533975</v>
      </c>
      <c r="L369" t="str">
        <f t="shared" si="5"/>
        <v>INSERT INTO msfo.statements (id_company, id_year, id_showing, value) VALUES (3,7,14,21,249926215534);</v>
      </c>
    </row>
    <row r="370" spans="1:12">
      <c r="A370" s="28" t="s">
        <v>37</v>
      </c>
      <c r="B370" s="28" t="s">
        <v>0</v>
      </c>
      <c r="C370" s="28">
        <v>2010</v>
      </c>
      <c r="D370" s="28" t="s">
        <v>20</v>
      </c>
      <c r="E370" s="28" t="s">
        <v>18</v>
      </c>
      <c r="F370" s="28">
        <v>1.488</v>
      </c>
      <c r="H370">
        <f>VLOOKUP(A370&amp;B370,ticker_sector[],2,FALSE)</f>
        <v>3</v>
      </c>
      <c r="I370">
        <f>VLOOKUP(C370,year[],2,FALSE)</f>
        <v>0</v>
      </c>
      <c r="J370">
        <f>VLOOKUP(E370,showing[],2,FALSE)</f>
        <v>15</v>
      </c>
      <c r="K370">
        <f>Сектора[[#This Row],[Значение]]</f>
        <v>1.488</v>
      </c>
      <c r="L370" t="str">
        <f t="shared" si="5"/>
        <v>INSERT INTO msfo.statements (id_company, id_year, id_showing, value) VALUES (3,0,15,1,488);</v>
      </c>
    </row>
    <row r="371" spans="1:12">
      <c r="A371" s="28" t="s">
        <v>37</v>
      </c>
      <c r="B371" s="28" t="s">
        <v>0</v>
      </c>
      <c r="C371" s="28">
        <v>2011</v>
      </c>
      <c r="D371" s="28" t="s">
        <v>20</v>
      </c>
      <c r="E371" s="28" t="s">
        <v>18</v>
      </c>
      <c r="F371" s="28">
        <v>1.488</v>
      </c>
      <c r="H371">
        <f>VLOOKUP(A371&amp;B371,ticker_sector[],2,FALSE)</f>
        <v>3</v>
      </c>
      <c r="I371">
        <f>VLOOKUP(C371,year[],2,FALSE)</f>
        <v>1</v>
      </c>
      <c r="J371">
        <f>VLOOKUP(E371,showing[],2,FALSE)</f>
        <v>15</v>
      </c>
      <c r="K371">
        <f>Сектора[[#This Row],[Значение]]</f>
        <v>1.488</v>
      </c>
      <c r="L371" t="str">
        <f t="shared" si="5"/>
        <v>INSERT INTO msfo.statements (id_company, id_year, id_showing, value) VALUES (3,1,15,1,488);</v>
      </c>
    </row>
    <row r="372" spans="1:12">
      <c r="A372" s="28" t="s">
        <v>37</v>
      </c>
      <c r="B372" s="28" t="s">
        <v>0</v>
      </c>
      <c r="C372" s="28">
        <v>2012</v>
      </c>
      <c r="D372" s="28" t="s">
        <v>20</v>
      </c>
      <c r="E372" s="28" t="s">
        <v>18</v>
      </c>
      <c r="F372" s="28">
        <v>1.488</v>
      </c>
      <c r="H372">
        <f>VLOOKUP(A372&amp;B372,ticker_sector[],2,FALSE)</f>
        <v>3</v>
      </c>
      <c r="I372">
        <f>VLOOKUP(C372,year[],2,FALSE)</f>
        <v>2</v>
      </c>
      <c r="J372">
        <f>VLOOKUP(E372,showing[],2,FALSE)</f>
        <v>15</v>
      </c>
      <c r="K372">
        <f>Сектора[[#This Row],[Значение]]</f>
        <v>1.488</v>
      </c>
      <c r="L372" t="str">
        <f t="shared" si="5"/>
        <v>INSERT INTO msfo.statements (id_company, id_year, id_showing, value) VALUES (3,2,15,1,488);</v>
      </c>
    </row>
    <row r="373" spans="1:12">
      <c r="A373" s="28" t="s">
        <v>37</v>
      </c>
      <c r="B373" s="28" t="s">
        <v>0</v>
      </c>
      <c r="C373" s="28">
        <v>2013</v>
      </c>
      <c r="D373" s="28" t="s">
        <v>20</v>
      </c>
      <c r="E373" s="28" t="s">
        <v>18</v>
      </c>
      <c r="F373" s="28">
        <v>1.488</v>
      </c>
      <c r="H373">
        <f>VLOOKUP(A373&amp;B373,ticker_sector[],2,FALSE)</f>
        <v>3</v>
      </c>
      <c r="I373">
        <f>VLOOKUP(C373,year[],2,FALSE)</f>
        <v>3</v>
      </c>
      <c r="J373">
        <f>VLOOKUP(E373,showing[],2,FALSE)</f>
        <v>15</v>
      </c>
      <c r="K373">
        <f>Сектора[[#This Row],[Значение]]</f>
        <v>1.488</v>
      </c>
      <c r="L373" t="str">
        <f t="shared" si="5"/>
        <v>INSERT INTO msfo.statements (id_company, id_year, id_showing, value) VALUES (3,3,15,1,488);</v>
      </c>
    </row>
    <row r="374" spans="1:12">
      <c r="A374" s="28" t="s">
        <v>37</v>
      </c>
      <c r="B374" s="28" t="s">
        <v>0</v>
      </c>
      <c r="C374" s="28">
        <v>2014</v>
      </c>
      <c r="D374" s="28" t="s">
        <v>20</v>
      </c>
      <c r="E374" s="28" t="s">
        <v>18</v>
      </c>
      <c r="F374" s="28">
        <v>1.488</v>
      </c>
      <c r="H374">
        <f>VLOOKUP(A374&amp;B374,ticker_sector[],2,FALSE)</f>
        <v>3</v>
      </c>
      <c r="I374">
        <f>VLOOKUP(C374,year[],2,FALSE)</f>
        <v>4</v>
      </c>
      <c r="J374">
        <f>VLOOKUP(E374,showing[],2,FALSE)</f>
        <v>15</v>
      </c>
      <c r="K374">
        <f>Сектора[[#This Row],[Значение]]</f>
        <v>1.488</v>
      </c>
      <c r="L374" t="str">
        <f t="shared" si="5"/>
        <v>INSERT INTO msfo.statements (id_company, id_year, id_showing, value) VALUES (3,4,15,1,488);</v>
      </c>
    </row>
    <row r="375" spans="1:12">
      <c r="A375" s="28" t="s">
        <v>37</v>
      </c>
      <c r="B375" s="28" t="s">
        <v>0</v>
      </c>
      <c r="C375" s="28">
        <v>2015</v>
      </c>
      <c r="D375" s="28" t="s">
        <v>20</v>
      </c>
      <c r="E375" s="28" t="s">
        <v>18</v>
      </c>
      <c r="F375" s="28">
        <v>1.488</v>
      </c>
      <c r="H375">
        <f>VLOOKUP(A375&amp;B375,ticker_sector[],2,FALSE)</f>
        <v>3</v>
      </c>
      <c r="I375">
        <f>VLOOKUP(C375,year[],2,FALSE)</f>
        <v>5</v>
      </c>
      <c r="J375">
        <f>VLOOKUP(E375,showing[],2,FALSE)</f>
        <v>15</v>
      </c>
      <c r="K375">
        <f>Сектора[[#This Row],[Значение]]</f>
        <v>1.488</v>
      </c>
      <c r="L375" t="str">
        <f t="shared" si="5"/>
        <v>INSERT INTO msfo.statements (id_company, id_year, id_showing, value) VALUES (3,5,15,1,488);</v>
      </c>
    </row>
    <row r="376" spans="1:12">
      <c r="A376" s="28" t="s">
        <v>37</v>
      </c>
      <c r="B376" s="28" t="s">
        <v>0</v>
      </c>
      <c r="C376" s="28">
        <v>2016</v>
      </c>
      <c r="D376" s="28" t="s">
        <v>20</v>
      </c>
      <c r="E376" s="28" t="s">
        <v>18</v>
      </c>
      <c r="F376" s="28">
        <v>1.488</v>
      </c>
      <c r="H376">
        <f>VLOOKUP(A376&amp;B376,ticker_sector[],2,FALSE)</f>
        <v>3</v>
      </c>
      <c r="I376">
        <f>VLOOKUP(C376,year[],2,FALSE)</f>
        <v>6</v>
      </c>
      <c r="J376">
        <f>VLOOKUP(E376,showing[],2,FALSE)</f>
        <v>15</v>
      </c>
      <c r="K376">
        <f>Сектора[[#This Row],[Значение]]</f>
        <v>1.488</v>
      </c>
      <c r="L376" t="str">
        <f t="shared" si="5"/>
        <v>INSERT INTO msfo.statements (id_company, id_year, id_showing, value) VALUES (3,6,15,1,488);</v>
      </c>
    </row>
    <row r="377" spans="1:12">
      <c r="A377" s="28" t="s">
        <v>37</v>
      </c>
      <c r="B377" s="28" t="s">
        <v>0</v>
      </c>
      <c r="C377" s="28">
        <v>2017</v>
      </c>
      <c r="D377" s="28" t="s">
        <v>20</v>
      </c>
      <c r="E377" s="28" t="s">
        <v>18</v>
      </c>
      <c r="F377" s="28">
        <v>1.488</v>
      </c>
      <c r="H377">
        <f>VLOOKUP(A377&amp;B377,ticker_sector[],2,FALSE)</f>
        <v>3</v>
      </c>
      <c r="I377">
        <f>VLOOKUP(C377,year[],2,FALSE)</f>
        <v>7</v>
      </c>
      <c r="J377">
        <f>VLOOKUP(E377,showing[],2,FALSE)</f>
        <v>15</v>
      </c>
      <c r="K377">
        <f>Сектора[[#This Row],[Значение]]</f>
        <v>1.488</v>
      </c>
      <c r="L377" t="str">
        <f t="shared" si="5"/>
        <v>INSERT INTO msfo.statements (id_company, id_year, id_showing, value) VALUES (3,7,15,1,488);</v>
      </c>
    </row>
    <row r="378" spans="1:12">
      <c r="A378" s="28" t="s">
        <v>37</v>
      </c>
      <c r="B378" s="28" t="s">
        <v>0</v>
      </c>
      <c r="C378" s="28">
        <v>2010</v>
      </c>
      <c r="D378" s="28" t="s">
        <v>20</v>
      </c>
      <c r="E378" s="28" t="s">
        <v>19</v>
      </c>
      <c r="F378" s="28">
        <v>1885</v>
      </c>
      <c r="H378">
        <f>VLOOKUP(A378&amp;B378,ticker_sector[],2,FALSE)</f>
        <v>3</v>
      </c>
      <c r="I378">
        <f>VLOOKUP(C378,year[],2,FALSE)</f>
        <v>0</v>
      </c>
      <c r="J378">
        <f>VLOOKUP(E378,showing[],2,FALSE)</f>
        <v>16</v>
      </c>
      <c r="K378">
        <f>Сектора[[#This Row],[Значение]]</f>
        <v>1885</v>
      </c>
      <c r="L378" t="str">
        <f t="shared" si="5"/>
        <v>INSERT INTO msfo.statements (id_company, id_year, id_showing, value) VALUES (3,0,16,1885);</v>
      </c>
    </row>
    <row r="379" spans="1:12">
      <c r="A379" s="28" t="s">
        <v>37</v>
      </c>
      <c r="B379" s="28" t="s">
        <v>0</v>
      </c>
      <c r="C379" s="28">
        <v>2011</v>
      </c>
      <c r="D379" s="28" t="s">
        <v>20</v>
      </c>
      <c r="E379" s="28" t="s">
        <v>19</v>
      </c>
      <c r="F379" s="28">
        <v>4355</v>
      </c>
      <c r="H379">
        <f>VLOOKUP(A379&amp;B379,ticker_sector[],2,FALSE)</f>
        <v>3</v>
      </c>
      <c r="I379">
        <f>VLOOKUP(C379,year[],2,FALSE)</f>
        <v>1</v>
      </c>
      <c r="J379">
        <f>VLOOKUP(E379,showing[],2,FALSE)</f>
        <v>16</v>
      </c>
      <c r="K379">
        <f>Сектора[[#This Row],[Значение]]</f>
        <v>4355</v>
      </c>
      <c r="L379" t="str">
        <f t="shared" si="5"/>
        <v>INSERT INTO msfo.statements (id_company, id_year, id_showing, value) VALUES (3,1,16,4355);</v>
      </c>
    </row>
    <row r="380" spans="1:12">
      <c r="A380" s="28" t="s">
        <v>37</v>
      </c>
      <c r="B380" s="28" t="s">
        <v>0</v>
      </c>
      <c r="C380" s="28">
        <v>2012</v>
      </c>
      <c r="D380" s="28" t="s">
        <v>20</v>
      </c>
      <c r="E380" s="28" t="s">
        <v>19</v>
      </c>
      <c r="F380" s="28">
        <v>5991</v>
      </c>
      <c r="H380">
        <f>VLOOKUP(A380&amp;B380,ticker_sector[],2,FALSE)</f>
        <v>3</v>
      </c>
      <c r="I380">
        <f>VLOOKUP(C380,year[],2,FALSE)</f>
        <v>2</v>
      </c>
      <c r="J380">
        <f>VLOOKUP(E380,showing[],2,FALSE)</f>
        <v>16</v>
      </c>
      <c r="K380">
        <f>Сектора[[#This Row],[Значение]]</f>
        <v>5991</v>
      </c>
      <c r="L380" t="str">
        <f t="shared" si="5"/>
        <v>INSERT INTO msfo.statements (id_company, id_year, id_showing, value) VALUES (3,2,16,5991);</v>
      </c>
    </row>
    <row r="381" spans="1:12">
      <c r="A381" s="28" t="s">
        <v>37</v>
      </c>
      <c r="B381" s="28" t="s">
        <v>0</v>
      </c>
      <c r="C381" s="28">
        <v>2013</v>
      </c>
      <c r="D381" s="28" t="s">
        <v>20</v>
      </c>
      <c r="E381" s="28" t="s">
        <v>19</v>
      </c>
      <c r="F381" s="28">
        <v>5591.2</v>
      </c>
      <c r="H381">
        <f>VLOOKUP(A381&amp;B381,ticker_sector[],2,FALSE)</f>
        <v>3</v>
      </c>
      <c r="I381">
        <f>VLOOKUP(C381,year[],2,FALSE)</f>
        <v>3</v>
      </c>
      <c r="J381">
        <f>VLOOKUP(E381,showing[],2,FALSE)</f>
        <v>16</v>
      </c>
      <c r="K381">
        <f>Сектора[[#This Row],[Значение]]</f>
        <v>5591.2</v>
      </c>
      <c r="L381" t="str">
        <f t="shared" si="5"/>
        <v>INSERT INTO msfo.statements (id_company, id_year, id_showing, value) VALUES (3,3,16,5591,2);</v>
      </c>
    </row>
    <row r="382" spans="1:12">
      <c r="A382" s="28" t="s">
        <v>37</v>
      </c>
      <c r="B382" s="28" t="s">
        <v>0</v>
      </c>
      <c r="C382" s="28">
        <v>2014</v>
      </c>
      <c r="D382" s="28" t="s">
        <v>20</v>
      </c>
      <c r="E382" s="28" t="s">
        <v>19</v>
      </c>
      <c r="F382" s="28">
        <v>4040</v>
      </c>
      <c r="H382">
        <f>VLOOKUP(A382&amp;B382,ticker_sector[],2,FALSE)</f>
        <v>3</v>
      </c>
      <c r="I382">
        <f>VLOOKUP(C382,year[],2,FALSE)</f>
        <v>4</v>
      </c>
      <c r="J382">
        <f>VLOOKUP(E382,showing[],2,FALSE)</f>
        <v>16</v>
      </c>
      <c r="K382">
        <f>Сектора[[#This Row],[Значение]]</f>
        <v>4040</v>
      </c>
      <c r="L382" t="str">
        <f t="shared" si="5"/>
        <v>INSERT INTO msfo.statements (id_company, id_year, id_showing, value) VALUES (3,4,16,4040);</v>
      </c>
    </row>
    <row r="383" spans="1:12">
      <c r="A383" s="28" t="s">
        <v>37</v>
      </c>
      <c r="B383" s="28" t="s">
        <v>0</v>
      </c>
      <c r="C383" s="28">
        <v>2015</v>
      </c>
      <c r="D383" s="28" t="s">
        <v>20</v>
      </c>
      <c r="E383" s="28" t="s">
        <v>19</v>
      </c>
      <c r="F383" s="28">
        <v>7311.2</v>
      </c>
      <c r="H383">
        <f>VLOOKUP(A383&amp;B383,ticker_sector[],2,FALSE)</f>
        <v>3</v>
      </c>
      <c r="I383">
        <f>VLOOKUP(C383,year[],2,FALSE)</f>
        <v>5</v>
      </c>
      <c r="J383">
        <f>VLOOKUP(E383,showing[],2,FALSE)</f>
        <v>16</v>
      </c>
      <c r="K383">
        <f>Сектора[[#This Row],[Значение]]</f>
        <v>7311.2</v>
      </c>
      <c r="L383" t="str">
        <f t="shared" si="5"/>
        <v>INSERT INTO msfo.statements (id_company, id_year, id_showing, value) VALUES (3,5,16,7311,2);</v>
      </c>
    </row>
    <row r="384" spans="1:12">
      <c r="A384" s="28" t="s">
        <v>37</v>
      </c>
      <c r="B384" s="28" t="s">
        <v>0</v>
      </c>
      <c r="C384" s="28">
        <v>2016</v>
      </c>
      <c r="D384" s="28" t="s">
        <v>20</v>
      </c>
      <c r="E384" s="28" t="s">
        <v>19</v>
      </c>
      <c r="F384" s="28">
        <v>8640</v>
      </c>
      <c r="H384">
        <f>VLOOKUP(A384&amp;B384,ticker_sector[],2,FALSE)</f>
        <v>3</v>
      </c>
      <c r="I384">
        <f>VLOOKUP(C384,year[],2,FALSE)</f>
        <v>6</v>
      </c>
      <c r="J384">
        <f>VLOOKUP(E384,showing[],2,FALSE)</f>
        <v>16</v>
      </c>
      <c r="K384">
        <f>Сектора[[#This Row],[Значение]]</f>
        <v>8640</v>
      </c>
      <c r="L384" t="str">
        <f t="shared" si="5"/>
        <v>INSERT INTO msfo.statements (id_company, id_year, id_showing, value) VALUES (3,6,16,8640);</v>
      </c>
    </row>
    <row r="385" spans="1:12">
      <c r="A385" s="28" t="s">
        <v>37</v>
      </c>
      <c r="B385" s="28" t="s">
        <v>0</v>
      </c>
      <c r="C385" s="28">
        <v>2017</v>
      </c>
      <c r="D385" s="28" t="s">
        <v>20</v>
      </c>
      <c r="E385" s="28" t="s">
        <v>19</v>
      </c>
      <c r="F385" s="28">
        <v>7300</v>
      </c>
      <c r="H385">
        <f>VLOOKUP(A385&amp;B385,ticker_sector[],2,FALSE)</f>
        <v>3</v>
      </c>
      <c r="I385">
        <f>VLOOKUP(C385,year[],2,FALSE)</f>
        <v>7</v>
      </c>
      <c r="J385">
        <f>VLOOKUP(E385,showing[],2,FALSE)</f>
        <v>16</v>
      </c>
      <c r="K385">
        <f>Сектора[[#This Row],[Значение]]</f>
        <v>7300</v>
      </c>
      <c r="L385" t="str">
        <f t="shared" si="5"/>
        <v>INSERT INTO msfo.statements (id_company, id_year, id_showing, value) VALUES (3,7,16,7300);</v>
      </c>
    </row>
    <row r="386" spans="1:12">
      <c r="A386" s="28" t="s">
        <v>38</v>
      </c>
      <c r="B386" s="28" t="s">
        <v>0</v>
      </c>
      <c r="C386" s="28">
        <v>2010</v>
      </c>
      <c r="D386" s="28" t="s">
        <v>1</v>
      </c>
      <c r="E386" s="28" t="s">
        <v>2</v>
      </c>
      <c r="F386" s="28">
        <v>52561.985585000002</v>
      </c>
      <c r="H386">
        <f>VLOOKUP(A386&amp;B386,ticker_sector[],2,FALSE)</f>
        <v>4</v>
      </c>
      <c r="I386">
        <f>VLOOKUP(C386,year[],2,FALSE)</f>
        <v>0</v>
      </c>
      <c r="J386">
        <f>VLOOKUP(E386,showing[],2,FALSE)</f>
        <v>1</v>
      </c>
      <c r="K386">
        <f>Сектора[[#This Row],[Значение]]</f>
        <v>52561.985585000002</v>
      </c>
      <c r="L386" t="str">
        <f t="shared" si="5"/>
        <v>INSERT INTO msfo.statements (id_company, id_year, id_showing, value) VALUES (4,0,1,52561,985585);</v>
      </c>
    </row>
    <row r="387" spans="1:12">
      <c r="A387" s="28" t="s">
        <v>38</v>
      </c>
      <c r="B387" s="28" t="s">
        <v>0</v>
      </c>
      <c r="C387" s="28">
        <v>2011</v>
      </c>
      <c r="D387" s="28" t="s">
        <v>1</v>
      </c>
      <c r="E387" s="28" t="s">
        <v>2</v>
      </c>
      <c r="F387" s="28">
        <v>69206.06428369999</v>
      </c>
      <c r="H387">
        <f>VLOOKUP(A387&amp;B387,ticker_sector[],2,FALSE)</f>
        <v>4</v>
      </c>
      <c r="I387">
        <f>VLOOKUP(C387,year[],2,FALSE)</f>
        <v>1</v>
      </c>
      <c r="J387">
        <f>VLOOKUP(E387,showing[],2,FALSE)</f>
        <v>1</v>
      </c>
      <c r="K387">
        <f>Сектора[[#This Row],[Значение]]</f>
        <v>69206.06428369999</v>
      </c>
      <c r="L387" t="str">
        <f t="shared" ref="L387:L450" si="6">"INSERT INTO msfo.statements (id_company, id_year, id_showing, value) VALUES ("&amp;H387&amp; ","&amp;I387&amp; ","&amp;J387&amp; ","&amp;K387&amp;");"</f>
        <v>INSERT INTO msfo.statements (id_company, id_year, id_showing, value) VALUES (4,1,1,69206,0642837);</v>
      </c>
    </row>
    <row r="388" spans="1:12">
      <c r="A388" s="28" t="s">
        <v>38</v>
      </c>
      <c r="B388" s="28" t="s">
        <v>0</v>
      </c>
      <c r="C388" s="28">
        <v>2012</v>
      </c>
      <c r="D388" s="28" t="s">
        <v>1</v>
      </c>
      <c r="E388" s="28" t="s">
        <v>2</v>
      </c>
      <c r="F388" s="28">
        <v>74963.923914500003</v>
      </c>
      <c r="H388">
        <f>VLOOKUP(A388&amp;B388,ticker_sector[],2,FALSE)</f>
        <v>4</v>
      </c>
      <c r="I388">
        <f>VLOOKUP(C388,year[],2,FALSE)</f>
        <v>2</v>
      </c>
      <c r="J388">
        <f>VLOOKUP(E388,showing[],2,FALSE)</f>
        <v>1</v>
      </c>
      <c r="K388">
        <f>Сектора[[#This Row],[Значение]]</f>
        <v>74963.923914500003</v>
      </c>
      <c r="L388" t="str">
        <f t="shared" si="6"/>
        <v>INSERT INTO msfo.statements (id_company, id_year, id_showing, value) VALUES (4,2,1,74963,9239145);</v>
      </c>
    </row>
    <row r="389" spans="1:12">
      <c r="A389" s="28" t="s">
        <v>38</v>
      </c>
      <c r="B389" s="28" t="s">
        <v>0</v>
      </c>
      <c r="C389" s="28">
        <v>2013</v>
      </c>
      <c r="D389" s="28" t="s">
        <v>1</v>
      </c>
      <c r="E389" s="28" t="s">
        <v>2</v>
      </c>
      <c r="F389" s="28">
        <v>75465.7129212</v>
      </c>
      <c r="H389">
        <f>VLOOKUP(A389&amp;B389,ticker_sector[],2,FALSE)</f>
        <v>4</v>
      </c>
      <c r="I389">
        <f>VLOOKUP(C389,year[],2,FALSE)</f>
        <v>3</v>
      </c>
      <c r="J389">
        <f>VLOOKUP(E389,showing[],2,FALSE)</f>
        <v>1</v>
      </c>
      <c r="K389">
        <f>Сектора[[#This Row],[Значение]]</f>
        <v>75465.7129212</v>
      </c>
      <c r="L389" t="str">
        <f t="shared" si="6"/>
        <v>INSERT INTO msfo.statements (id_company, id_year, id_showing, value) VALUES (4,3,1,75465,7129212);</v>
      </c>
    </row>
    <row r="390" spans="1:12">
      <c r="A390" s="28" t="s">
        <v>38</v>
      </c>
      <c r="B390" s="28" t="s">
        <v>0</v>
      </c>
      <c r="C390" s="28">
        <v>2014</v>
      </c>
      <c r="D390" s="28" t="s">
        <v>1</v>
      </c>
      <c r="E390" s="28" t="s">
        <v>2</v>
      </c>
      <c r="F390" s="28">
        <v>125450.88745200001</v>
      </c>
      <c r="H390">
        <f>VLOOKUP(A390&amp;B390,ticker_sector[],2,FALSE)</f>
        <v>4</v>
      </c>
      <c r="I390">
        <f>VLOOKUP(C390,year[],2,FALSE)</f>
        <v>4</v>
      </c>
      <c r="J390">
        <f>VLOOKUP(E390,showing[],2,FALSE)</f>
        <v>1</v>
      </c>
      <c r="K390">
        <f>Сектора[[#This Row],[Значение]]</f>
        <v>125450.88745200001</v>
      </c>
      <c r="L390" t="str">
        <f t="shared" si="6"/>
        <v>INSERT INTO msfo.statements (id_company, id_year, id_showing, value) VALUES (4,4,1,125450,887452);</v>
      </c>
    </row>
    <row r="391" spans="1:12">
      <c r="A391" s="28" t="s">
        <v>38</v>
      </c>
      <c r="B391" s="28" t="s">
        <v>0</v>
      </c>
      <c r="C391" s="28">
        <v>2015</v>
      </c>
      <c r="D391" s="28" t="s">
        <v>1</v>
      </c>
      <c r="E391" s="28" t="s">
        <v>2</v>
      </c>
      <c r="F391" s="28">
        <v>112544.29921679999</v>
      </c>
      <c r="H391">
        <f>VLOOKUP(A391&amp;B391,ticker_sector[],2,FALSE)</f>
        <v>4</v>
      </c>
      <c r="I391">
        <f>VLOOKUP(C391,year[],2,FALSE)</f>
        <v>5</v>
      </c>
      <c r="J391">
        <f>VLOOKUP(E391,showing[],2,FALSE)</f>
        <v>1</v>
      </c>
      <c r="K391">
        <f>Сектора[[#This Row],[Значение]]</f>
        <v>112544.29921679999</v>
      </c>
      <c r="L391" t="str">
        <f t="shared" si="6"/>
        <v>INSERT INTO msfo.statements (id_company, id_year, id_showing, value) VALUES (4,5,1,112544,2992168);</v>
      </c>
    </row>
    <row r="392" spans="1:12">
      <c r="A392" s="28" t="s">
        <v>38</v>
      </c>
      <c r="B392" s="28" t="s">
        <v>0</v>
      </c>
      <c r="C392" s="28">
        <v>2016</v>
      </c>
      <c r="D392" s="28" t="s">
        <v>1</v>
      </c>
      <c r="E392" s="28" t="s">
        <v>2</v>
      </c>
      <c r="F392" s="28">
        <v>121799.0552</v>
      </c>
      <c r="H392">
        <f>VLOOKUP(A392&amp;B392,ticker_sector[],2,FALSE)</f>
        <v>4</v>
      </c>
      <c r="I392">
        <f>VLOOKUP(C392,year[],2,FALSE)</f>
        <v>6</v>
      </c>
      <c r="J392">
        <f>VLOOKUP(E392,showing[],2,FALSE)</f>
        <v>1</v>
      </c>
      <c r="K392">
        <f>Сектора[[#This Row],[Значение]]</f>
        <v>121799.0552</v>
      </c>
      <c r="L392" t="str">
        <f t="shared" si="6"/>
        <v>INSERT INTO msfo.statements (id_company, id_year, id_showing, value) VALUES (4,6,1,121799,0552);</v>
      </c>
    </row>
    <row r="393" spans="1:12">
      <c r="A393" s="28" t="s">
        <v>38</v>
      </c>
      <c r="B393" s="28" t="s">
        <v>0</v>
      </c>
      <c r="C393" s="28">
        <v>2017</v>
      </c>
      <c r="D393" s="28" t="s">
        <v>1</v>
      </c>
      <c r="E393" s="28" t="s">
        <v>2</v>
      </c>
      <c r="F393" s="28">
        <v>136339.6734</v>
      </c>
      <c r="H393">
        <f>VLOOKUP(A393&amp;B393,ticker_sector[],2,FALSE)</f>
        <v>4</v>
      </c>
      <c r="I393">
        <f>VLOOKUP(C393,year[],2,FALSE)</f>
        <v>7</v>
      </c>
      <c r="J393">
        <f>VLOOKUP(E393,showing[],2,FALSE)</f>
        <v>1</v>
      </c>
      <c r="K393">
        <f>Сектора[[#This Row],[Значение]]</f>
        <v>136339.6734</v>
      </c>
      <c r="L393" t="str">
        <f t="shared" si="6"/>
        <v>INSERT INTO msfo.statements (id_company, id_year, id_showing, value) VALUES (4,7,1,136339,6734);</v>
      </c>
    </row>
    <row r="394" spans="1:12">
      <c r="A394" s="28" t="s">
        <v>38</v>
      </c>
      <c r="B394" s="28" t="s">
        <v>0</v>
      </c>
      <c r="C394" s="28">
        <v>2010</v>
      </c>
      <c r="D394" s="28" t="s">
        <v>1</v>
      </c>
      <c r="E394" s="28" t="s">
        <v>3</v>
      </c>
      <c r="F394" s="28">
        <v>17373.356844999998</v>
      </c>
      <c r="H394">
        <f>VLOOKUP(A394&amp;B394,ticker_sector[],2,FALSE)</f>
        <v>4</v>
      </c>
      <c r="I394">
        <f>VLOOKUP(C394,year[],2,FALSE)</f>
        <v>0</v>
      </c>
      <c r="J394">
        <f>VLOOKUP(E394,showing[],2,FALSE)</f>
        <v>2</v>
      </c>
      <c r="K394">
        <f>Сектора[[#This Row],[Значение]]</f>
        <v>17373.356844999998</v>
      </c>
      <c r="L394" t="str">
        <f t="shared" si="6"/>
        <v>INSERT INTO msfo.statements (id_company, id_year, id_showing, value) VALUES (4,0,2,17373,356845);</v>
      </c>
    </row>
    <row r="395" spans="1:12">
      <c r="A395" s="28" t="s">
        <v>38</v>
      </c>
      <c r="B395" s="28" t="s">
        <v>0</v>
      </c>
      <c r="C395" s="28">
        <v>2011</v>
      </c>
      <c r="D395" s="28" t="s">
        <v>1</v>
      </c>
      <c r="E395" s="28" t="s">
        <v>3</v>
      </c>
      <c r="F395" s="28">
        <v>48377.473506800001</v>
      </c>
      <c r="H395">
        <f>VLOOKUP(A395&amp;B395,ticker_sector[],2,FALSE)</f>
        <v>4</v>
      </c>
      <c r="I395">
        <f>VLOOKUP(C395,year[],2,FALSE)</f>
        <v>1</v>
      </c>
      <c r="J395">
        <f>VLOOKUP(E395,showing[],2,FALSE)</f>
        <v>2</v>
      </c>
      <c r="K395">
        <f>Сектора[[#This Row],[Значение]]</f>
        <v>48377.473506800001</v>
      </c>
      <c r="L395" t="str">
        <f t="shared" si="6"/>
        <v>INSERT INTO msfo.statements (id_company, id_year, id_showing, value) VALUES (4,1,2,48377,4735068);</v>
      </c>
    </row>
    <row r="396" spans="1:12">
      <c r="A396" s="28" t="s">
        <v>38</v>
      </c>
      <c r="B396" s="28" t="s">
        <v>0</v>
      </c>
      <c r="C396" s="28">
        <v>2012</v>
      </c>
      <c r="D396" s="28" t="s">
        <v>1</v>
      </c>
      <c r="E396" s="28" t="s">
        <v>3</v>
      </c>
      <c r="F396" s="28">
        <v>34466.666605699997</v>
      </c>
      <c r="H396">
        <f>VLOOKUP(A396&amp;B396,ticker_sector[],2,FALSE)</f>
        <v>4</v>
      </c>
      <c r="I396">
        <f>VLOOKUP(C396,year[],2,FALSE)</f>
        <v>2</v>
      </c>
      <c r="J396">
        <f>VLOOKUP(E396,showing[],2,FALSE)</f>
        <v>2</v>
      </c>
      <c r="K396">
        <f>Сектора[[#This Row],[Значение]]</f>
        <v>34466.666605699997</v>
      </c>
      <c r="L396" t="str">
        <f t="shared" si="6"/>
        <v>INSERT INTO msfo.statements (id_company, id_year, id_showing, value) VALUES (4,2,2,34466,6666057);</v>
      </c>
    </row>
    <row r="397" spans="1:12">
      <c r="A397" s="28" t="s">
        <v>38</v>
      </c>
      <c r="B397" s="28" t="s">
        <v>0</v>
      </c>
      <c r="C397" s="28">
        <v>2013</v>
      </c>
      <c r="D397" s="28" t="s">
        <v>1</v>
      </c>
      <c r="E397" s="28" t="s">
        <v>3</v>
      </c>
      <c r="F397" s="28">
        <v>31059.192569999999</v>
      </c>
      <c r="H397">
        <f>VLOOKUP(A397&amp;B397,ticker_sector[],2,FALSE)</f>
        <v>4</v>
      </c>
      <c r="I397">
        <f>VLOOKUP(C397,year[],2,FALSE)</f>
        <v>3</v>
      </c>
      <c r="J397">
        <f>VLOOKUP(E397,showing[],2,FALSE)</f>
        <v>2</v>
      </c>
      <c r="K397">
        <f>Сектора[[#This Row],[Значение]]</f>
        <v>31059.192569999999</v>
      </c>
      <c r="L397" t="str">
        <f t="shared" si="6"/>
        <v>INSERT INTO msfo.statements (id_company, id_year, id_showing, value) VALUES (4,3,2,31059,19257);</v>
      </c>
    </row>
    <row r="398" spans="1:12">
      <c r="A398" s="28" t="s">
        <v>38</v>
      </c>
      <c r="B398" s="28" t="s">
        <v>0</v>
      </c>
      <c r="C398" s="28">
        <v>2014</v>
      </c>
      <c r="D398" s="28" t="s">
        <v>1</v>
      </c>
      <c r="E398" s="28" t="s">
        <v>3</v>
      </c>
      <c r="F398" s="28">
        <v>43165.551343200001</v>
      </c>
      <c r="H398">
        <f>VLOOKUP(A398&amp;B398,ticker_sector[],2,FALSE)</f>
        <v>4</v>
      </c>
      <c r="I398">
        <f>VLOOKUP(C398,year[],2,FALSE)</f>
        <v>4</v>
      </c>
      <c r="J398">
        <f>VLOOKUP(E398,showing[],2,FALSE)</f>
        <v>2</v>
      </c>
      <c r="K398">
        <f>Сектора[[#This Row],[Значение]]</f>
        <v>43165.551343200001</v>
      </c>
      <c r="L398" t="str">
        <f t="shared" si="6"/>
        <v>INSERT INTO msfo.statements (id_company, id_year, id_showing, value) VALUES (4,4,2,43165,5513432);</v>
      </c>
    </row>
    <row r="399" spans="1:12">
      <c r="A399" s="28" t="s">
        <v>38</v>
      </c>
      <c r="B399" s="28" t="s">
        <v>0</v>
      </c>
      <c r="C399" s="28">
        <v>2015</v>
      </c>
      <c r="D399" s="28" t="s">
        <v>1</v>
      </c>
      <c r="E399" s="28" t="s">
        <v>3</v>
      </c>
      <c r="F399" s="28">
        <v>39160.239123499996</v>
      </c>
      <c r="H399">
        <f>VLOOKUP(A399&amp;B399,ticker_sector[],2,FALSE)</f>
        <v>4</v>
      </c>
      <c r="I399">
        <f>VLOOKUP(C399,year[],2,FALSE)</f>
        <v>5</v>
      </c>
      <c r="J399">
        <f>VLOOKUP(E399,showing[],2,FALSE)</f>
        <v>2</v>
      </c>
      <c r="K399">
        <f>Сектора[[#This Row],[Значение]]</f>
        <v>39160.239123499996</v>
      </c>
      <c r="L399" t="str">
        <f t="shared" si="6"/>
        <v>INSERT INTO msfo.statements (id_company, id_year, id_showing, value) VALUES (4,5,2,39160,2391235);</v>
      </c>
    </row>
    <row r="400" spans="1:12">
      <c r="A400" s="28" t="s">
        <v>38</v>
      </c>
      <c r="B400" s="28" t="s">
        <v>0</v>
      </c>
      <c r="C400" s="28">
        <v>2016</v>
      </c>
      <c r="D400" s="28" t="s">
        <v>1</v>
      </c>
      <c r="E400" s="28" t="s">
        <v>3</v>
      </c>
      <c r="F400" s="28">
        <v>43733.624900000003</v>
      </c>
      <c r="H400">
        <f>VLOOKUP(A400&amp;B400,ticker_sector[],2,FALSE)</f>
        <v>4</v>
      </c>
      <c r="I400">
        <f>VLOOKUP(C400,year[],2,FALSE)</f>
        <v>6</v>
      </c>
      <c r="J400">
        <f>VLOOKUP(E400,showing[],2,FALSE)</f>
        <v>2</v>
      </c>
      <c r="K400">
        <f>Сектора[[#This Row],[Значение]]</f>
        <v>43733.624900000003</v>
      </c>
      <c r="L400" t="str">
        <f t="shared" si="6"/>
        <v>INSERT INTO msfo.statements (id_company, id_year, id_showing, value) VALUES (4,6,2,43733,6249);</v>
      </c>
    </row>
    <row r="401" spans="1:12">
      <c r="A401" s="28" t="s">
        <v>38</v>
      </c>
      <c r="B401" s="28" t="s">
        <v>0</v>
      </c>
      <c r="C401" s="28">
        <v>2017</v>
      </c>
      <c r="D401" s="28" t="s">
        <v>1</v>
      </c>
      <c r="E401" s="28" t="s">
        <v>3</v>
      </c>
      <c r="F401" s="28">
        <v>43833.752200000003</v>
      </c>
      <c r="H401">
        <f>VLOOKUP(A401&amp;B401,ticker_sector[],2,FALSE)</f>
        <v>4</v>
      </c>
      <c r="I401">
        <f>VLOOKUP(C401,year[],2,FALSE)</f>
        <v>7</v>
      </c>
      <c r="J401">
        <f>VLOOKUP(E401,showing[],2,FALSE)</f>
        <v>2</v>
      </c>
      <c r="K401">
        <f>Сектора[[#This Row],[Значение]]</f>
        <v>43833.752200000003</v>
      </c>
      <c r="L401" t="str">
        <f t="shared" si="6"/>
        <v>INSERT INTO msfo.statements (id_company, id_year, id_showing, value) VALUES (4,7,2,43833,7522);</v>
      </c>
    </row>
    <row r="402" spans="1:12">
      <c r="A402" s="28" t="s">
        <v>38</v>
      </c>
      <c r="B402" s="28" t="s">
        <v>0</v>
      </c>
      <c r="C402" s="28">
        <v>2010</v>
      </c>
      <c r="D402" s="28" t="s">
        <v>1</v>
      </c>
      <c r="E402" s="28" t="s">
        <v>5</v>
      </c>
      <c r="F402" s="28">
        <v>69935.342430000004</v>
      </c>
      <c r="H402">
        <f>VLOOKUP(A402&amp;B402,ticker_sector[],2,FALSE)</f>
        <v>4</v>
      </c>
      <c r="I402">
        <f>VLOOKUP(C402,year[],2,FALSE)</f>
        <v>0</v>
      </c>
      <c r="J402">
        <f>VLOOKUP(E402,showing[],2,FALSE)</f>
        <v>3</v>
      </c>
      <c r="K402">
        <f>Сектора[[#This Row],[Значение]]</f>
        <v>69935.342430000004</v>
      </c>
      <c r="L402" t="str">
        <f t="shared" si="6"/>
        <v>INSERT INTO msfo.statements (id_company, id_year, id_showing, value) VALUES (4,0,3,69935,34243);</v>
      </c>
    </row>
    <row r="403" spans="1:12">
      <c r="A403" s="28" t="s">
        <v>38</v>
      </c>
      <c r="B403" s="28" t="s">
        <v>0</v>
      </c>
      <c r="C403" s="28">
        <v>2011</v>
      </c>
      <c r="D403" s="28" t="s">
        <v>1</v>
      </c>
      <c r="E403" s="28" t="s">
        <v>5</v>
      </c>
      <c r="F403" s="28">
        <v>117583.53779049999</v>
      </c>
      <c r="H403">
        <f>VLOOKUP(A403&amp;B403,ticker_sector[],2,FALSE)</f>
        <v>4</v>
      </c>
      <c r="I403">
        <f>VLOOKUP(C403,year[],2,FALSE)</f>
        <v>1</v>
      </c>
      <c r="J403">
        <f>VLOOKUP(E403,showing[],2,FALSE)</f>
        <v>3</v>
      </c>
      <c r="K403">
        <f>Сектора[[#This Row],[Значение]]</f>
        <v>117583.53779049999</v>
      </c>
      <c r="L403" t="str">
        <f t="shared" si="6"/>
        <v>INSERT INTO msfo.statements (id_company, id_year, id_showing, value) VALUES (4,1,3,117583,5377905);</v>
      </c>
    </row>
    <row r="404" spans="1:12">
      <c r="A404" s="28" t="s">
        <v>38</v>
      </c>
      <c r="B404" s="28" t="s">
        <v>0</v>
      </c>
      <c r="C404" s="28">
        <v>2012</v>
      </c>
      <c r="D404" s="28" t="s">
        <v>1</v>
      </c>
      <c r="E404" s="28" t="s">
        <v>5</v>
      </c>
      <c r="F404" s="28">
        <v>109430.5905202</v>
      </c>
      <c r="H404">
        <f>VLOOKUP(A404&amp;B404,ticker_sector[],2,FALSE)</f>
        <v>4</v>
      </c>
      <c r="I404">
        <f>VLOOKUP(C404,year[],2,FALSE)</f>
        <v>2</v>
      </c>
      <c r="J404">
        <f>VLOOKUP(E404,showing[],2,FALSE)</f>
        <v>3</v>
      </c>
      <c r="K404">
        <f>Сектора[[#This Row],[Значение]]</f>
        <v>109430.5905202</v>
      </c>
      <c r="L404" t="str">
        <f t="shared" si="6"/>
        <v>INSERT INTO msfo.statements (id_company, id_year, id_showing, value) VALUES (4,2,3,109430,5905202);</v>
      </c>
    </row>
    <row r="405" spans="1:12">
      <c r="A405" s="28" t="s">
        <v>38</v>
      </c>
      <c r="B405" s="28" t="s">
        <v>0</v>
      </c>
      <c r="C405" s="28">
        <v>2013</v>
      </c>
      <c r="D405" s="28" t="s">
        <v>1</v>
      </c>
      <c r="E405" s="28" t="s">
        <v>5</v>
      </c>
      <c r="F405" s="28">
        <v>106524.9054912</v>
      </c>
      <c r="H405">
        <f>VLOOKUP(A405&amp;B405,ticker_sector[],2,FALSE)</f>
        <v>4</v>
      </c>
      <c r="I405">
        <f>VLOOKUP(C405,year[],2,FALSE)</f>
        <v>3</v>
      </c>
      <c r="J405">
        <f>VLOOKUP(E405,showing[],2,FALSE)</f>
        <v>3</v>
      </c>
      <c r="K405">
        <f>Сектора[[#This Row],[Значение]]</f>
        <v>106524.9054912</v>
      </c>
      <c r="L405" t="str">
        <f t="shared" si="6"/>
        <v>INSERT INTO msfo.statements (id_company, id_year, id_showing, value) VALUES (4,3,3,106524,9054912);</v>
      </c>
    </row>
    <row r="406" spans="1:12">
      <c r="A406" s="28" t="s">
        <v>38</v>
      </c>
      <c r="B406" s="28" t="s">
        <v>0</v>
      </c>
      <c r="C406" s="28">
        <v>2014</v>
      </c>
      <c r="D406" s="28" t="s">
        <v>1</v>
      </c>
      <c r="E406" s="28" t="s">
        <v>5</v>
      </c>
      <c r="F406" s="28">
        <v>168616.43879520003</v>
      </c>
      <c r="H406">
        <f>VLOOKUP(A406&amp;B406,ticker_sector[],2,FALSE)</f>
        <v>4</v>
      </c>
      <c r="I406">
        <f>VLOOKUP(C406,year[],2,FALSE)</f>
        <v>4</v>
      </c>
      <c r="J406">
        <f>VLOOKUP(E406,showing[],2,FALSE)</f>
        <v>3</v>
      </c>
      <c r="K406">
        <f>Сектора[[#This Row],[Значение]]</f>
        <v>168616.43879520003</v>
      </c>
      <c r="L406" t="str">
        <f t="shared" si="6"/>
        <v>INSERT INTO msfo.statements (id_company, id_year, id_showing, value) VALUES (4,4,3,168616,4387952);</v>
      </c>
    </row>
    <row r="407" spans="1:12">
      <c r="A407" s="28" t="s">
        <v>38</v>
      </c>
      <c r="B407" s="28" t="s">
        <v>0</v>
      </c>
      <c r="C407" s="28">
        <v>2015</v>
      </c>
      <c r="D407" s="28" t="s">
        <v>1</v>
      </c>
      <c r="E407" s="28" t="s">
        <v>5</v>
      </c>
      <c r="F407" s="28">
        <v>151704.53834029997</v>
      </c>
      <c r="H407">
        <f>VLOOKUP(A407&amp;B407,ticker_sector[],2,FALSE)</f>
        <v>4</v>
      </c>
      <c r="I407">
        <f>VLOOKUP(C407,year[],2,FALSE)</f>
        <v>5</v>
      </c>
      <c r="J407">
        <f>VLOOKUP(E407,showing[],2,FALSE)</f>
        <v>3</v>
      </c>
      <c r="K407">
        <f>Сектора[[#This Row],[Значение]]</f>
        <v>151704.53834029997</v>
      </c>
      <c r="L407" t="str">
        <f t="shared" si="6"/>
        <v>INSERT INTO msfo.statements (id_company, id_year, id_showing, value) VALUES (4,5,3,151704,5383403);</v>
      </c>
    </row>
    <row r="408" spans="1:12">
      <c r="A408" s="28" t="s">
        <v>38</v>
      </c>
      <c r="B408" s="28" t="s">
        <v>0</v>
      </c>
      <c r="C408" s="28">
        <v>2016</v>
      </c>
      <c r="D408" s="28" t="s">
        <v>1</v>
      </c>
      <c r="E408" s="28" t="s">
        <v>5</v>
      </c>
      <c r="F408" s="28">
        <v>165532.6801</v>
      </c>
      <c r="H408">
        <f>VLOOKUP(A408&amp;B408,ticker_sector[],2,FALSE)</f>
        <v>4</v>
      </c>
      <c r="I408">
        <f>VLOOKUP(C408,year[],2,FALSE)</f>
        <v>6</v>
      </c>
      <c r="J408">
        <f>VLOOKUP(E408,showing[],2,FALSE)</f>
        <v>3</v>
      </c>
      <c r="K408">
        <f>Сектора[[#This Row],[Значение]]</f>
        <v>165532.6801</v>
      </c>
      <c r="L408" t="str">
        <f t="shared" si="6"/>
        <v>INSERT INTO msfo.statements (id_company, id_year, id_showing, value) VALUES (4,6,3,165532,6801);</v>
      </c>
    </row>
    <row r="409" spans="1:12">
      <c r="A409" s="28" t="s">
        <v>38</v>
      </c>
      <c r="B409" s="28" t="s">
        <v>0</v>
      </c>
      <c r="C409" s="28">
        <v>2017</v>
      </c>
      <c r="D409" s="28" t="s">
        <v>1</v>
      </c>
      <c r="E409" s="28" t="s">
        <v>5</v>
      </c>
      <c r="F409" s="28">
        <v>180173.42560000002</v>
      </c>
      <c r="H409">
        <f>VLOOKUP(A409&amp;B409,ticker_sector[],2,FALSE)</f>
        <v>4</v>
      </c>
      <c r="I409">
        <f>VLOOKUP(C409,year[],2,FALSE)</f>
        <v>7</v>
      </c>
      <c r="J409">
        <f>VLOOKUP(E409,showing[],2,FALSE)</f>
        <v>3</v>
      </c>
      <c r="K409">
        <f>Сектора[[#This Row],[Значение]]</f>
        <v>180173.42560000002</v>
      </c>
      <c r="L409" t="str">
        <f t="shared" si="6"/>
        <v>INSERT INTO msfo.statements (id_company, id_year, id_showing, value) VALUES (4,7,3,180173,4256);</v>
      </c>
    </row>
    <row r="410" spans="1:12">
      <c r="A410" s="28" t="s">
        <v>38</v>
      </c>
      <c r="B410" s="28" t="s">
        <v>0</v>
      </c>
      <c r="C410" s="28">
        <v>2010</v>
      </c>
      <c r="D410" s="28" t="s">
        <v>1</v>
      </c>
      <c r="E410" s="28" t="s">
        <v>6</v>
      </c>
      <c r="F410" s="28">
        <v>37223.327537800003</v>
      </c>
      <c r="H410">
        <f>VLOOKUP(A410&amp;B410,ticker_sector[],2,FALSE)</f>
        <v>4</v>
      </c>
      <c r="I410">
        <f>VLOOKUP(C410,year[],2,FALSE)</f>
        <v>0</v>
      </c>
      <c r="J410">
        <f>VLOOKUP(E410,showing[],2,FALSE)</f>
        <v>4</v>
      </c>
      <c r="K410">
        <f>Сектора[[#This Row],[Значение]]</f>
        <v>37223.327537800003</v>
      </c>
      <c r="L410" t="str">
        <f t="shared" si="6"/>
        <v>INSERT INTO msfo.statements (id_company, id_year, id_showing, value) VALUES (4,0,4,37223,3275378);</v>
      </c>
    </row>
    <row r="411" spans="1:12">
      <c r="A411" s="28" t="s">
        <v>38</v>
      </c>
      <c r="B411" s="28" t="s">
        <v>0</v>
      </c>
      <c r="C411" s="28">
        <v>2011</v>
      </c>
      <c r="D411" s="28" t="s">
        <v>1</v>
      </c>
      <c r="E411" s="28" t="s">
        <v>6</v>
      </c>
      <c r="F411" s="28">
        <v>58422.978667800002</v>
      </c>
      <c r="H411">
        <f>VLOOKUP(A411&amp;B411,ticker_sector[],2,FALSE)</f>
        <v>4</v>
      </c>
      <c r="I411">
        <f>VLOOKUP(C411,year[],2,FALSE)</f>
        <v>1</v>
      </c>
      <c r="J411">
        <f>VLOOKUP(E411,showing[],2,FALSE)</f>
        <v>4</v>
      </c>
      <c r="K411">
        <f>Сектора[[#This Row],[Значение]]</f>
        <v>58422.978667800002</v>
      </c>
      <c r="L411" t="str">
        <f t="shared" si="6"/>
        <v>INSERT INTO msfo.statements (id_company, id_year, id_showing, value) VALUES (4,1,4,58422,9786678);</v>
      </c>
    </row>
    <row r="412" spans="1:12">
      <c r="A412" s="28" t="s">
        <v>38</v>
      </c>
      <c r="B412" s="28" t="s">
        <v>0</v>
      </c>
      <c r="C412" s="28">
        <v>2012</v>
      </c>
      <c r="D412" s="28" t="s">
        <v>1</v>
      </c>
      <c r="E412" s="28" t="s">
        <v>6</v>
      </c>
      <c r="F412" s="28">
        <v>64502.624480800005</v>
      </c>
      <c r="H412">
        <f>VLOOKUP(A412&amp;B412,ticker_sector[],2,FALSE)</f>
        <v>4</v>
      </c>
      <c r="I412">
        <f>VLOOKUP(C412,year[],2,FALSE)</f>
        <v>2</v>
      </c>
      <c r="J412">
        <f>VLOOKUP(E412,showing[],2,FALSE)</f>
        <v>4</v>
      </c>
      <c r="K412">
        <f>Сектора[[#This Row],[Значение]]</f>
        <v>64502.624480800005</v>
      </c>
      <c r="L412" t="str">
        <f t="shared" si="6"/>
        <v>INSERT INTO msfo.statements (id_company, id_year, id_showing, value) VALUES (4,2,4,64502,6244808);</v>
      </c>
    </row>
    <row r="413" spans="1:12">
      <c r="A413" s="28" t="s">
        <v>38</v>
      </c>
      <c r="B413" s="28" t="s">
        <v>0</v>
      </c>
      <c r="C413" s="28">
        <v>2013</v>
      </c>
      <c r="D413" s="28" t="s">
        <v>1</v>
      </c>
      <c r="E413" s="28" t="s">
        <v>6</v>
      </c>
      <c r="F413" s="28">
        <v>58503.117707999998</v>
      </c>
      <c r="H413">
        <f>VLOOKUP(A413&amp;B413,ticker_sector[],2,FALSE)</f>
        <v>4</v>
      </c>
      <c r="I413">
        <f>VLOOKUP(C413,year[],2,FALSE)</f>
        <v>3</v>
      </c>
      <c r="J413">
        <f>VLOOKUP(E413,showing[],2,FALSE)</f>
        <v>4</v>
      </c>
      <c r="K413">
        <f>Сектора[[#This Row],[Значение]]</f>
        <v>58503.117707999998</v>
      </c>
      <c r="L413" t="str">
        <f t="shared" si="6"/>
        <v>INSERT INTO msfo.statements (id_company, id_year, id_showing, value) VALUES (4,3,4,58503,117708);</v>
      </c>
    </row>
    <row r="414" spans="1:12">
      <c r="A414" s="28" t="s">
        <v>38</v>
      </c>
      <c r="B414" s="28" t="s">
        <v>0</v>
      </c>
      <c r="C414" s="28">
        <v>2014</v>
      </c>
      <c r="D414" s="28" t="s">
        <v>1</v>
      </c>
      <c r="E414" s="28" t="s">
        <v>6</v>
      </c>
      <c r="F414" s="28">
        <v>48915.778665600003</v>
      </c>
      <c r="H414">
        <f>VLOOKUP(A414&amp;B414,ticker_sector[],2,FALSE)</f>
        <v>4</v>
      </c>
      <c r="I414">
        <f>VLOOKUP(C414,year[],2,FALSE)</f>
        <v>4</v>
      </c>
      <c r="J414">
        <f>VLOOKUP(E414,showing[],2,FALSE)</f>
        <v>4</v>
      </c>
      <c r="K414">
        <f>Сектора[[#This Row],[Значение]]</f>
        <v>48915.778665600003</v>
      </c>
      <c r="L414" t="str">
        <f t="shared" si="6"/>
        <v>INSERT INTO msfo.statements (id_company, id_year, id_showing, value) VALUES (4,4,4,48915,7786656);</v>
      </c>
    </row>
    <row r="415" spans="1:12">
      <c r="A415" s="28" t="s">
        <v>38</v>
      </c>
      <c r="B415" s="28" t="s">
        <v>0</v>
      </c>
      <c r="C415" s="28">
        <v>2015</v>
      </c>
      <c r="D415" s="28" t="s">
        <v>1</v>
      </c>
      <c r="E415" s="28" t="s">
        <v>6</v>
      </c>
      <c r="F415" s="28">
        <v>35461.077685000004</v>
      </c>
      <c r="H415">
        <f>VLOOKUP(A415&amp;B415,ticker_sector[],2,FALSE)</f>
        <v>4</v>
      </c>
      <c r="I415">
        <f>VLOOKUP(C415,year[],2,FALSE)</f>
        <v>5</v>
      </c>
      <c r="J415">
        <f>VLOOKUP(E415,showing[],2,FALSE)</f>
        <v>4</v>
      </c>
      <c r="K415">
        <f>Сектора[[#This Row],[Значение]]</f>
        <v>35461.077685000004</v>
      </c>
      <c r="L415" t="str">
        <f t="shared" si="6"/>
        <v>INSERT INTO msfo.statements (id_company, id_year, id_showing, value) VALUES (4,5,4,35461,077685);</v>
      </c>
    </row>
    <row r="416" spans="1:12">
      <c r="A416" s="28" t="s">
        <v>38</v>
      </c>
      <c r="B416" s="28" t="s">
        <v>0</v>
      </c>
      <c r="C416" s="28">
        <v>2016</v>
      </c>
      <c r="D416" s="28" t="s">
        <v>1</v>
      </c>
      <c r="E416" s="28" t="s">
        <v>6</v>
      </c>
      <c r="F416" s="28">
        <v>59504.418899999997</v>
      </c>
      <c r="H416">
        <f>VLOOKUP(A416&amp;B416,ticker_sector[],2,FALSE)</f>
        <v>4</v>
      </c>
      <c r="I416">
        <f>VLOOKUP(C416,year[],2,FALSE)</f>
        <v>6</v>
      </c>
      <c r="J416">
        <f>VLOOKUP(E416,showing[],2,FALSE)</f>
        <v>4</v>
      </c>
      <c r="K416">
        <f>Сектора[[#This Row],[Значение]]</f>
        <v>59504.418899999997</v>
      </c>
      <c r="L416" t="str">
        <f t="shared" si="6"/>
        <v>INSERT INTO msfo.statements (id_company, id_year, id_showing, value) VALUES (4,6,4,59504,4189);</v>
      </c>
    </row>
    <row r="417" spans="1:12">
      <c r="A417" s="28" t="s">
        <v>38</v>
      </c>
      <c r="B417" s="28" t="s">
        <v>0</v>
      </c>
      <c r="C417" s="28">
        <v>2017</v>
      </c>
      <c r="D417" s="28" t="s">
        <v>1</v>
      </c>
      <c r="E417" s="28" t="s">
        <v>6</v>
      </c>
      <c r="F417" s="28">
        <v>75283.4614</v>
      </c>
      <c r="H417">
        <f>VLOOKUP(A417&amp;B417,ticker_sector[],2,FALSE)</f>
        <v>4</v>
      </c>
      <c r="I417">
        <f>VLOOKUP(C417,year[],2,FALSE)</f>
        <v>7</v>
      </c>
      <c r="J417">
        <f>VLOOKUP(E417,showing[],2,FALSE)</f>
        <v>4</v>
      </c>
      <c r="K417">
        <f>Сектора[[#This Row],[Значение]]</f>
        <v>75283.4614</v>
      </c>
      <c r="L417" t="str">
        <f t="shared" si="6"/>
        <v>INSERT INTO msfo.statements (id_company, id_year, id_showing, value) VALUES (4,7,4,75283,4614);</v>
      </c>
    </row>
    <row r="418" spans="1:12">
      <c r="A418" s="28" t="s">
        <v>38</v>
      </c>
      <c r="B418" s="28" t="s">
        <v>0</v>
      </c>
      <c r="C418" s="28">
        <v>2010</v>
      </c>
      <c r="D418" s="28" t="s">
        <v>1</v>
      </c>
      <c r="E418" s="28" t="s">
        <v>8</v>
      </c>
      <c r="F418" s="28">
        <v>26345.6038205</v>
      </c>
      <c r="H418">
        <f>VLOOKUP(A418&amp;B418,ticker_sector[],2,FALSE)</f>
        <v>4</v>
      </c>
      <c r="I418">
        <f>VLOOKUP(C418,year[],2,FALSE)</f>
        <v>0</v>
      </c>
      <c r="J418">
        <f>VLOOKUP(E418,showing[],2,FALSE)</f>
        <v>5</v>
      </c>
      <c r="K418">
        <f>Сектора[[#This Row],[Значение]]</f>
        <v>26345.6038205</v>
      </c>
      <c r="L418" t="str">
        <f t="shared" si="6"/>
        <v>INSERT INTO msfo.statements (id_company, id_year, id_showing, value) VALUES (4,0,5,26345,6038205);</v>
      </c>
    </row>
    <row r="419" spans="1:12">
      <c r="A419" s="28" t="s">
        <v>38</v>
      </c>
      <c r="B419" s="28" t="s">
        <v>0</v>
      </c>
      <c r="C419" s="28">
        <v>2011</v>
      </c>
      <c r="D419" s="28" t="s">
        <v>1</v>
      </c>
      <c r="E419" s="28" t="s">
        <v>8</v>
      </c>
      <c r="F419" s="28">
        <v>26155.5965024</v>
      </c>
      <c r="H419">
        <f>VLOOKUP(A419&amp;B419,ticker_sector[],2,FALSE)</f>
        <v>4</v>
      </c>
      <c r="I419">
        <f>VLOOKUP(C419,year[],2,FALSE)</f>
        <v>1</v>
      </c>
      <c r="J419">
        <f>VLOOKUP(E419,showing[],2,FALSE)</f>
        <v>5</v>
      </c>
      <c r="K419">
        <f>Сектора[[#This Row],[Значение]]</f>
        <v>26155.5965024</v>
      </c>
      <c r="L419" t="str">
        <f t="shared" si="6"/>
        <v>INSERT INTO msfo.statements (id_company, id_year, id_showing, value) VALUES (4,1,5,26155,5965024);</v>
      </c>
    </row>
    <row r="420" spans="1:12">
      <c r="A420" s="28" t="s">
        <v>38</v>
      </c>
      <c r="B420" s="28" t="s">
        <v>0</v>
      </c>
      <c r="C420" s="28">
        <v>2012</v>
      </c>
      <c r="D420" s="28" t="s">
        <v>1</v>
      </c>
      <c r="E420" s="28" t="s">
        <v>8</v>
      </c>
      <c r="F420" s="28">
        <v>23875.614997599998</v>
      </c>
      <c r="H420">
        <f>VLOOKUP(A420&amp;B420,ticker_sector[],2,FALSE)</f>
        <v>4</v>
      </c>
      <c r="I420">
        <f>VLOOKUP(C420,year[],2,FALSE)</f>
        <v>2</v>
      </c>
      <c r="J420">
        <f>VLOOKUP(E420,showing[],2,FALSE)</f>
        <v>5</v>
      </c>
      <c r="K420">
        <f>Сектора[[#This Row],[Значение]]</f>
        <v>23875.614997599998</v>
      </c>
      <c r="L420" t="str">
        <f t="shared" si="6"/>
        <v>INSERT INTO msfo.statements (id_company, id_year, id_showing, value) VALUES (4,2,5,23875,6149976);</v>
      </c>
    </row>
    <row r="421" spans="1:12">
      <c r="A421" s="28" t="s">
        <v>38</v>
      </c>
      <c r="B421" s="28" t="s">
        <v>0</v>
      </c>
      <c r="C421" s="28">
        <v>2013</v>
      </c>
      <c r="D421" s="28" t="s">
        <v>1</v>
      </c>
      <c r="E421" s="28" t="s">
        <v>8</v>
      </c>
      <c r="F421" s="28">
        <v>38413.280164000003</v>
      </c>
      <c r="H421">
        <f>VLOOKUP(A421&amp;B421,ticker_sector[],2,FALSE)</f>
        <v>4</v>
      </c>
      <c r="I421">
        <f>VLOOKUP(C421,year[],2,FALSE)</f>
        <v>3</v>
      </c>
      <c r="J421">
        <f>VLOOKUP(E421,showing[],2,FALSE)</f>
        <v>5</v>
      </c>
      <c r="K421">
        <f>Сектора[[#This Row],[Значение]]</f>
        <v>38413.280164000003</v>
      </c>
      <c r="L421" t="str">
        <f t="shared" si="6"/>
        <v>INSERT INTO msfo.statements (id_company, id_year, id_showing, value) VALUES (4,3,5,38413,280164);</v>
      </c>
    </row>
    <row r="422" spans="1:12">
      <c r="A422" s="28" t="s">
        <v>38</v>
      </c>
      <c r="B422" s="28" t="s">
        <v>0</v>
      </c>
      <c r="C422" s="28">
        <v>2014</v>
      </c>
      <c r="D422" s="28" t="s">
        <v>1</v>
      </c>
      <c r="E422" s="28" t="s">
        <v>8</v>
      </c>
      <c r="F422" s="28">
        <v>61608.067514399998</v>
      </c>
      <c r="H422">
        <f>VLOOKUP(A422&amp;B422,ticker_sector[],2,FALSE)</f>
        <v>4</v>
      </c>
      <c r="I422">
        <f>VLOOKUP(C422,year[],2,FALSE)</f>
        <v>4</v>
      </c>
      <c r="J422">
        <f>VLOOKUP(E422,showing[],2,FALSE)</f>
        <v>5</v>
      </c>
      <c r="K422">
        <f>Сектора[[#This Row],[Значение]]</f>
        <v>61608.067514399998</v>
      </c>
      <c r="L422" t="str">
        <f t="shared" si="6"/>
        <v>INSERT INTO msfo.statements (id_company, id_year, id_showing, value) VALUES (4,4,5,61608,0675143999);</v>
      </c>
    </row>
    <row r="423" spans="1:12">
      <c r="A423" s="28" t="s">
        <v>38</v>
      </c>
      <c r="B423" s="28" t="s">
        <v>0</v>
      </c>
      <c r="C423" s="28">
        <v>2015</v>
      </c>
      <c r="D423" s="28" t="s">
        <v>1</v>
      </c>
      <c r="E423" s="28" t="s">
        <v>8</v>
      </c>
      <c r="F423" s="28">
        <v>85558.021887800001</v>
      </c>
      <c r="H423">
        <f>VLOOKUP(A423&amp;B423,ticker_sector[],2,FALSE)</f>
        <v>4</v>
      </c>
      <c r="I423">
        <f>VLOOKUP(C423,year[],2,FALSE)</f>
        <v>5</v>
      </c>
      <c r="J423">
        <f>VLOOKUP(E423,showing[],2,FALSE)</f>
        <v>5</v>
      </c>
      <c r="K423">
        <f>Сектора[[#This Row],[Значение]]</f>
        <v>85558.021887800001</v>
      </c>
      <c r="L423" t="str">
        <f t="shared" si="6"/>
        <v>INSERT INTO msfo.statements (id_company, id_year, id_showing, value) VALUES (4,5,5,85558,0218878);</v>
      </c>
    </row>
    <row r="424" spans="1:12">
      <c r="A424" s="28" t="s">
        <v>38</v>
      </c>
      <c r="B424" s="28" t="s">
        <v>0</v>
      </c>
      <c r="C424" s="28">
        <v>2016</v>
      </c>
      <c r="D424" s="28" t="s">
        <v>1</v>
      </c>
      <c r="E424" s="28" t="s">
        <v>8</v>
      </c>
      <c r="F424" s="28">
        <v>88619.730899999995</v>
      </c>
      <c r="H424">
        <f>VLOOKUP(A424&amp;B424,ticker_sector[],2,FALSE)</f>
        <v>4</v>
      </c>
      <c r="I424">
        <f>VLOOKUP(C424,year[],2,FALSE)</f>
        <v>6</v>
      </c>
      <c r="J424">
        <f>VLOOKUP(E424,showing[],2,FALSE)</f>
        <v>5</v>
      </c>
      <c r="K424">
        <f>Сектора[[#This Row],[Значение]]</f>
        <v>88619.730899999995</v>
      </c>
      <c r="L424" t="str">
        <f t="shared" si="6"/>
        <v>INSERT INTO msfo.statements (id_company, id_year, id_showing, value) VALUES (4,6,5,88619,7309);</v>
      </c>
    </row>
    <row r="425" spans="1:12">
      <c r="A425" s="28" t="s">
        <v>38</v>
      </c>
      <c r="B425" s="28" t="s">
        <v>0</v>
      </c>
      <c r="C425" s="28">
        <v>2017</v>
      </c>
      <c r="D425" s="28" t="s">
        <v>1</v>
      </c>
      <c r="E425" s="28" t="s">
        <v>8</v>
      </c>
      <c r="F425" s="28">
        <v>92563.521399999998</v>
      </c>
      <c r="H425">
        <f>VLOOKUP(A425&amp;B425,ticker_sector[],2,FALSE)</f>
        <v>4</v>
      </c>
      <c r="I425">
        <f>VLOOKUP(C425,year[],2,FALSE)</f>
        <v>7</v>
      </c>
      <c r="J425">
        <f>VLOOKUP(E425,showing[],2,FALSE)</f>
        <v>5</v>
      </c>
      <c r="K425">
        <f>Сектора[[#This Row],[Значение]]</f>
        <v>92563.521399999998</v>
      </c>
      <c r="L425" t="str">
        <f t="shared" si="6"/>
        <v>INSERT INTO msfo.statements (id_company, id_year, id_showing, value) VALUES (4,7,5,92563,5214);</v>
      </c>
    </row>
    <row r="426" spans="1:12">
      <c r="A426" s="28" t="s">
        <v>38</v>
      </c>
      <c r="B426" s="28" t="s">
        <v>0</v>
      </c>
      <c r="C426" s="28">
        <v>2010</v>
      </c>
      <c r="D426" s="28" t="s">
        <v>1</v>
      </c>
      <c r="E426" s="28" t="s">
        <v>9</v>
      </c>
      <c r="F426" s="28">
        <v>6366.4110717000003</v>
      </c>
      <c r="H426">
        <f>VLOOKUP(A426&amp;B426,ticker_sector[],2,FALSE)</f>
        <v>4</v>
      </c>
      <c r="I426">
        <f>VLOOKUP(C426,year[],2,FALSE)</f>
        <v>0</v>
      </c>
      <c r="J426">
        <f>VLOOKUP(E426,showing[],2,FALSE)</f>
        <v>6</v>
      </c>
      <c r="K426">
        <f>Сектора[[#This Row],[Значение]]</f>
        <v>6366.4110717000003</v>
      </c>
      <c r="L426" t="str">
        <f t="shared" si="6"/>
        <v>INSERT INTO msfo.statements (id_company, id_year, id_showing, value) VALUES (4,0,6,6366,4110717);</v>
      </c>
    </row>
    <row r="427" spans="1:12">
      <c r="A427" s="28" t="s">
        <v>38</v>
      </c>
      <c r="B427" s="28" t="s">
        <v>0</v>
      </c>
      <c r="C427" s="28">
        <v>2011</v>
      </c>
      <c r="D427" s="28" t="s">
        <v>1</v>
      </c>
      <c r="E427" s="28" t="s">
        <v>9</v>
      </c>
      <c r="F427" s="28">
        <v>33004.962620300001</v>
      </c>
      <c r="H427">
        <f>VLOOKUP(A427&amp;B427,ticker_sector[],2,FALSE)</f>
        <v>4</v>
      </c>
      <c r="I427">
        <f>VLOOKUP(C427,year[],2,FALSE)</f>
        <v>1</v>
      </c>
      <c r="J427">
        <f>VLOOKUP(E427,showing[],2,FALSE)</f>
        <v>6</v>
      </c>
      <c r="K427">
        <f>Сектора[[#This Row],[Значение]]</f>
        <v>33004.962620300001</v>
      </c>
      <c r="L427" t="str">
        <f t="shared" si="6"/>
        <v>INSERT INTO msfo.statements (id_company, id_year, id_showing, value) VALUES (4,1,6,33004,9626203);</v>
      </c>
    </row>
    <row r="428" spans="1:12">
      <c r="A428" s="28" t="s">
        <v>38</v>
      </c>
      <c r="B428" s="28" t="s">
        <v>0</v>
      </c>
      <c r="C428" s="28">
        <v>2012</v>
      </c>
      <c r="D428" s="28" t="s">
        <v>1</v>
      </c>
      <c r="E428" s="28" t="s">
        <v>9</v>
      </c>
      <c r="F428" s="28">
        <v>21052.351041800001</v>
      </c>
      <c r="H428">
        <f>VLOOKUP(A428&amp;B428,ticker_sector[],2,FALSE)</f>
        <v>4</v>
      </c>
      <c r="I428">
        <f>VLOOKUP(C428,year[],2,FALSE)</f>
        <v>2</v>
      </c>
      <c r="J428">
        <f>VLOOKUP(E428,showing[],2,FALSE)</f>
        <v>6</v>
      </c>
      <c r="K428">
        <f>Сектора[[#This Row],[Значение]]</f>
        <v>21052.351041800001</v>
      </c>
      <c r="L428" t="str">
        <f t="shared" si="6"/>
        <v>INSERT INTO msfo.statements (id_company, id_year, id_showing, value) VALUES (4,2,6,21052,3510418);</v>
      </c>
    </row>
    <row r="429" spans="1:12">
      <c r="A429" s="28" t="s">
        <v>38</v>
      </c>
      <c r="B429" s="28" t="s">
        <v>0</v>
      </c>
      <c r="C429" s="28">
        <v>2013</v>
      </c>
      <c r="D429" s="28" t="s">
        <v>1</v>
      </c>
      <c r="E429" s="28" t="s">
        <v>9</v>
      </c>
      <c r="F429" s="28">
        <v>9608.5076191999997</v>
      </c>
      <c r="H429">
        <f>VLOOKUP(A429&amp;B429,ticker_sector[],2,FALSE)</f>
        <v>4</v>
      </c>
      <c r="I429">
        <f>VLOOKUP(C429,year[],2,FALSE)</f>
        <v>3</v>
      </c>
      <c r="J429">
        <f>VLOOKUP(E429,showing[],2,FALSE)</f>
        <v>6</v>
      </c>
      <c r="K429">
        <f>Сектора[[#This Row],[Значение]]</f>
        <v>9608.5076191999997</v>
      </c>
      <c r="L429" t="str">
        <f t="shared" si="6"/>
        <v>INSERT INTO msfo.statements (id_company, id_year, id_showing, value) VALUES (4,3,6,9608,5076192);</v>
      </c>
    </row>
    <row r="430" spans="1:12">
      <c r="A430" s="28" t="s">
        <v>38</v>
      </c>
      <c r="B430" s="28" t="s">
        <v>0</v>
      </c>
      <c r="C430" s="28">
        <v>2014</v>
      </c>
      <c r="D430" s="28" t="s">
        <v>1</v>
      </c>
      <c r="E430" s="28" t="s">
        <v>9</v>
      </c>
      <c r="F430" s="28">
        <v>58092.592615200003</v>
      </c>
      <c r="H430">
        <f>VLOOKUP(A430&amp;B430,ticker_sector[],2,FALSE)</f>
        <v>4</v>
      </c>
      <c r="I430">
        <f>VLOOKUP(C430,year[],2,FALSE)</f>
        <v>4</v>
      </c>
      <c r="J430">
        <f>VLOOKUP(E430,showing[],2,FALSE)</f>
        <v>6</v>
      </c>
      <c r="K430">
        <f>Сектора[[#This Row],[Значение]]</f>
        <v>58092.592615200003</v>
      </c>
      <c r="L430" t="str">
        <f t="shared" si="6"/>
        <v>INSERT INTO msfo.statements (id_company, id_year, id_showing, value) VALUES (4,4,6,58092,5926152);</v>
      </c>
    </row>
    <row r="431" spans="1:12">
      <c r="A431" s="28" t="s">
        <v>38</v>
      </c>
      <c r="B431" s="28" t="s">
        <v>0</v>
      </c>
      <c r="C431" s="28">
        <v>2015</v>
      </c>
      <c r="D431" s="28" t="s">
        <v>1</v>
      </c>
      <c r="E431" s="28" t="s">
        <v>9</v>
      </c>
      <c r="F431" s="28">
        <v>30685.4387675</v>
      </c>
      <c r="H431">
        <f>VLOOKUP(A431&amp;B431,ticker_sector[],2,FALSE)</f>
        <v>4</v>
      </c>
      <c r="I431">
        <f>VLOOKUP(C431,year[],2,FALSE)</f>
        <v>5</v>
      </c>
      <c r="J431">
        <f>VLOOKUP(E431,showing[],2,FALSE)</f>
        <v>6</v>
      </c>
      <c r="K431">
        <f>Сектора[[#This Row],[Значение]]</f>
        <v>30685.4387675</v>
      </c>
      <c r="L431" t="str">
        <f t="shared" si="6"/>
        <v>INSERT INTO msfo.statements (id_company, id_year, id_showing, value) VALUES (4,5,6,30685,4387675);</v>
      </c>
    </row>
    <row r="432" spans="1:12">
      <c r="A432" s="28" t="s">
        <v>38</v>
      </c>
      <c r="B432" s="28" t="s">
        <v>0</v>
      </c>
      <c r="C432" s="28">
        <v>2016</v>
      </c>
      <c r="D432" s="28" t="s">
        <v>1</v>
      </c>
      <c r="E432" s="28" t="s">
        <v>9</v>
      </c>
      <c r="F432" s="28">
        <v>17408.530299999999</v>
      </c>
      <c r="H432">
        <f>VLOOKUP(A432&amp;B432,ticker_sector[],2,FALSE)</f>
        <v>4</v>
      </c>
      <c r="I432">
        <f>VLOOKUP(C432,year[],2,FALSE)</f>
        <v>6</v>
      </c>
      <c r="J432">
        <f>VLOOKUP(E432,showing[],2,FALSE)</f>
        <v>6</v>
      </c>
      <c r="K432">
        <f>Сектора[[#This Row],[Значение]]</f>
        <v>17408.530299999999</v>
      </c>
      <c r="L432" t="str">
        <f t="shared" si="6"/>
        <v>INSERT INTO msfo.statements (id_company, id_year, id_showing, value) VALUES (4,6,6,17408,5303);</v>
      </c>
    </row>
    <row r="433" spans="1:12">
      <c r="A433" s="28" t="s">
        <v>38</v>
      </c>
      <c r="B433" s="28" t="s">
        <v>0</v>
      </c>
      <c r="C433" s="28">
        <v>2017</v>
      </c>
      <c r="D433" s="28" t="s">
        <v>1</v>
      </c>
      <c r="E433" s="28" t="s">
        <v>9</v>
      </c>
      <c r="F433" s="28">
        <v>12326.442800000001</v>
      </c>
      <c r="H433">
        <f>VLOOKUP(A433&amp;B433,ticker_sector[],2,FALSE)</f>
        <v>4</v>
      </c>
      <c r="I433">
        <f>VLOOKUP(C433,year[],2,FALSE)</f>
        <v>7</v>
      </c>
      <c r="J433">
        <f>VLOOKUP(E433,showing[],2,FALSE)</f>
        <v>6</v>
      </c>
      <c r="K433">
        <f>Сектора[[#This Row],[Значение]]</f>
        <v>12326.442800000001</v>
      </c>
      <c r="L433" t="str">
        <f t="shared" si="6"/>
        <v>INSERT INTO msfo.statements (id_company, id_year, id_showing, value) VALUES (4,7,6,12326,4428);</v>
      </c>
    </row>
    <row r="434" spans="1:12">
      <c r="A434" s="28" t="s">
        <v>38</v>
      </c>
      <c r="B434" s="28" t="s">
        <v>0</v>
      </c>
      <c r="C434" s="28">
        <v>2010</v>
      </c>
      <c r="D434" s="28" t="s">
        <v>1</v>
      </c>
      <c r="E434" s="28" t="s">
        <v>10</v>
      </c>
      <c r="F434" s="28">
        <v>69935.342430000004</v>
      </c>
      <c r="H434">
        <f>VLOOKUP(A434&amp;B434,ticker_sector[],2,FALSE)</f>
        <v>4</v>
      </c>
      <c r="I434">
        <f>VLOOKUP(C434,year[],2,FALSE)</f>
        <v>0</v>
      </c>
      <c r="J434">
        <f>VLOOKUP(E434,showing[],2,FALSE)</f>
        <v>7</v>
      </c>
      <c r="K434">
        <f>Сектора[[#This Row],[Значение]]</f>
        <v>69935.342430000004</v>
      </c>
      <c r="L434" t="str">
        <f t="shared" si="6"/>
        <v>INSERT INTO msfo.statements (id_company, id_year, id_showing, value) VALUES (4,0,7,69935,34243);</v>
      </c>
    </row>
    <row r="435" spans="1:12">
      <c r="A435" s="28" t="s">
        <v>38</v>
      </c>
      <c r="B435" s="28" t="s">
        <v>0</v>
      </c>
      <c r="C435" s="28">
        <v>2011</v>
      </c>
      <c r="D435" s="28" t="s">
        <v>1</v>
      </c>
      <c r="E435" s="28" t="s">
        <v>10</v>
      </c>
      <c r="F435" s="28">
        <v>117583.53779050001</v>
      </c>
      <c r="H435">
        <f>VLOOKUP(A435&amp;B435,ticker_sector[],2,FALSE)</f>
        <v>4</v>
      </c>
      <c r="I435">
        <f>VLOOKUP(C435,year[],2,FALSE)</f>
        <v>1</v>
      </c>
      <c r="J435">
        <f>VLOOKUP(E435,showing[],2,FALSE)</f>
        <v>7</v>
      </c>
      <c r="K435">
        <f>Сектора[[#This Row],[Значение]]</f>
        <v>117583.53779050001</v>
      </c>
      <c r="L435" t="str">
        <f t="shared" si="6"/>
        <v>INSERT INTO msfo.statements (id_company, id_year, id_showing, value) VALUES (4,1,7,117583,5377905);</v>
      </c>
    </row>
    <row r="436" spans="1:12">
      <c r="A436" s="28" t="s">
        <v>38</v>
      </c>
      <c r="B436" s="28" t="s">
        <v>0</v>
      </c>
      <c r="C436" s="28">
        <v>2012</v>
      </c>
      <c r="D436" s="28" t="s">
        <v>1</v>
      </c>
      <c r="E436" s="28" t="s">
        <v>10</v>
      </c>
      <c r="F436" s="28">
        <v>109430.5905202</v>
      </c>
      <c r="H436">
        <f>VLOOKUP(A436&amp;B436,ticker_sector[],2,FALSE)</f>
        <v>4</v>
      </c>
      <c r="I436">
        <f>VLOOKUP(C436,year[],2,FALSE)</f>
        <v>2</v>
      </c>
      <c r="J436">
        <f>VLOOKUP(E436,showing[],2,FALSE)</f>
        <v>7</v>
      </c>
      <c r="K436">
        <f>Сектора[[#This Row],[Значение]]</f>
        <v>109430.5905202</v>
      </c>
      <c r="L436" t="str">
        <f t="shared" si="6"/>
        <v>INSERT INTO msfo.statements (id_company, id_year, id_showing, value) VALUES (4,2,7,109430,5905202);</v>
      </c>
    </row>
    <row r="437" spans="1:12">
      <c r="A437" s="28" t="s">
        <v>38</v>
      </c>
      <c r="B437" s="28" t="s">
        <v>0</v>
      </c>
      <c r="C437" s="28">
        <v>2013</v>
      </c>
      <c r="D437" s="28" t="s">
        <v>1</v>
      </c>
      <c r="E437" s="28" t="s">
        <v>10</v>
      </c>
      <c r="F437" s="28">
        <v>106524.9054912</v>
      </c>
      <c r="H437">
        <f>VLOOKUP(A437&amp;B437,ticker_sector[],2,FALSE)</f>
        <v>4</v>
      </c>
      <c r="I437">
        <f>VLOOKUP(C437,year[],2,FALSE)</f>
        <v>3</v>
      </c>
      <c r="J437">
        <f>VLOOKUP(E437,showing[],2,FALSE)</f>
        <v>7</v>
      </c>
      <c r="K437">
        <f>Сектора[[#This Row],[Значение]]</f>
        <v>106524.9054912</v>
      </c>
      <c r="L437" t="str">
        <f t="shared" si="6"/>
        <v>INSERT INTO msfo.statements (id_company, id_year, id_showing, value) VALUES (4,3,7,106524,9054912);</v>
      </c>
    </row>
    <row r="438" spans="1:12">
      <c r="A438" s="28" t="s">
        <v>38</v>
      </c>
      <c r="B438" s="28" t="s">
        <v>0</v>
      </c>
      <c r="C438" s="28">
        <v>2014</v>
      </c>
      <c r="D438" s="28" t="s">
        <v>1</v>
      </c>
      <c r="E438" s="28" t="s">
        <v>10</v>
      </c>
      <c r="F438" s="28">
        <v>168616.4387952</v>
      </c>
      <c r="H438">
        <f>VLOOKUP(A438&amp;B438,ticker_sector[],2,FALSE)</f>
        <v>4</v>
      </c>
      <c r="I438">
        <f>VLOOKUP(C438,year[],2,FALSE)</f>
        <v>4</v>
      </c>
      <c r="J438">
        <f>VLOOKUP(E438,showing[],2,FALSE)</f>
        <v>7</v>
      </c>
      <c r="K438">
        <f>Сектора[[#This Row],[Значение]]</f>
        <v>168616.4387952</v>
      </c>
      <c r="L438" t="str">
        <f t="shared" si="6"/>
        <v>INSERT INTO msfo.statements (id_company, id_year, id_showing, value) VALUES (4,4,7,168616,4387952);</v>
      </c>
    </row>
    <row r="439" spans="1:12">
      <c r="A439" s="28" t="s">
        <v>38</v>
      </c>
      <c r="B439" s="28" t="s">
        <v>0</v>
      </c>
      <c r="C439" s="28">
        <v>2015</v>
      </c>
      <c r="D439" s="28" t="s">
        <v>1</v>
      </c>
      <c r="E439" s="28" t="s">
        <v>10</v>
      </c>
      <c r="F439" s="28">
        <v>151704.5383403</v>
      </c>
      <c r="H439">
        <f>VLOOKUP(A439&amp;B439,ticker_sector[],2,FALSE)</f>
        <v>4</v>
      </c>
      <c r="I439">
        <f>VLOOKUP(C439,year[],2,FALSE)</f>
        <v>5</v>
      </c>
      <c r="J439">
        <f>VLOOKUP(E439,showing[],2,FALSE)</f>
        <v>7</v>
      </c>
      <c r="K439">
        <f>Сектора[[#This Row],[Значение]]</f>
        <v>151704.5383403</v>
      </c>
      <c r="L439" t="str">
        <f t="shared" si="6"/>
        <v>INSERT INTO msfo.statements (id_company, id_year, id_showing, value) VALUES (4,5,7,151704,5383403);</v>
      </c>
    </row>
    <row r="440" spans="1:12">
      <c r="A440" s="28" t="s">
        <v>38</v>
      </c>
      <c r="B440" s="28" t="s">
        <v>0</v>
      </c>
      <c r="C440" s="28">
        <v>2016</v>
      </c>
      <c r="D440" s="28" t="s">
        <v>1</v>
      </c>
      <c r="E440" s="28" t="s">
        <v>10</v>
      </c>
      <c r="F440" s="28">
        <v>165532.6801</v>
      </c>
      <c r="H440">
        <f>VLOOKUP(A440&amp;B440,ticker_sector[],2,FALSE)</f>
        <v>4</v>
      </c>
      <c r="I440">
        <f>VLOOKUP(C440,year[],2,FALSE)</f>
        <v>6</v>
      </c>
      <c r="J440">
        <f>VLOOKUP(E440,showing[],2,FALSE)</f>
        <v>7</v>
      </c>
      <c r="K440">
        <f>Сектора[[#This Row],[Значение]]</f>
        <v>165532.6801</v>
      </c>
      <c r="L440" t="str">
        <f t="shared" si="6"/>
        <v>INSERT INTO msfo.statements (id_company, id_year, id_showing, value) VALUES (4,6,7,165532,6801);</v>
      </c>
    </row>
    <row r="441" spans="1:12">
      <c r="A441" s="28" t="s">
        <v>38</v>
      </c>
      <c r="B441" s="28" t="s">
        <v>0</v>
      </c>
      <c r="C441" s="28">
        <v>2017</v>
      </c>
      <c r="D441" s="28" t="s">
        <v>1</v>
      </c>
      <c r="E441" s="28" t="s">
        <v>10</v>
      </c>
      <c r="F441" s="28">
        <v>180173.42560000002</v>
      </c>
      <c r="H441">
        <f>VLOOKUP(A441&amp;B441,ticker_sector[],2,FALSE)</f>
        <v>4</v>
      </c>
      <c r="I441">
        <f>VLOOKUP(C441,year[],2,FALSE)</f>
        <v>7</v>
      </c>
      <c r="J441">
        <f>VLOOKUP(E441,showing[],2,FALSE)</f>
        <v>7</v>
      </c>
      <c r="K441">
        <f>Сектора[[#This Row],[Значение]]</f>
        <v>180173.42560000002</v>
      </c>
      <c r="L441" t="str">
        <f t="shared" si="6"/>
        <v>INSERT INTO msfo.statements (id_company, id_year, id_showing, value) VALUES (4,7,7,180173,4256);</v>
      </c>
    </row>
    <row r="442" spans="1:12">
      <c r="A442" s="28" t="s">
        <v>38</v>
      </c>
      <c r="B442" s="28" t="s">
        <v>0</v>
      </c>
      <c r="C442" s="28">
        <v>2010</v>
      </c>
      <c r="D442" s="28" t="s">
        <v>1</v>
      </c>
      <c r="E442" s="28" t="s">
        <v>11</v>
      </c>
      <c r="F442" s="28">
        <v>0.46774654638950625</v>
      </c>
      <c r="H442">
        <f>VLOOKUP(A442&amp;B442,ticker_sector[],2,FALSE)</f>
        <v>4</v>
      </c>
      <c r="I442">
        <f>VLOOKUP(C442,year[],2,FALSE)</f>
        <v>0</v>
      </c>
      <c r="J442">
        <f>VLOOKUP(E442,showing[],2,FALSE)</f>
        <v>8</v>
      </c>
      <c r="K442">
        <f>Сектора[[#This Row],[Значение]]</f>
        <v>0.46774654638950625</v>
      </c>
      <c r="L442" t="str">
        <f t="shared" si="6"/>
        <v>INSERT INTO msfo.statements (id_company, id_year, id_showing, value) VALUES (4,0,8,0,467746546389506);</v>
      </c>
    </row>
    <row r="443" spans="1:12">
      <c r="A443" s="28" t="s">
        <v>38</v>
      </c>
      <c r="B443" s="28" t="s">
        <v>0</v>
      </c>
      <c r="C443" s="28">
        <v>2011</v>
      </c>
      <c r="D443" s="28" t="s">
        <v>1</v>
      </c>
      <c r="E443" s="28" t="s">
        <v>11</v>
      </c>
      <c r="F443" s="28">
        <v>0.50313641037155277</v>
      </c>
      <c r="H443">
        <f>VLOOKUP(A443&amp;B443,ticker_sector[],2,FALSE)</f>
        <v>4</v>
      </c>
      <c r="I443">
        <f>VLOOKUP(C443,year[],2,FALSE)</f>
        <v>1</v>
      </c>
      <c r="J443">
        <f>VLOOKUP(E443,showing[],2,FALSE)</f>
        <v>8</v>
      </c>
      <c r="K443">
        <f>Сектора[[#This Row],[Значение]]</f>
        <v>0.50313641037155277</v>
      </c>
      <c r="L443" t="str">
        <f t="shared" si="6"/>
        <v>INSERT INTO msfo.statements (id_company, id_year, id_showing, value) VALUES (4,1,8,0,503136410371553);</v>
      </c>
    </row>
    <row r="444" spans="1:12">
      <c r="A444" s="28" t="s">
        <v>38</v>
      </c>
      <c r="B444" s="28" t="s">
        <v>0</v>
      </c>
      <c r="C444" s="28">
        <v>2012</v>
      </c>
      <c r="D444" s="28" t="s">
        <v>1</v>
      </c>
      <c r="E444" s="28" t="s">
        <v>11</v>
      </c>
      <c r="F444" s="28">
        <v>0.41056130489496589</v>
      </c>
      <c r="H444">
        <f>VLOOKUP(A444&amp;B444,ticker_sector[],2,FALSE)</f>
        <v>4</v>
      </c>
      <c r="I444">
        <f>VLOOKUP(C444,year[],2,FALSE)</f>
        <v>2</v>
      </c>
      <c r="J444">
        <f>VLOOKUP(E444,showing[],2,FALSE)</f>
        <v>8</v>
      </c>
      <c r="K444">
        <f>Сектора[[#This Row],[Значение]]</f>
        <v>0.41056130489496589</v>
      </c>
      <c r="L444" t="str">
        <f t="shared" si="6"/>
        <v>INSERT INTO msfo.statements (id_company, id_year, id_showing, value) VALUES (4,2,8,0,410561304894966);</v>
      </c>
    </row>
    <row r="445" spans="1:12">
      <c r="A445" s="28" t="s">
        <v>38</v>
      </c>
      <c r="B445" s="28" t="s">
        <v>0</v>
      </c>
      <c r="C445" s="28">
        <v>2013</v>
      </c>
      <c r="D445" s="28" t="s">
        <v>1</v>
      </c>
      <c r="E445" s="28" t="s">
        <v>11</v>
      </c>
      <c r="F445" s="28">
        <v>0.45080338313153512</v>
      </c>
      <c r="H445">
        <f>VLOOKUP(A445&amp;B445,ticker_sector[],2,FALSE)</f>
        <v>4</v>
      </c>
      <c r="I445">
        <f>VLOOKUP(C445,year[],2,FALSE)</f>
        <v>3</v>
      </c>
      <c r="J445">
        <f>VLOOKUP(E445,showing[],2,FALSE)</f>
        <v>8</v>
      </c>
      <c r="K445">
        <f>Сектора[[#This Row],[Значение]]</f>
        <v>0.45080338313153512</v>
      </c>
      <c r="L445" t="str">
        <f t="shared" si="6"/>
        <v>INSERT INTO msfo.statements (id_company, id_year, id_showing, value) VALUES (4,3,8,0,450803383131535);</v>
      </c>
    </row>
    <row r="446" spans="1:12">
      <c r="A446" s="28" t="s">
        <v>38</v>
      </c>
      <c r="B446" s="28" t="s">
        <v>0</v>
      </c>
      <c r="C446" s="28">
        <v>2014</v>
      </c>
      <c r="D446" s="28" t="s">
        <v>1</v>
      </c>
      <c r="E446" s="28" t="s">
        <v>11</v>
      </c>
      <c r="F446" s="28">
        <v>0.70989911176446652</v>
      </c>
      <c r="H446">
        <f>VLOOKUP(A446&amp;B446,ticker_sector[],2,FALSE)</f>
        <v>4</v>
      </c>
      <c r="I446">
        <f>VLOOKUP(C446,year[],2,FALSE)</f>
        <v>4</v>
      </c>
      <c r="J446">
        <f>VLOOKUP(E446,showing[],2,FALSE)</f>
        <v>8</v>
      </c>
      <c r="K446">
        <f>Сектора[[#This Row],[Значение]]</f>
        <v>0.70989911176446652</v>
      </c>
      <c r="L446" t="str">
        <f t="shared" si="6"/>
        <v>INSERT INTO msfo.statements (id_company, id_year, id_showing, value) VALUES (4,4,8,0,709899111764467);</v>
      </c>
    </row>
    <row r="447" spans="1:12">
      <c r="A447" s="28" t="s">
        <v>38</v>
      </c>
      <c r="B447" s="28" t="s">
        <v>0</v>
      </c>
      <c r="C447" s="28">
        <v>2015</v>
      </c>
      <c r="D447" s="28" t="s">
        <v>1</v>
      </c>
      <c r="E447" s="28" t="s">
        <v>11</v>
      </c>
      <c r="F447" s="28">
        <v>0.76624906497223866</v>
      </c>
      <c r="H447">
        <f>VLOOKUP(A447&amp;B447,ticker_sector[],2,FALSE)</f>
        <v>4</v>
      </c>
      <c r="I447">
        <f>VLOOKUP(C447,year[],2,FALSE)</f>
        <v>5</v>
      </c>
      <c r="J447">
        <f>VLOOKUP(E447,showing[],2,FALSE)</f>
        <v>8</v>
      </c>
      <c r="K447">
        <f>Сектора[[#This Row],[Значение]]</f>
        <v>0.76624906497223866</v>
      </c>
      <c r="L447" t="str">
        <f t="shared" si="6"/>
        <v>INSERT INTO msfo.statements (id_company, id_year, id_showing, value) VALUES (4,5,8,0,766249064972239);</v>
      </c>
    </row>
    <row r="448" spans="1:12">
      <c r="A448" s="28" t="s">
        <v>38</v>
      </c>
      <c r="B448" s="28" t="s">
        <v>0</v>
      </c>
      <c r="C448" s="28">
        <v>2016</v>
      </c>
      <c r="D448" s="28" t="s">
        <v>1</v>
      </c>
      <c r="E448" s="28" t="s">
        <v>11</v>
      </c>
      <c r="F448" s="28">
        <v>0.64052766581165255</v>
      </c>
      <c r="H448">
        <f>VLOOKUP(A448&amp;B448,ticker_sector[],2,FALSE)</f>
        <v>4</v>
      </c>
      <c r="I448">
        <f>VLOOKUP(C448,year[],2,FALSE)</f>
        <v>6</v>
      </c>
      <c r="J448">
        <f>VLOOKUP(E448,showing[],2,FALSE)</f>
        <v>8</v>
      </c>
      <c r="K448">
        <f>Сектора[[#This Row],[Значение]]</f>
        <v>0.64052766581165255</v>
      </c>
      <c r="L448" t="str">
        <f t="shared" si="6"/>
        <v>INSERT INTO msfo.statements (id_company, id_year, id_showing, value) VALUES (4,6,8,0,640527665811653);</v>
      </c>
    </row>
    <row r="449" spans="1:12">
      <c r="A449" s="28" t="s">
        <v>38</v>
      </c>
      <c r="B449" s="28" t="s">
        <v>0</v>
      </c>
      <c r="C449" s="28">
        <v>2017</v>
      </c>
      <c r="D449" s="28" t="s">
        <v>1</v>
      </c>
      <c r="E449" s="28" t="s">
        <v>11</v>
      </c>
      <c r="F449" s="28">
        <v>0.58216112531969311</v>
      </c>
      <c r="H449">
        <f>VLOOKUP(A449&amp;B449,ticker_sector[],2,FALSE)</f>
        <v>4</v>
      </c>
      <c r="I449">
        <f>VLOOKUP(C449,year[],2,FALSE)</f>
        <v>7</v>
      </c>
      <c r="J449">
        <f>VLOOKUP(E449,showing[],2,FALSE)</f>
        <v>8</v>
      </c>
      <c r="K449">
        <f>Сектора[[#This Row],[Значение]]</f>
        <v>0.58216112531969311</v>
      </c>
      <c r="L449" t="str">
        <f t="shared" si="6"/>
        <v>INSERT INTO msfo.statements (id_company, id_year, id_showing, value) VALUES (4,7,8,0,582161125319693);</v>
      </c>
    </row>
    <row r="450" spans="1:12">
      <c r="A450" s="28" t="s">
        <v>38</v>
      </c>
      <c r="B450" s="28" t="s">
        <v>0</v>
      </c>
      <c r="C450" s="28">
        <v>2010</v>
      </c>
      <c r="D450" s="28" t="s">
        <v>4</v>
      </c>
      <c r="E450" s="28" t="s">
        <v>12</v>
      </c>
      <c r="F450" s="28">
        <v>28202.591814399999</v>
      </c>
      <c r="H450">
        <f>VLOOKUP(A450&amp;B450,ticker_sector[],2,FALSE)</f>
        <v>4</v>
      </c>
      <c r="I450">
        <f>VLOOKUP(C450,year[],2,FALSE)</f>
        <v>0</v>
      </c>
      <c r="J450">
        <f>VLOOKUP(E450,showing[],2,FALSE)</f>
        <v>9</v>
      </c>
      <c r="K450">
        <f>Сектора[[#This Row],[Значение]]</f>
        <v>28202.591814399999</v>
      </c>
      <c r="L450" t="str">
        <f t="shared" si="6"/>
        <v>INSERT INTO msfo.statements (id_company, id_year, id_showing, value) VALUES (4,0,9,28202,5918144);</v>
      </c>
    </row>
    <row r="451" spans="1:12">
      <c r="A451" s="28" t="s">
        <v>38</v>
      </c>
      <c r="B451" s="28" t="s">
        <v>0</v>
      </c>
      <c r="C451" s="28">
        <v>2011</v>
      </c>
      <c r="D451" s="28" t="s">
        <v>4</v>
      </c>
      <c r="E451" s="28" t="s">
        <v>12</v>
      </c>
      <c r="F451" s="28">
        <v>42705.872923000003</v>
      </c>
      <c r="H451">
        <f>VLOOKUP(A451&amp;B451,ticker_sector[],2,FALSE)</f>
        <v>4</v>
      </c>
      <c r="I451">
        <f>VLOOKUP(C451,year[],2,FALSE)</f>
        <v>1</v>
      </c>
      <c r="J451">
        <f>VLOOKUP(E451,showing[],2,FALSE)</f>
        <v>9</v>
      </c>
      <c r="K451">
        <f>Сектора[[#This Row],[Значение]]</f>
        <v>42705.872923000003</v>
      </c>
      <c r="L451" t="str">
        <f t="shared" ref="L451:L514" si="7">"INSERT INTO msfo.statements (id_company, id_year, id_showing, value) VALUES ("&amp;H451&amp; ","&amp;I451&amp; ","&amp;J451&amp; ","&amp;K451&amp;");"</f>
        <v>INSERT INTO msfo.statements (id_company, id_year, id_showing, value) VALUES (4,1,9,42705,872923);</v>
      </c>
    </row>
    <row r="452" spans="1:12">
      <c r="A452" s="28" t="s">
        <v>38</v>
      </c>
      <c r="B452" s="28" t="s">
        <v>0</v>
      </c>
      <c r="C452" s="28">
        <v>2012</v>
      </c>
      <c r="D452" s="28" t="s">
        <v>4</v>
      </c>
      <c r="E452" s="28" t="s">
        <v>12</v>
      </c>
      <c r="F452" s="28">
        <v>56312.960025499997</v>
      </c>
      <c r="H452">
        <f>VLOOKUP(A452&amp;B452,ticker_sector[],2,FALSE)</f>
        <v>4</v>
      </c>
      <c r="I452">
        <f>VLOOKUP(C452,year[],2,FALSE)</f>
        <v>2</v>
      </c>
      <c r="J452">
        <f>VLOOKUP(E452,showing[],2,FALSE)</f>
        <v>9</v>
      </c>
      <c r="K452">
        <f>Сектора[[#This Row],[Значение]]</f>
        <v>56312.960025499997</v>
      </c>
      <c r="L452" t="str">
        <f t="shared" si="7"/>
        <v>INSERT INTO msfo.statements (id_company, id_year, id_showing, value) VALUES (4,2,9,56312,9600255);</v>
      </c>
    </row>
    <row r="453" spans="1:12">
      <c r="A453" s="28" t="s">
        <v>38</v>
      </c>
      <c r="B453" s="28" t="s">
        <v>0</v>
      </c>
      <c r="C453" s="28">
        <v>2013</v>
      </c>
      <c r="D453" s="28" t="s">
        <v>4</v>
      </c>
      <c r="E453" s="28" t="s">
        <v>12</v>
      </c>
      <c r="F453" s="28">
        <v>55855.554532399998</v>
      </c>
      <c r="H453">
        <f>VLOOKUP(A453&amp;B453,ticker_sector[],2,FALSE)</f>
        <v>4</v>
      </c>
      <c r="I453">
        <f>VLOOKUP(C453,year[],2,FALSE)</f>
        <v>3</v>
      </c>
      <c r="J453">
        <f>VLOOKUP(E453,showing[],2,FALSE)</f>
        <v>9</v>
      </c>
      <c r="K453">
        <f>Сектора[[#This Row],[Значение]]</f>
        <v>55855.554532399998</v>
      </c>
      <c r="L453" t="str">
        <f t="shared" si="7"/>
        <v>INSERT INTO msfo.statements (id_company, id_year, id_showing, value) VALUES (4,3,9,55855,5545324);</v>
      </c>
    </row>
    <row r="454" spans="1:12">
      <c r="A454" s="28" t="s">
        <v>38</v>
      </c>
      <c r="B454" s="28" t="s">
        <v>0</v>
      </c>
      <c r="C454" s="28">
        <v>2014</v>
      </c>
      <c r="D454" s="28" t="s">
        <v>4</v>
      </c>
      <c r="E454" s="28" t="s">
        <v>12</v>
      </c>
      <c r="F454" s="28">
        <v>95098.693034400014</v>
      </c>
      <c r="H454">
        <f>VLOOKUP(A454&amp;B454,ticker_sector[],2,FALSE)</f>
        <v>4</v>
      </c>
      <c r="I454">
        <f>VLOOKUP(C454,year[],2,FALSE)</f>
        <v>4</v>
      </c>
      <c r="J454">
        <f>VLOOKUP(E454,showing[],2,FALSE)</f>
        <v>9</v>
      </c>
      <c r="K454">
        <f>Сектора[[#This Row],[Значение]]</f>
        <v>95098.693034400014</v>
      </c>
      <c r="L454" t="str">
        <f t="shared" si="7"/>
        <v>INSERT INTO msfo.statements (id_company, id_year, id_showing, value) VALUES (4,4,9,95098,6930344);</v>
      </c>
    </row>
    <row r="455" spans="1:12">
      <c r="A455" s="28" t="s">
        <v>38</v>
      </c>
      <c r="B455" s="28" t="s">
        <v>0</v>
      </c>
      <c r="C455" s="28">
        <v>2015</v>
      </c>
      <c r="D455" s="28" t="s">
        <v>4</v>
      </c>
      <c r="E455" s="28" t="s">
        <v>12</v>
      </c>
      <c r="F455" s="28">
        <v>105030.74879110001</v>
      </c>
      <c r="H455">
        <f>VLOOKUP(A455&amp;B455,ticker_sector[],2,FALSE)</f>
        <v>4</v>
      </c>
      <c r="I455">
        <f>VLOOKUP(C455,year[],2,FALSE)</f>
        <v>5</v>
      </c>
      <c r="J455">
        <f>VLOOKUP(E455,showing[],2,FALSE)</f>
        <v>9</v>
      </c>
      <c r="K455">
        <f>Сектора[[#This Row],[Значение]]</f>
        <v>105030.74879110001</v>
      </c>
      <c r="L455" t="str">
        <f t="shared" si="7"/>
        <v>INSERT INTO msfo.statements (id_company, id_year, id_showing, value) VALUES (4,5,9,105030,7487911);</v>
      </c>
    </row>
    <row r="456" spans="1:12">
      <c r="A456" s="28" t="s">
        <v>38</v>
      </c>
      <c r="B456" s="28" t="s">
        <v>0</v>
      </c>
      <c r="C456" s="28">
        <v>2016</v>
      </c>
      <c r="D456" s="28" t="s">
        <v>4</v>
      </c>
      <c r="E456" s="28" t="s">
        <v>12</v>
      </c>
      <c r="F456" s="28">
        <v>96019.872700000007</v>
      </c>
      <c r="H456">
        <f>VLOOKUP(A456&amp;B456,ticker_sector[],2,FALSE)</f>
        <v>4</v>
      </c>
      <c r="I456">
        <f>VLOOKUP(C456,year[],2,FALSE)</f>
        <v>6</v>
      </c>
      <c r="J456">
        <f>VLOOKUP(E456,showing[],2,FALSE)</f>
        <v>9</v>
      </c>
      <c r="K456">
        <f>Сектора[[#This Row],[Значение]]</f>
        <v>96019.872700000007</v>
      </c>
      <c r="L456" t="str">
        <f t="shared" si="7"/>
        <v>INSERT INTO msfo.statements (id_company, id_year, id_showing, value) VALUES (4,6,9,96019,8727);</v>
      </c>
    </row>
    <row r="457" spans="1:12">
      <c r="A457" s="28" t="s">
        <v>38</v>
      </c>
      <c r="B457" s="28" t="s">
        <v>0</v>
      </c>
      <c r="C457" s="28">
        <v>2017</v>
      </c>
      <c r="D457" s="28" t="s">
        <v>4</v>
      </c>
      <c r="E457" s="28" t="s">
        <v>12</v>
      </c>
      <c r="F457" s="28">
        <v>104544.363</v>
      </c>
      <c r="H457">
        <f>VLOOKUP(A457&amp;B457,ticker_sector[],2,FALSE)</f>
        <v>4</v>
      </c>
      <c r="I457">
        <f>VLOOKUP(C457,year[],2,FALSE)</f>
        <v>7</v>
      </c>
      <c r="J457">
        <f>VLOOKUP(E457,showing[],2,FALSE)</f>
        <v>9</v>
      </c>
      <c r="K457">
        <f>Сектора[[#This Row],[Значение]]</f>
        <v>104544.363</v>
      </c>
      <c r="L457" t="str">
        <f t="shared" si="7"/>
        <v>INSERT INTO msfo.statements (id_company, id_year, id_showing, value) VALUES (4,7,9,104544,363);</v>
      </c>
    </row>
    <row r="458" spans="1:12">
      <c r="A458" s="28" t="s">
        <v>38</v>
      </c>
      <c r="B458" s="28" t="s">
        <v>0</v>
      </c>
      <c r="C458" s="28">
        <v>2010</v>
      </c>
      <c r="D458" s="28" t="s">
        <v>4</v>
      </c>
      <c r="E458" s="28" t="s">
        <v>13</v>
      </c>
      <c r="F458" s="28">
        <v>7613.3429582999997</v>
      </c>
      <c r="H458">
        <f>VLOOKUP(A458&amp;B458,ticker_sector[],2,FALSE)</f>
        <v>4</v>
      </c>
      <c r="I458">
        <f>VLOOKUP(C458,year[],2,FALSE)</f>
        <v>0</v>
      </c>
      <c r="J458">
        <f>VLOOKUP(E458,showing[],2,FALSE)</f>
        <v>10</v>
      </c>
      <c r="K458">
        <f>Сектора[[#This Row],[Значение]]</f>
        <v>7613.3429582999997</v>
      </c>
      <c r="L458" t="str">
        <f t="shared" si="7"/>
        <v>INSERT INTO msfo.statements (id_company, id_year, id_showing, value) VALUES (4,0,10,7613,3429583);</v>
      </c>
    </row>
    <row r="459" spans="1:12">
      <c r="A459" s="28" t="s">
        <v>38</v>
      </c>
      <c r="B459" s="28" t="s">
        <v>0</v>
      </c>
      <c r="C459" s="28">
        <v>2011</v>
      </c>
      <c r="D459" s="28" t="s">
        <v>4</v>
      </c>
      <c r="E459" s="28" t="s">
        <v>13</v>
      </c>
      <c r="F459" s="28">
        <v>9315.0722403</v>
      </c>
      <c r="H459">
        <f>VLOOKUP(A459&amp;B459,ticker_sector[],2,FALSE)</f>
        <v>4</v>
      </c>
      <c r="I459">
        <f>VLOOKUP(C459,year[],2,FALSE)</f>
        <v>1</v>
      </c>
      <c r="J459">
        <f>VLOOKUP(E459,showing[],2,FALSE)</f>
        <v>10</v>
      </c>
      <c r="K459">
        <f>Сектора[[#This Row],[Значение]]</f>
        <v>9315.0722403</v>
      </c>
      <c r="L459" t="str">
        <f t="shared" si="7"/>
        <v>INSERT INTO msfo.statements (id_company, id_year, id_showing, value) VALUES (4,1,10,9315,0722403);</v>
      </c>
    </row>
    <row r="460" spans="1:12">
      <c r="A460" s="28" t="s">
        <v>38</v>
      </c>
      <c r="B460" s="28" t="s">
        <v>0</v>
      </c>
      <c r="C460" s="28">
        <v>2012</v>
      </c>
      <c r="D460" s="28" t="s">
        <v>4</v>
      </c>
      <c r="E460" s="28" t="s">
        <v>13</v>
      </c>
      <c r="F460" s="28">
        <v>11977.413499599999</v>
      </c>
      <c r="H460">
        <f>VLOOKUP(A460&amp;B460,ticker_sector[],2,FALSE)</f>
        <v>4</v>
      </c>
      <c r="I460">
        <f>VLOOKUP(C460,year[],2,FALSE)</f>
        <v>2</v>
      </c>
      <c r="J460">
        <f>VLOOKUP(E460,showing[],2,FALSE)</f>
        <v>10</v>
      </c>
      <c r="K460">
        <f>Сектора[[#This Row],[Значение]]</f>
        <v>11977.413499599999</v>
      </c>
      <c r="L460" t="str">
        <f t="shared" si="7"/>
        <v>INSERT INTO msfo.statements (id_company, id_year, id_showing, value) VALUES (4,2,10,11977,4134996);</v>
      </c>
    </row>
    <row r="461" spans="1:12">
      <c r="A461" s="28" t="s">
        <v>38</v>
      </c>
      <c r="B461" s="28" t="s">
        <v>0</v>
      </c>
      <c r="C461" s="28">
        <v>2013</v>
      </c>
      <c r="D461" s="28" t="s">
        <v>4</v>
      </c>
      <c r="E461" s="28" t="s">
        <v>13</v>
      </c>
      <c r="F461" s="28">
        <v>-6448.8633804000001</v>
      </c>
      <c r="H461">
        <f>VLOOKUP(A461&amp;B461,ticker_sector[],2,FALSE)</f>
        <v>4</v>
      </c>
      <c r="I461">
        <f>VLOOKUP(C461,year[],2,FALSE)</f>
        <v>3</v>
      </c>
      <c r="J461">
        <f>VLOOKUP(E461,showing[],2,FALSE)</f>
        <v>10</v>
      </c>
      <c r="K461">
        <f>Сектора[[#This Row],[Значение]]</f>
        <v>-6448.8633804000001</v>
      </c>
      <c r="L461" t="str">
        <f t="shared" si="7"/>
        <v>INSERT INTO msfo.statements (id_company, id_year, id_showing, value) VALUES (4,3,10,-6448,8633804);</v>
      </c>
    </row>
    <row r="462" spans="1:12">
      <c r="A462" s="28" t="s">
        <v>38</v>
      </c>
      <c r="B462" s="28" t="s">
        <v>0</v>
      </c>
      <c r="C462" s="28">
        <v>2014</v>
      </c>
      <c r="D462" s="28" t="s">
        <v>4</v>
      </c>
      <c r="E462" s="28" t="s">
        <v>13</v>
      </c>
      <c r="F462" s="28">
        <v>-11805.262656000001</v>
      </c>
      <c r="H462">
        <f>VLOOKUP(A462&amp;B462,ticker_sector[],2,FALSE)</f>
        <v>4</v>
      </c>
      <c r="I462">
        <f>VLOOKUP(C462,year[],2,FALSE)</f>
        <v>4</v>
      </c>
      <c r="J462">
        <f>VLOOKUP(E462,showing[],2,FALSE)</f>
        <v>10</v>
      </c>
      <c r="K462">
        <f>Сектора[[#This Row],[Значение]]</f>
        <v>-11805.262656000001</v>
      </c>
      <c r="L462" t="str">
        <f t="shared" si="7"/>
        <v>INSERT INTO msfo.statements (id_company, id_year, id_showing, value) VALUES (4,4,10,-11805,262656);</v>
      </c>
    </row>
    <row r="463" spans="1:12">
      <c r="A463" s="28" t="s">
        <v>38</v>
      </c>
      <c r="B463" s="28" t="s">
        <v>0</v>
      </c>
      <c r="C463" s="28">
        <v>2015</v>
      </c>
      <c r="D463" s="28" t="s">
        <v>4</v>
      </c>
      <c r="E463" s="28" t="s">
        <v>13</v>
      </c>
      <c r="F463" s="28">
        <v>16106.7122865</v>
      </c>
      <c r="H463">
        <f>VLOOKUP(A463&amp;B463,ticker_sector[],2,FALSE)</f>
        <v>4</v>
      </c>
      <c r="I463">
        <f>VLOOKUP(C463,year[],2,FALSE)</f>
        <v>5</v>
      </c>
      <c r="J463">
        <f>VLOOKUP(E463,showing[],2,FALSE)</f>
        <v>10</v>
      </c>
      <c r="K463">
        <f>Сектора[[#This Row],[Значение]]</f>
        <v>16106.7122865</v>
      </c>
      <c r="L463" t="str">
        <f t="shared" si="7"/>
        <v>INSERT INTO msfo.statements (id_company, id_year, id_showing, value) VALUES (4,5,10,16106,7122865);</v>
      </c>
    </row>
    <row r="464" spans="1:12">
      <c r="A464" s="28" t="s">
        <v>38</v>
      </c>
      <c r="B464" s="28" t="s">
        <v>0</v>
      </c>
      <c r="C464" s="28">
        <v>2016</v>
      </c>
      <c r="D464" s="28" t="s">
        <v>4</v>
      </c>
      <c r="E464" s="28" t="s">
        <v>13</v>
      </c>
      <c r="F464" s="28">
        <v>23959.4755</v>
      </c>
      <c r="H464">
        <f>VLOOKUP(A464&amp;B464,ticker_sector[],2,FALSE)</f>
        <v>4</v>
      </c>
      <c r="I464">
        <f>VLOOKUP(C464,year[],2,FALSE)</f>
        <v>6</v>
      </c>
      <c r="J464">
        <f>VLOOKUP(E464,showing[],2,FALSE)</f>
        <v>10</v>
      </c>
      <c r="K464">
        <f>Сектора[[#This Row],[Значение]]</f>
        <v>23959.4755</v>
      </c>
      <c r="L464" t="str">
        <f t="shared" si="7"/>
        <v>INSERT INTO msfo.statements (id_company, id_year, id_showing, value) VALUES (4,6,10,23959,4755);</v>
      </c>
    </row>
    <row r="465" spans="1:12">
      <c r="A465" s="28" t="s">
        <v>38</v>
      </c>
      <c r="B465" s="28" t="s">
        <v>0</v>
      </c>
      <c r="C465" s="28">
        <v>2017</v>
      </c>
      <c r="D465" s="28" t="s">
        <v>4</v>
      </c>
      <c r="E465" s="28" t="s">
        <v>13</v>
      </c>
      <c r="F465" s="28">
        <v>20390.470799999999</v>
      </c>
      <c r="H465">
        <f>VLOOKUP(A465&amp;B465,ticker_sector[],2,FALSE)</f>
        <v>4</v>
      </c>
      <c r="I465">
        <f>VLOOKUP(C465,year[],2,FALSE)</f>
        <v>7</v>
      </c>
      <c r="J465">
        <f>VLOOKUP(E465,showing[],2,FALSE)</f>
        <v>10</v>
      </c>
      <c r="K465">
        <f>Сектора[[#This Row],[Значение]]</f>
        <v>20390.470799999999</v>
      </c>
      <c r="L465" t="str">
        <f t="shared" si="7"/>
        <v>INSERT INTO msfo.statements (id_company, id_year, id_showing, value) VALUES (4,7,10,20390,4708);</v>
      </c>
    </row>
    <row r="466" spans="1:12">
      <c r="A466" s="28" t="s">
        <v>38</v>
      </c>
      <c r="B466" s="28" t="s">
        <v>0</v>
      </c>
      <c r="C466" s="28">
        <v>2010</v>
      </c>
      <c r="D466" s="28" t="s">
        <v>4</v>
      </c>
      <c r="E466" s="28" t="s">
        <v>14</v>
      </c>
      <c r="F466" s="28">
        <v>925.37599999999998</v>
      </c>
      <c r="H466">
        <f>VLOOKUP(A466&amp;B466,ticker_sector[],2,FALSE)</f>
        <v>4</v>
      </c>
      <c r="I466">
        <f>VLOOKUP(C466,year[],2,FALSE)</f>
        <v>0</v>
      </c>
      <c r="J466">
        <f>VLOOKUP(E466,showing[],2,FALSE)</f>
        <v>11</v>
      </c>
      <c r="K466">
        <f>Сектора[[#This Row],[Значение]]</f>
        <v>925.37599999999998</v>
      </c>
      <c r="L466" t="str">
        <f t="shared" si="7"/>
        <v>INSERT INTO msfo.statements (id_company, id_year, id_showing, value) VALUES (4,0,11,925,376);</v>
      </c>
    </row>
    <row r="467" spans="1:12">
      <c r="A467" s="28" t="s">
        <v>38</v>
      </c>
      <c r="B467" s="28" t="s">
        <v>0</v>
      </c>
      <c r="C467" s="28">
        <v>2011</v>
      </c>
      <c r="D467" s="28" t="s">
        <v>4</v>
      </c>
      <c r="E467" s="28" t="s">
        <v>14</v>
      </c>
      <c r="F467" s="28">
        <v>1326.43</v>
      </c>
      <c r="H467">
        <f>VLOOKUP(A467&amp;B467,ticker_sector[],2,FALSE)</f>
        <v>4</v>
      </c>
      <c r="I467">
        <f>VLOOKUP(C467,year[],2,FALSE)</f>
        <v>1</v>
      </c>
      <c r="J467">
        <f>VLOOKUP(E467,showing[],2,FALSE)</f>
        <v>11</v>
      </c>
      <c r="K467">
        <f>Сектора[[#This Row],[Значение]]</f>
        <v>1326.43</v>
      </c>
      <c r="L467" t="str">
        <f t="shared" si="7"/>
        <v>INSERT INTO msfo.statements (id_company, id_year, id_showing, value) VALUES (4,1,11,1326,43);</v>
      </c>
    </row>
    <row r="468" spans="1:12">
      <c r="A468" s="28" t="s">
        <v>38</v>
      </c>
      <c r="B468" s="28" t="s">
        <v>0</v>
      </c>
      <c r="C468" s="28">
        <v>2012</v>
      </c>
      <c r="D468" s="28" t="s">
        <v>4</v>
      </c>
      <c r="E468" s="28" t="s">
        <v>14</v>
      </c>
      <c r="F468" s="28">
        <v>1854.0650000000001</v>
      </c>
      <c r="H468">
        <f>VLOOKUP(A468&amp;B468,ticker_sector[],2,FALSE)</f>
        <v>4</v>
      </c>
      <c r="I468">
        <f>VLOOKUP(C468,year[],2,FALSE)</f>
        <v>2</v>
      </c>
      <c r="J468">
        <f>VLOOKUP(E468,showing[],2,FALSE)</f>
        <v>11</v>
      </c>
      <c r="K468">
        <f>Сектора[[#This Row],[Значение]]</f>
        <v>1854.0650000000001</v>
      </c>
      <c r="L468" t="str">
        <f t="shared" si="7"/>
        <v>INSERT INTO msfo.statements (id_company, id_year, id_showing, value) VALUES (4,2,11,1854,065);</v>
      </c>
    </row>
    <row r="469" spans="1:12">
      <c r="A469" s="28" t="s">
        <v>38</v>
      </c>
      <c r="B469" s="28" t="s">
        <v>0</v>
      </c>
      <c r="C469" s="28">
        <v>2013</v>
      </c>
      <c r="D469" s="28" t="s">
        <v>4</v>
      </c>
      <c r="E469" s="28" t="s">
        <v>14</v>
      </c>
      <c r="F469" s="28">
        <v>1706.597</v>
      </c>
      <c r="H469">
        <f>VLOOKUP(A469&amp;B469,ticker_sector[],2,FALSE)</f>
        <v>4</v>
      </c>
      <c r="I469">
        <f>VLOOKUP(C469,year[],2,FALSE)</f>
        <v>3</v>
      </c>
      <c r="J469">
        <f>VLOOKUP(E469,showing[],2,FALSE)</f>
        <v>11</v>
      </c>
      <c r="K469">
        <f>Сектора[[#This Row],[Значение]]</f>
        <v>1706.597</v>
      </c>
      <c r="L469" t="str">
        <f t="shared" si="7"/>
        <v>INSERT INTO msfo.statements (id_company, id_year, id_showing, value) VALUES (4,3,11,1706,597);</v>
      </c>
    </row>
    <row r="470" spans="1:12">
      <c r="A470" s="28" t="s">
        <v>38</v>
      </c>
      <c r="B470" s="28" t="s">
        <v>0</v>
      </c>
      <c r="C470" s="28">
        <v>2014</v>
      </c>
      <c r="D470" s="28" t="s">
        <v>4</v>
      </c>
      <c r="E470" s="28" t="s">
        <v>14</v>
      </c>
      <c r="F470" s="28">
        <v>1690.3910000000003</v>
      </c>
      <c r="H470">
        <f>VLOOKUP(A470&amp;B470,ticker_sector[],2,FALSE)</f>
        <v>4</v>
      </c>
      <c r="I470">
        <f>VLOOKUP(C470,year[],2,FALSE)</f>
        <v>4</v>
      </c>
      <c r="J470">
        <f>VLOOKUP(E470,showing[],2,FALSE)</f>
        <v>11</v>
      </c>
      <c r="K470">
        <f>Сектора[[#This Row],[Значение]]</f>
        <v>1690.3910000000003</v>
      </c>
      <c r="L470" t="str">
        <f t="shared" si="7"/>
        <v>INSERT INTO msfo.statements (id_company, id_year, id_showing, value) VALUES (4,4,11,1690,391);</v>
      </c>
    </row>
    <row r="471" spans="1:12">
      <c r="A471" s="28" t="s">
        <v>38</v>
      </c>
      <c r="B471" s="28" t="s">
        <v>0</v>
      </c>
      <c r="C471" s="28">
        <v>2015</v>
      </c>
      <c r="D471" s="28" t="s">
        <v>4</v>
      </c>
      <c r="E471" s="28" t="s">
        <v>14</v>
      </c>
      <c r="F471" s="28">
        <v>1441.0930000000001</v>
      </c>
      <c r="H471">
        <f>VLOOKUP(A471&amp;B471,ticker_sector[],2,FALSE)</f>
        <v>4</v>
      </c>
      <c r="I471">
        <f>VLOOKUP(C471,year[],2,FALSE)</f>
        <v>5</v>
      </c>
      <c r="J471">
        <f>VLOOKUP(E471,showing[],2,FALSE)</f>
        <v>11</v>
      </c>
      <c r="K471">
        <f>Сектора[[#This Row],[Значение]]</f>
        <v>1441.0930000000001</v>
      </c>
      <c r="L471" t="str">
        <f t="shared" si="7"/>
        <v>INSERT INTO msfo.statements (id_company, id_year, id_showing, value) VALUES (4,5,11,1441,093);</v>
      </c>
    </row>
    <row r="472" spans="1:12">
      <c r="A472" s="28" t="s">
        <v>38</v>
      </c>
      <c r="B472" s="28" t="s">
        <v>0</v>
      </c>
      <c r="C472" s="28">
        <v>2016</v>
      </c>
      <c r="D472" s="28" t="s">
        <v>4</v>
      </c>
      <c r="E472" s="28" t="s">
        <v>14</v>
      </c>
      <c r="F472" s="28">
        <v>1583</v>
      </c>
      <c r="H472">
        <f>VLOOKUP(A472&amp;B472,ticker_sector[],2,FALSE)</f>
        <v>4</v>
      </c>
      <c r="I472">
        <f>VLOOKUP(C472,year[],2,FALSE)</f>
        <v>6</v>
      </c>
      <c r="J472">
        <f>VLOOKUP(E472,showing[],2,FALSE)</f>
        <v>11</v>
      </c>
      <c r="K472">
        <f>Сектора[[#This Row],[Значение]]</f>
        <v>1583</v>
      </c>
      <c r="L472" t="str">
        <f t="shared" si="7"/>
        <v>INSERT INTO msfo.statements (id_company, id_year, id_showing, value) VALUES (4,6,11,1583);</v>
      </c>
    </row>
    <row r="473" spans="1:12">
      <c r="A473" s="28" t="s">
        <v>38</v>
      </c>
      <c r="B473" s="28" t="s">
        <v>0</v>
      </c>
      <c r="C473" s="28">
        <v>2017</v>
      </c>
      <c r="D473" s="28" t="s">
        <v>4</v>
      </c>
      <c r="E473" s="28" t="s">
        <v>14</v>
      </c>
      <c r="F473" s="28">
        <v>1815</v>
      </c>
      <c r="H473">
        <f>VLOOKUP(A473&amp;B473,ticker_sector[],2,FALSE)</f>
        <v>4</v>
      </c>
      <c r="I473">
        <f>VLOOKUP(C473,year[],2,FALSE)</f>
        <v>7</v>
      </c>
      <c r="J473">
        <f>VLOOKUP(E473,showing[],2,FALSE)</f>
        <v>11</v>
      </c>
      <c r="K473">
        <f>Сектора[[#This Row],[Значение]]</f>
        <v>1815</v>
      </c>
      <c r="L473" t="str">
        <f t="shared" si="7"/>
        <v>INSERT INTO msfo.statements (id_company, id_year, id_showing, value) VALUES (4,7,11,1815);</v>
      </c>
    </row>
    <row r="474" spans="1:12">
      <c r="A474" s="28" t="s">
        <v>38</v>
      </c>
      <c r="B474" s="28" t="s">
        <v>0</v>
      </c>
      <c r="C474" s="28">
        <v>2010</v>
      </c>
      <c r="D474" s="28" t="s">
        <v>4</v>
      </c>
      <c r="E474" s="28" t="s">
        <v>15</v>
      </c>
      <c r="F474" s="28">
        <v>249.80699999999999</v>
      </c>
      <c r="H474">
        <f>VLOOKUP(A474&amp;B474,ticker_sector[],2,FALSE)</f>
        <v>4</v>
      </c>
      <c r="I474">
        <f>VLOOKUP(C474,year[],2,FALSE)</f>
        <v>0</v>
      </c>
      <c r="J474">
        <f>VLOOKUP(E474,showing[],2,FALSE)</f>
        <v>12</v>
      </c>
      <c r="K474">
        <f>Сектора[[#This Row],[Значение]]</f>
        <v>249.80699999999999</v>
      </c>
      <c r="L474" t="str">
        <f t="shared" si="7"/>
        <v>INSERT INTO msfo.statements (id_company, id_year, id_showing, value) VALUES (4,0,12,249,807);</v>
      </c>
    </row>
    <row r="475" spans="1:12">
      <c r="A475" s="28" t="s">
        <v>38</v>
      </c>
      <c r="B475" s="28" t="s">
        <v>0</v>
      </c>
      <c r="C475" s="28">
        <v>2011</v>
      </c>
      <c r="D475" s="28" t="s">
        <v>4</v>
      </c>
      <c r="E475" s="28" t="s">
        <v>15</v>
      </c>
      <c r="F475" s="28">
        <v>289.32299999999998</v>
      </c>
      <c r="H475">
        <f>VLOOKUP(A475&amp;B475,ticker_sector[],2,FALSE)</f>
        <v>4</v>
      </c>
      <c r="I475">
        <f>VLOOKUP(C475,year[],2,FALSE)</f>
        <v>1</v>
      </c>
      <c r="J475">
        <f>VLOOKUP(E475,showing[],2,FALSE)</f>
        <v>12</v>
      </c>
      <c r="K475">
        <f>Сектора[[#This Row],[Значение]]</f>
        <v>289.32299999999998</v>
      </c>
      <c r="L475" t="str">
        <f t="shared" si="7"/>
        <v>INSERT INTO msfo.statements (id_company, id_year, id_showing, value) VALUES (4,1,12,289,323);</v>
      </c>
    </row>
    <row r="476" spans="1:12">
      <c r="A476" s="28" t="s">
        <v>38</v>
      </c>
      <c r="B476" s="28" t="s">
        <v>0</v>
      </c>
      <c r="C476" s="28">
        <v>2012</v>
      </c>
      <c r="D476" s="28" t="s">
        <v>4</v>
      </c>
      <c r="E476" s="28" t="s">
        <v>15</v>
      </c>
      <c r="F476" s="28">
        <v>394.34800000000001</v>
      </c>
      <c r="H476">
        <f>VLOOKUP(A476&amp;B476,ticker_sector[],2,FALSE)</f>
        <v>4</v>
      </c>
      <c r="I476">
        <f>VLOOKUP(C476,year[],2,FALSE)</f>
        <v>2</v>
      </c>
      <c r="J476">
        <f>VLOOKUP(E476,showing[],2,FALSE)</f>
        <v>12</v>
      </c>
      <c r="K476">
        <f>Сектора[[#This Row],[Значение]]</f>
        <v>394.34800000000001</v>
      </c>
      <c r="L476" t="str">
        <f t="shared" si="7"/>
        <v>INSERT INTO msfo.statements (id_company, id_year, id_showing, value) VALUES (4,2,12,394,348);</v>
      </c>
    </row>
    <row r="477" spans="1:12">
      <c r="A477" s="28" t="s">
        <v>38</v>
      </c>
      <c r="B477" s="28" t="s">
        <v>0</v>
      </c>
      <c r="C477" s="28">
        <v>2013</v>
      </c>
      <c r="D477" s="28" t="s">
        <v>4</v>
      </c>
      <c r="E477" s="28" t="s">
        <v>15</v>
      </c>
      <c r="F477" s="28">
        <v>-197.03700000000001</v>
      </c>
      <c r="H477">
        <f>VLOOKUP(A477&amp;B477,ticker_sector[],2,FALSE)</f>
        <v>4</v>
      </c>
      <c r="I477">
        <f>VLOOKUP(C477,year[],2,FALSE)</f>
        <v>3</v>
      </c>
      <c r="J477">
        <f>VLOOKUP(E477,showing[],2,FALSE)</f>
        <v>12</v>
      </c>
      <c r="K477">
        <f>Сектора[[#This Row],[Значение]]</f>
        <v>-197.03700000000001</v>
      </c>
      <c r="L477" t="str">
        <f t="shared" si="7"/>
        <v>INSERT INTO msfo.statements (id_company, id_year, id_showing, value) VALUES (4,3,12,-197,037);</v>
      </c>
    </row>
    <row r="478" spans="1:12">
      <c r="A478" s="28" t="s">
        <v>38</v>
      </c>
      <c r="B478" s="28" t="s">
        <v>0</v>
      </c>
      <c r="C478" s="28">
        <v>2014</v>
      </c>
      <c r="D478" s="28" t="s">
        <v>4</v>
      </c>
      <c r="E478" s="28" t="s">
        <v>15</v>
      </c>
      <c r="F478" s="28">
        <v>-209.84</v>
      </c>
      <c r="H478">
        <f>VLOOKUP(A478&amp;B478,ticker_sector[],2,FALSE)</f>
        <v>4</v>
      </c>
      <c r="I478">
        <f>VLOOKUP(C478,year[],2,FALSE)</f>
        <v>4</v>
      </c>
      <c r="J478">
        <f>VLOOKUP(E478,showing[],2,FALSE)</f>
        <v>12</v>
      </c>
      <c r="K478">
        <f>Сектора[[#This Row],[Значение]]</f>
        <v>-209.84</v>
      </c>
      <c r="L478" t="str">
        <f t="shared" si="7"/>
        <v>INSERT INTO msfo.statements (id_company, id_year, id_showing, value) VALUES (4,4,12,-209,84);</v>
      </c>
    </row>
    <row r="479" spans="1:12">
      <c r="A479" s="28" t="s">
        <v>38</v>
      </c>
      <c r="B479" s="28" t="s">
        <v>0</v>
      </c>
      <c r="C479" s="28">
        <v>2015</v>
      </c>
      <c r="D479" s="28" t="s">
        <v>4</v>
      </c>
      <c r="E479" s="28" t="s">
        <v>15</v>
      </c>
      <c r="F479" s="28">
        <v>220.995</v>
      </c>
      <c r="H479">
        <f>VLOOKUP(A479&amp;B479,ticker_sector[],2,FALSE)</f>
        <v>4</v>
      </c>
      <c r="I479">
        <f>VLOOKUP(C479,year[],2,FALSE)</f>
        <v>5</v>
      </c>
      <c r="J479">
        <f>VLOOKUP(E479,showing[],2,FALSE)</f>
        <v>12</v>
      </c>
      <c r="K479">
        <f>Сектора[[#This Row],[Значение]]</f>
        <v>220.995</v>
      </c>
      <c r="L479" t="str">
        <f t="shared" si="7"/>
        <v>INSERT INTO msfo.statements (id_company, id_year, id_showing, value) VALUES (4,5,12,220,995);</v>
      </c>
    </row>
    <row r="480" spans="1:12">
      <c r="A480" s="28" t="s">
        <v>38</v>
      </c>
      <c r="B480" s="28" t="s">
        <v>0</v>
      </c>
      <c r="C480" s="28">
        <v>2016</v>
      </c>
      <c r="D480" s="28" t="s">
        <v>4</v>
      </c>
      <c r="E480" s="28" t="s">
        <v>15</v>
      </c>
      <c r="F480" s="28">
        <v>395</v>
      </c>
      <c r="H480">
        <f>VLOOKUP(A480&amp;B480,ticker_sector[],2,FALSE)</f>
        <v>4</v>
      </c>
      <c r="I480">
        <f>VLOOKUP(C480,year[],2,FALSE)</f>
        <v>6</v>
      </c>
      <c r="J480">
        <f>VLOOKUP(E480,showing[],2,FALSE)</f>
        <v>12</v>
      </c>
      <c r="K480">
        <f>Сектора[[#This Row],[Значение]]</f>
        <v>395</v>
      </c>
      <c r="L480" t="str">
        <f t="shared" si="7"/>
        <v>INSERT INTO msfo.statements (id_company, id_year, id_showing, value) VALUES (4,6,12,395);</v>
      </c>
    </row>
    <row r="481" spans="1:12">
      <c r="A481" s="28" t="s">
        <v>38</v>
      </c>
      <c r="B481" s="28" t="s">
        <v>0</v>
      </c>
      <c r="C481" s="28">
        <v>2017</v>
      </c>
      <c r="D481" s="28" t="s">
        <v>4</v>
      </c>
      <c r="E481" s="28" t="s">
        <v>15</v>
      </c>
      <c r="F481" s="28">
        <v>354</v>
      </c>
      <c r="H481">
        <f>VLOOKUP(A481&amp;B481,ticker_sector[],2,FALSE)</f>
        <v>4</v>
      </c>
      <c r="I481">
        <f>VLOOKUP(C481,year[],2,FALSE)</f>
        <v>7</v>
      </c>
      <c r="J481">
        <f>VLOOKUP(E481,showing[],2,FALSE)</f>
        <v>12</v>
      </c>
      <c r="K481">
        <f>Сектора[[#This Row],[Значение]]</f>
        <v>354</v>
      </c>
      <c r="L481" t="str">
        <f t="shared" si="7"/>
        <v>INSERT INTO msfo.statements (id_company, id_year, id_showing, value) VALUES (4,7,12,354);</v>
      </c>
    </row>
    <row r="482" spans="1:12">
      <c r="A482" s="28" t="s">
        <v>38</v>
      </c>
      <c r="B482" s="28" t="s">
        <v>0</v>
      </c>
      <c r="C482" s="28">
        <v>2010</v>
      </c>
      <c r="D482" s="28" t="s">
        <v>7</v>
      </c>
      <c r="E482" s="28" t="s">
        <v>16</v>
      </c>
      <c r="F482" s="28">
        <v>10140.4570294</v>
      </c>
      <c r="H482">
        <f>VLOOKUP(A482&amp;B482,ticker_sector[],2,FALSE)</f>
        <v>4</v>
      </c>
      <c r="I482">
        <f>VLOOKUP(C482,year[],2,FALSE)</f>
        <v>0</v>
      </c>
      <c r="J482">
        <f>VLOOKUP(E482,showing[],2,FALSE)</f>
        <v>13</v>
      </c>
      <c r="K482">
        <f>Сектора[[#This Row],[Значение]]</f>
        <v>10140.4570294</v>
      </c>
      <c r="L482" t="str">
        <f t="shared" si="7"/>
        <v>INSERT INTO msfo.statements (id_company, id_year, id_showing, value) VALUES (4,0,13,10140,4570294);</v>
      </c>
    </row>
    <row r="483" spans="1:12">
      <c r="A483" s="28" t="s">
        <v>38</v>
      </c>
      <c r="B483" s="28" t="s">
        <v>0</v>
      </c>
      <c r="C483" s="28">
        <v>2011</v>
      </c>
      <c r="D483" s="28" t="s">
        <v>7</v>
      </c>
      <c r="E483" s="28" t="s">
        <v>16</v>
      </c>
      <c r="F483" s="28">
        <v>15256.025396699997</v>
      </c>
      <c r="H483">
        <f>VLOOKUP(A483&amp;B483,ticker_sector[],2,FALSE)</f>
        <v>4</v>
      </c>
      <c r="I483">
        <f>VLOOKUP(C483,year[],2,FALSE)</f>
        <v>1</v>
      </c>
      <c r="J483">
        <f>VLOOKUP(E483,showing[],2,FALSE)</f>
        <v>13</v>
      </c>
      <c r="K483">
        <f>Сектора[[#This Row],[Значение]]</f>
        <v>15256.025396699997</v>
      </c>
      <c r="L483" t="str">
        <f t="shared" si="7"/>
        <v>INSERT INTO msfo.statements (id_company, id_year, id_showing, value) VALUES (4,1,13,15256,0253967);</v>
      </c>
    </row>
    <row r="484" spans="1:12">
      <c r="A484" s="28" t="s">
        <v>38</v>
      </c>
      <c r="B484" s="28" t="s">
        <v>0</v>
      </c>
      <c r="C484" s="28">
        <v>2012</v>
      </c>
      <c r="D484" s="28" t="s">
        <v>7</v>
      </c>
      <c r="E484" s="28" t="s">
        <v>16</v>
      </c>
      <c r="F484" s="28">
        <v>21750.771278299995</v>
      </c>
      <c r="H484">
        <f>VLOOKUP(A484&amp;B484,ticker_sector[],2,FALSE)</f>
        <v>4</v>
      </c>
      <c r="I484">
        <f>VLOOKUP(C484,year[],2,FALSE)</f>
        <v>2</v>
      </c>
      <c r="J484">
        <f>VLOOKUP(E484,showing[],2,FALSE)</f>
        <v>13</v>
      </c>
      <c r="K484">
        <f>Сектора[[#This Row],[Значение]]</f>
        <v>21750.771278299995</v>
      </c>
      <c r="L484" t="str">
        <f t="shared" si="7"/>
        <v>INSERT INTO msfo.statements (id_company, id_year, id_showing, value) VALUES (4,2,13,21750,7712783);</v>
      </c>
    </row>
    <row r="485" spans="1:12">
      <c r="A485" s="28" t="s">
        <v>38</v>
      </c>
      <c r="B485" s="28" t="s">
        <v>0</v>
      </c>
      <c r="C485" s="28">
        <v>2013</v>
      </c>
      <c r="D485" s="28" t="s">
        <v>7</v>
      </c>
      <c r="E485" s="28" t="s">
        <v>16</v>
      </c>
      <c r="F485" s="28">
        <v>14770.426126400005</v>
      </c>
      <c r="H485">
        <f>VLOOKUP(A485&amp;B485,ticker_sector[],2,FALSE)</f>
        <v>4</v>
      </c>
      <c r="I485">
        <f>VLOOKUP(C485,year[],2,FALSE)</f>
        <v>3</v>
      </c>
      <c r="J485">
        <f>VLOOKUP(E485,showing[],2,FALSE)</f>
        <v>13</v>
      </c>
      <c r="K485">
        <f>Сектора[[#This Row],[Значение]]</f>
        <v>14770.426126400005</v>
      </c>
      <c r="L485" t="str">
        <f t="shared" si="7"/>
        <v>INSERT INTO msfo.statements (id_company, id_year, id_showing, value) VALUES (4,3,13,14770,4261264);</v>
      </c>
    </row>
    <row r="486" spans="1:12">
      <c r="A486" s="28" t="s">
        <v>38</v>
      </c>
      <c r="B486" s="28" t="s">
        <v>0</v>
      </c>
      <c r="C486" s="28">
        <v>2014</v>
      </c>
      <c r="D486" s="28" t="s">
        <v>7</v>
      </c>
      <c r="E486" s="28" t="s">
        <v>16</v>
      </c>
      <c r="F486" s="28">
        <v>34728.591611999997</v>
      </c>
      <c r="H486">
        <f>VLOOKUP(A486&amp;B486,ticker_sector[],2,FALSE)</f>
        <v>4</v>
      </c>
      <c r="I486">
        <f>VLOOKUP(C486,year[],2,FALSE)</f>
        <v>4</v>
      </c>
      <c r="J486">
        <f>VLOOKUP(E486,showing[],2,FALSE)</f>
        <v>13</v>
      </c>
      <c r="K486">
        <f>Сектора[[#This Row],[Значение]]</f>
        <v>34728.591611999997</v>
      </c>
      <c r="L486" t="str">
        <f t="shared" si="7"/>
        <v>INSERT INTO msfo.statements (id_company, id_year, id_showing, value) VALUES (4,4,13,34728,591612);</v>
      </c>
    </row>
    <row r="487" spans="1:12">
      <c r="A487" s="28" t="s">
        <v>38</v>
      </c>
      <c r="B487" s="28" t="s">
        <v>0</v>
      </c>
      <c r="C487" s="28">
        <v>2015</v>
      </c>
      <c r="D487" s="28" t="s">
        <v>7</v>
      </c>
      <c r="E487" s="28" t="s">
        <v>16</v>
      </c>
      <c r="F487" s="28">
        <v>36738.857181400002</v>
      </c>
      <c r="H487">
        <f>VLOOKUP(A487&amp;B487,ticker_sector[],2,FALSE)</f>
        <v>4</v>
      </c>
      <c r="I487">
        <f>VLOOKUP(C487,year[],2,FALSE)</f>
        <v>5</v>
      </c>
      <c r="J487">
        <f>VLOOKUP(E487,showing[],2,FALSE)</f>
        <v>13</v>
      </c>
      <c r="K487">
        <f>Сектора[[#This Row],[Значение]]</f>
        <v>36738.857181400002</v>
      </c>
      <c r="L487" t="str">
        <f t="shared" si="7"/>
        <v>INSERT INTO msfo.statements (id_company, id_year, id_showing, value) VALUES (4,5,13,36738,8571814);</v>
      </c>
    </row>
    <row r="488" spans="1:12">
      <c r="A488" s="28" t="s">
        <v>38</v>
      </c>
      <c r="B488" s="28" t="s">
        <v>0</v>
      </c>
      <c r="C488" s="28">
        <v>2016</v>
      </c>
      <c r="D488" s="28" t="s">
        <v>7</v>
      </c>
      <c r="E488" s="28" t="s">
        <v>16</v>
      </c>
      <c r="F488" s="28">
        <v>33664.579500000007</v>
      </c>
      <c r="H488">
        <f>VLOOKUP(A488&amp;B488,ticker_sector[],2,FALSE)</f>
        <v>4</v>
      </c>
      <c r="I488">
        <f>VLOOKUP(C488,year[],2,FALSE)</f>
        <v>6</v>
      </c>
      <c r="J488">
        <f>VLOOKUP(E488,showing[],2,FALSE)</f>
        <v>13</v>
      </c>
      <c r="K488">
        <f>Сектора[[#This Row],[Значение]]</f>
        <v>33664.579500000007</v>
      </c>
      <c r="L488" t="str">
        <f t="shared" si="7"/>
        <v>INSERT INTO msfo.statements (id_company, id_year, id_showing, value) VALUES (4,6,13,33664,5795);</v>
      </c>
    </row>
    <row r="489" spans="1:12">
      <c r="A489" s="28" t="s">
        <v>38</v>
      </c>
      <c r="B489" s="28" t="s">
        <v>0</v>
      </c>
      <c r="C489" s="28">
        <v>2017</v>
      </c>
      <c r="D489" s="28" t="s">
        <v>7</v>
      </c>
      <c r="E489" s="28" t="s">
        <v>16</v>
      </c>
      <c r="F489" s="28">
        <v>34617.720200000003</v>
      </c>
      <c r="H489">
        <f>VLOOKUP(A489&amp;B489,ticker_sector[],2,FALSE)</f>
        <v>4</v>
      </c>
      <c r="I489">
        <f>VLOOKUP(C489,year[],2,FALSE)</f>
        <v>7</v>
      </c>
      <c r="J489">
        <f>VLOOKUP(E489,showing[],2,FALSE)</f>
        <v>13</v>
      </c>
      <c r="K489">
        <f>Сектора[[#This Row],[Значение]]</f>
        <v>34617.720200000003</v>
      </c>
      <c r="L489" t="str">
        <f t="shared" si="7"/>
        <v>INSERT INTO msfo.statements (id_company, id_year, id_showing, value) VALUES (4,7,13,34617,7202);</v>
      </c>
    </row>
    <row r="490" spans="1:12">
      <c r="A490" s="28" t="s">
        <v>38</v>
      </c>
      <c r="B490" s="28" t="s">
        <v>0</v>
      </c>
      <c r="C490" s="28">
        <v>2010</v>
      </c>
      <c r="D490" s="28" t="s">
        <v>7</v>
      </c>
      <c r="E490" s="28" t="s">
        <v>17</v>
      </c>
      <c r="F490" s="28">
        <v>332.726</v>
      </c>
      <c r="H490">
        <f>VLOOKUP(A490&amp;B490,ticker_sector[],2,FALSE)</f>
        <v>4</v>
      </c>
      <c r="I490">
        <f>VLOOKUP(C490,year[],2,FALSE)</f>
        <v>0</v>
      </c>
      <c r="J490">
        <f>VLOOKUP(E490,showing[],2,FALSE)</f>
        <v>14</v>
      </c>
      <c r="K490">
        <f>Сектора[[#This Row],[Значение]]</f>
        <v>332.726</v>
      </c>
      <c r="L490" t="str">
        <f t="shared" si="7"/>
        <v>INSERT INTO msfo.statements (id_company, id_year, id_showing, value) VALUES (4,0,14,332,726);</v>
      </c>
    </row>
    <row r="491" spans="1:12">
      <c r="A491" s="28" t="s">
        <v>38</v>
      </c>
      <c r="B491" s="28" t="s">
        <v>0</v>
      </c>
      <c r="C491" s="28">
        <v>2011</v>
      </c>
      <c r="D491" s="28" t="s">
        <v>7</v>
      </c>
      <c r="E491" s="28" t="s">
        <v>17</v>
      </c>
      <c r="F491" s="28">
        <v>473.84699999999987</v>
      </c>
      <c r="H491">
        <f>VLOOKUP(A491&amp;B491,ticker_sector[],2,FALSE)</f>
        <v>4</v>
      </c>
      <c r="I491">
        <f>VLOOKUP(C491,year[],2,FALSE)</f>
        <v>1</v>
      </c>
      <c r="J491">
        <f>VLOOKUP(E491,showing[],2,FALSE)</f>
        <v>14</v>
      </c>
      <c r="K491">
        <f>Сектора[[#This Row],[Значение]]</f>
        <v>473.84699999999987</v>
      </c>
      <c r="L491" t="str">
        <f t="shared" si="7"/>
        <v>INSERT INTO msfo.statements (id_company, id_year, id_showing, value) VALUES (4,1,14,473,847);</v>
      </c>
    </row>
    <row r="492" spans="1:12">
      <c r="A492" s="28" t="s">
        <v>38</v>
      </c>
      <c r="B492" s="28" t="s">
        <v>0</v>
      </c>
      <c r="C492" s="28">
        <v>2012</v>
      </c>
      <c r="D492" s="28" t="s">
        <v>7</v>
      </c>
      <c r="E492" s="28" t="s">
        <v>17</v>
      </c>
      <c r="F492" s="28">
        <v>716.12899999999991</v>
      </c>
      <c r="H492">
        <f>VLOOKUP(A492&amp;B492,ticker_sector[],2,FALSE)</f>
        <v>4</v>
      </c>
      <c r="I492">
        <f>VLOOKUP(C492,year[],2,FALSE)</f>
        <v>2</v>
      </c>
      <c r="J492">
        <f>VLOOKUP(E492,showing[],2,FALSE)</f>
        <v>14</v>
      </c>
      <c r="K492">
        <f>Сектора[[#This Row],[Значение]]</f>
        <v>716.12899999999991</v>
      </c>
      <c r="L492" t="str">
        <f t="shared" si="7"/>
        <v>INSERT INTO msfo.statements (id_company, id_year, id_showing, value) VALUES (4,2,14,716,129);</v>
      </c>
    </row>
    <row r="493" spans="1:12">
      <c r="A493" s="28" t="s">
        <v>38</v>
      </c>
      <c r="B493" s="28" t="s">
        <v>0</v>
      </c>
      <c r="C493" s="28">
        <v>2013</v>
      </c>
      <c r="D493" s="28" t="s">
        <v>7</v>
      </c>
      <c r="E493" s="28" t="s">
        <v>17</v>
      </c>
      <c r="F493" s="28">
        <v>451.2920000000002</v>
      </c>
      <c r="H493">
        <f>VLOOKUP(A493&amp;B493,ticker_sector[],2,FALSE)</f>
        <v>4</v>
      </c>
      <c r="I493">
        <f>VLOOKUP(C493,year[],2,FALSE)</f>
        <v>3</v>
      </c>
      <c r="J493">
        <f>VLOOKUP(E493,showing[],2,FALSE)</f>
        <v>14</v>
      </c>
      <c r="K493">
        <f>Сектора[[#This Row],[Значение]]</f>
        <v>451.2920000000002</v>
      </c>
      <c r="L493" t="str">
        <f t="shared" si="7"/>
        <v>INSERT INTO msfo.statements (id_company, id_year, id_showing, value) VALUES (4,3,14,451,292);</v>
      </c>
    </row>
    <row r="494" spans="1:12">
      <c r="A494" s="28" t="s">
        <v>38</v>
      </c>
      <c r="B494" s="28" t="s">
        <v>0</v>
      </c>
      <c r="C494" s="28">
        <v>2014</v>
      </c>
      <c r="D494" s="28" t="s">
        <v>7</v>
      </c>
      <c r="E494" s="28" t="s">
        <v>17</v>
      </c>
      <c r="F494" s="28">
        <v>617.30499999999995</v>
      </c>
      <c r="H494">
        <f>VLOOKUP(A494&amp;B494,ticker_sector[],2,FALSE)</f>
        <v>4</v>
      </c>
      <c r="I494">
        <f>VLOOKUP(C494,year[],2,FALSE)</f>
        <v>4</v>
      </c>
      <c r="J494">
        <f>VLOOKUP(E494,showing[],2,FALSE)</f>
        <v>14</v>
      </c>
      <c r="K494">
        <f>Сектора[[#This Row],[Значение]]</f>
        <v>617.30499999999995</v>
      </c>
      <c r="L494" t="str">
        <f t="shared" si="7"/>
        <v>INSERT INTO msfo.statements (id_company, id_year, id_showing, value) VALUES (4,4,14,617,305);</v>
      </c>
    </row>
    <row r="495" spans="1:12">
      <c r="A495" s="28" t="s">
        <v>38</v>
      </c>
      <c r="B495" s="28" t="s">
        <v>0</v>
      </c>
      <c r="C495" s="28">
        <v>2015</v>
      </c>
      <c r="D495" s="28" t="s">
        <v>7</v>
      </c>
      <c r="E495" s="28" t="s">
        <v>17</v>
      </c>
      <c r="F495" s="28">
        <v>504.08200000000005</v>
      </c>
      <c r="H495">
        <f>VLOOKUP(A495&amp;B495,ticker_sector[],2,FALSE)</f>
        <v>4</v>
      </c>
      <c r="I495">
        <f>VLOOKUP(C495,year[],2,FALSE)</f>
        <v>5</v>
      </c>
      <c r="J495">
        <f>VLOOKUP(E495,showing[],2,FALSE)</f>
        <v>14</v>
      </c>
      <c r="K495">
        <f>Сектора[[#This Row],[Значение]]</f>
        <v>504.08200000000005</v>
      </c>
      <c r="L495" t="str">
        <f t="shared" si="7"/>
        <v>INSERT INTO msfo.statements (id_company, id_year, id_showing, value) VALUES (4,5,14,504,082);</v>
      </c>
    </row>
    <row r="496" spans="1:12">
      <c r="A496" s="28" t="s">
        <v>38</v>
      </c>
      <c r="B496" s="28" t="s">
        <v>0</v>
      </c>
      <c r="C496" s="28">
        <v>2016</v>
      </c>
      <c r="D496" s="28" t="s">
        <v>7</v>
      </c>
      <c r="E496" s="28" t="s">
        <v>17</v>
      </c>
      <c r="F496" s="28">
        <v>555.00000000000011</v>
      </c>
      <c r="H496">
        <f>VLOOKUP(A496&amp;B496,ticker_sector[],2,FALSE)</f>
        <v>4</v>
      </c>
      <c r="I496">
        <f>VLOOKUP(C496,year[],2,FALSE)</f>
        <v>6</v>
      </c>
      <c r="J496">
        <f>VLOOKUP(E496,showing[],2,FALSE)</f>
        <v>14</v>
      </c>
      <c r="K496">
        <f>Сектора[[#This Row],[Значение]]</f>
        <v>555.00000000000011</v>
      </c>
      <c r="L496" t="str">
        <f t="shared" si="7"/>
        <v>INSERT INTO msfo.statements (id_company, id_year, id_showing, value) VALUES (4,6,14,555);</v>
      </c>
    </row>
    <row r="497" spans="1:12">
      <c r="A497" s="28" t="s">
        <v>38</v>
      </c>
      <c r="B497" s="28" t="s">
        <v>0</v>
      </c>
      <c r="C497" s="28">
        <v>2017</v>
      </c>
      <c r="D497" s="28" t="s">
        <v>7</v>
      </c>
      <c r="E497" s="28" t="s">
        <v>17</v>
      </c>
      <c r="F497" s="28">
        <v>601</v>
      </c>
      <c r="H497">
        <f>VLOOKUP(A497&amp;B497,ticker_sector[],2,FALSE)</f>
        <v>4</v>
      </c>
      <c r="I497">
        <f>VLOOKUP(C497,year[],2,FALSE)</f>
        <v>7</v>
      </c>
      <c r="J497">
        <f>VLOOKUP(E497,showing[],2,FALSE)</f>
        <v>14</v>
      </c>
      <c r="K497">
        <f>Сектора[[#This Row],[Значение]]</f>
        <v>601</v>
      </c>
      <c r="L497" t="str">
        <f t="shared" si="7"/>
        <v>INSERT INTO msfo.statements (id_company, id_year, id_showing, value) VALUES (4,7,14,601);</v>
      </c>
    </row>
    <row r="498" spans="1:12">
      <c r="A498" s="28" t="s">
        <v>38</v>
      </c>
      <c r="B498" s="28" t="s">
        <v>0</v>
      </c>
      <c r="C498" s="28">
        <v>2010</v>
      </c>
      <c r="D498" s="28" t="s">
        <v>20</v>
      </c>
      <c r="E498" s="28" t="s">
        <v>18</v>
      </c>
      <c r="F498" s="28">
        <v>358.73233499999998</v>
      </c>
      <c r="H498">
        <f>VLOOKUP(A498&amp;B498,ticker_sector[],2,FALSE)</f>
        <v>4</v>
      </c>
      <c r="I498">
        <f>VLOOKUP(C498,year[],2,FALSE)</f>
        <v>0</v>
      </c>
      <c r="J498">
        <f>VLOOKUP(E498,showing[],2,FALSE)</f>
        <v>15</v>
      </c>
      <c r="K498">
        <f>Сектора[[#This Row],[Значение]]</f>
        <v>358.73233499999998</v>
      </c>
      <c r="L498" t="str">
        <f t="shared" si="7"/>
        <v>INSERT INTO msfo.statements (id_company, id_year, id_showing, value) VALUES (4,0,15,358,732335);</v>
      </c>
    </row>
    <row r="499" spans="1:12">
      <c r="A499" s="28" t="s">
        <v>38</v>
      </c>
      <c r="B499" s="28" t="s">
        <v>0</v>
      </c>
      <c r="C499" s="28">
        <v>2011</v>
      </c>
      <c r="D499" s="28" t="s">
        <v>20</v>
      </c>
      <c r="E499" s="28" t="s">
        <v>18</v>
      </c>
      <c r="F499" s="28">
        <v>382.68578500000001</v>
      </c>
      <c r="H499">
        <f>VLOOKUP(A499&amp;B499,ticker_sector[],2,FALSE)</f>
        <v>4</v>
      </c>
      <c r="I499">
        <f>VLOOKUP(C499,year[],2,FALSE)</f>
        <v>1</v>
      </c>
      <c r="J499">
        <f>VLOOKUP(E499,showing[],2,FALSE)</f>
        <v>15</v>
      </c>
      <c r="K499">
        <f>Сектора[[#This Row],[Значение]]</f>
        <v>382.68578500000001</v>
      </c>
      <c r="L499" t="str">
        <f t="shared" si="7"/>
        <v>INSERT INTO msfo.statements (id_company, id_year, id_showing, value) VALUES (4,1,15,382,685785);</v>
      </c>
    </row>
    <row r="500" spans="1:12">
      <c r="A500" s="28" t="s">
        <v>38</v>
      </c>
      <c r="B500" s="28" t="s">
        <v>0</v>
      </c>
      <c r="C500" s="28">
        <v>2012</v>
      </c>
      <c r="D500" s="28" t="s">
        <v>20</v>
      </c>
      <c r="E500" s="28" t="s">
        <v>18</v>
      </c>
      <c r="F500" s="28">
        <v>382.705692</v>
      </c>
      <c r="H500">
        <f>VLOOKUP(A500&amp;B500,ticker_sector[],2,FALSE)</f>
        <v>4</v>
      </c>
      <c r="I500">
        <f>VLOOKUP(C500,year[],2,FALSE)</f>
        <v>2</v>
      </c>
      <c r="J500">
        <f>VLOOKUP(E500,showing[],2,FALSE)</f>
        <v>15</v>
      </c>
      <c r="K500">
        <f>Сектора[[#This Row],[Значение]]</f>
        <v>382.705692</v>
      </c>
      <c r="L500" t="str">
        <f t="shared" si="7"/>
        <v>INSERT INTO msfo.statements (id_company, id_year, id_showing, value) VALUES (4,2,15,382,705692);</v>
      </c>
    </row>
    <row r="501" spans="1:12">
      <c r="A501" s="28" t="s">
        <v>38</v>
      </c>
      <c r="B501" s="28" t="s">
        <v>0</v>
      </c>
      <c r="C501" s="28">
        <v>2013</v>
      </c>
      <c r="D501" s="28" t="s">
        <v>20</v>
      </c>
      <c r="E501" s="28" t="s">
        <v>18</v>
      </c>
      <c r="F501" s="28">
        <v>387.93238700000001</v>
      </c>
      <c r="H501">
        <f>VLOOKUP(A501&amp;B501,ticker_sector[],2,FALSE)</f>
        <v>4</v>
      </c>
      <c r="I501">
        <f>VLOOKUP(C501,year[],2,FALSE)</f>
        <v>3</v>
      </c>
      <c r="J501">
        <f>VLOOKUP(E501,showing[],2,FALSE)</f>
        <v>15</v>
      </c>
      <c r="K501">
        <f>Сектора[[#This Row],[Значение]]</f>
        <v>387.93238700000001</v>
      </c>
      <c r="L501" t="str">
        <f t="shared" si="7"/>
        <v>INSERT INTO msfo.statements (id_company, id_year, id_showing, value) VALUES (4,3,15,387,932387);</v>
      </c>
    </row>
    <row r="502" spans="1:12">
      <c r="A502" s="28" t="s">
        <v>38</v>
      </c>
      <c r="B502" s="28" t="s">
        <v>0</v>
      </c>
      <c r="C502" s="28">
        <v>2014</v>
      </c>
      <c r="D502" s="28" t="s">
        <v>20</v>
      </c>
      <c r="E502" s="28" t="s">
        <v>18</v>
      </c>
      <c r="F502" s="28">
        <v>399.69013799999999</v>
      </c>
      <c r="H502">
        <f>VLOOKUP(A502&amp;B502,ticker_sector[],2,FALSE)</f>
        <v>4</v>
      </c>
      <c r="I502">
        <f>VLOOKUP(C502,year[],2,FALSE)</f>
        <v>4</v>
      </c>
      <c r="J502">
        <f>VLOOKUP(E502,showing[],2,FALSE)</f>
        <v>15</v>
      </c>
      <c r="K502">
        <f>Сектора[[#This Row],[Значение]]</f>
        <v>399.69013799999999</v>
      </c>
      <c r="L502" t="str">
        <f t="shared" si="7"/>
        <v>INSERT INTO msfo.statements (id_company, id_year, id_showing, value) VALUES (4,4,15,399,690138);</v>
      </c>
    </row>
    <row r="503" spans="1:12">
      <c r="A503" s="28" t="s">
        <v>38</v>
      </c>
      <c r="B503" s="28" t="s">
        <v>0</v>
      </c>
      <c r="C503" s="28">
        <v>2015</v>
      </c>
      <c r="D503" s="28" t="s">
        <v>20</v>
      </c>
      <c r="E503" s="28" t="s">
        <v>18</v>
      </c>
      <c r="F503" s="28">
        <v>423.24920200000003</v>
      </c>
      <c r="H503">
        <f>VLOOKUP(A503&amp;B503,ticker_sector[],2,FALSE)</f>
        <v>4</v>
      </c>
      <c r="I503">
        <f>VLOOKUP(C503,year[],2,FALSE)</f>
        <v>5</v>
      </c>
      <c r="J503">
        <f>VLOOKUP(E503,showing[],2,FALSE)</f>
        <v>15</v>
      </c>
      <c r="K503">
        <f>Сектора[[#This Row],[Значение]]</f>
        <v>423.24920200000003</v>
      </c>
      <c r="L503" t="str">
        <f t="shared" si="7"/>
        <v>INSERT INTO msfo.statements (id_company, id_year, id_showing, value) VALUES (4,5,15,423,249202);</v>
      </c>
    </row>
    <row r="504" spans="1:12">
      <c r="A504" s="28" t="s">
        <v>38</v>
      </c>
      <c r="B504" s="28" t="s">
        <v>0</v>
      </c>
      <c r="C504" s="28">
        <v>2016</v>
      </c>
      <c r="D504" s="28" t="s">
        <v>20</v>
      </c>
      <c r="E504" s="28" t="s">
        <v>18</v>
      </c>
      <c r="F504" s="28">
        <v>426.394634</v>
      </c>
      <c r="H504">
        <f>VLOOKUP(A504&amp;B504,ticker_sector[],2,FALSE)</f>
        <v>4</v>
      </c>
      <c r="I504">
        <f>VLOOKUP(C504,year[],2,FALSE)</f>
        <v>6</v>
      </c>
      <c r="J504">
        <f>VLOOKUP(E504,showing[],2,FALSE)</f>
        <v>15</v>
      </c>
      <c r="K504">
        <f>Сектора[[#This Row],[Значение]]</f>
        <v>426.394634</v>
      </c>
      <c r="L504" t="str">
        <f t="shared" si="7"/>
        <v>INSERT INTO msfo.statements (id_company, id_year, id_showing, value) VALUES (4,6,15,426,394634);</v>
      </c>
    </row>
    <row r="505" spans="1:12">
      <c r="A505" s="28" t="s">
        <v>38</v>
      </c>
      <c r="B505" s="28" t="s">
        <v>0</v>
      </c>
      <c r="C505" s="28">
        <v>2017</v>
      </c>
      <c r="D505" s="28" t="s">
        <v>20</v>
      </c>
      <c r="E505" s="28" t="s">
        <v>18</v>
      </c>
      <c r="F505" s="28">
        <v>430.11547999999999</v>
      </c>
      <c r="H505">
        <f>VLOOKUP(A505&amp;B505,ticker_sector[],2,FALSE)</f>
        <v>4</v>
      </c>
      <c r="I505">
        <f>VLOOKUP(C505,year[],2,FALSE)</f>
        <v>7</v>
      </c>
      <c r="J505">
        <f>VLOOKUP(E505,showing[],2,FALSE)</f>
        <v>15</v>
      </c>
      <c r="K505">
        <f>Сектора[[#This Row],[Значение]]</f>
        <v>430.11547999999999</v>
      </c>
      <c r="L505" t="str">
        <f t="shared" si="7"/>
        <v>INSERT INTO msfo.statements (id_company, id_year, id_showing, value) VALUES (4,7,15,430,11548);</v>
      </c>
    </row>
    <row r="506" spans="1:12">
      <c r="A506" s="28" t="s">
        <v>38</v>
      </c>
      <c r="B506" s="28" t="s">
        <v>0</v>
      </c>
      <c r="C506" s="28">
        <v>2010</v>
      </c>
      <c r="D506" s="28" t="s">
        <v>20</v>
      </c>
      <c r="E506" s="28" t="s">
        <v>19</v>
      </c>
      <c r="F506" s="28">
        <v>300</v>
      </c>
      <c r="H506">
        <f>VLOOKUP(A506&amp;B506,ticker_sector[],2,FALSE)</f>
        <v>4</v>
      </c>
      <c r="I506">
        <f>VLOOKUP(C506,year[],2,FALSE)</f>
        <v>0</v>
      </c>
      <c r="J506">
        <f>VLOOKUP(E506,showing[],2,FALSE)</f>
        <v>16</v>
      </c>
      <c r="K506">
        <f>Сектора[[#This Row],[Значение]]</f>
        <v>300</v>
      </c>
      <c r="L506" t="str">
        <f t="shared" si="7"/>
        <v>INSERT INTO msfo.statements (id_company, id_year, id_showing, value) VALUES (4,0,16,300);</v>
      </c>
    </row>
    <row r="507" spans="1:12">
      <c r="A507" s="28" t="s">
        <v>38</v>
      </c>
      <c r="B507" s="28" t="s">
        <v>0</v>
      </c>
      <c r="C507" s="28">
        <v>2011</v>
      </c>
      <c r="D507" s="28" t="s">
        <v>20</v>
      </c>
      <c r="E507" s="28" t="s">
        <v>19</v>
      </c>
      <c r="F507" s="28">
        <v>300</v>
      </c>
      <c r="H507">
        <f>VLOOKUP(A507&amp;B507,ticker_sector[],2,FALSE)</f>
        <v>4</v>
      </c>
      <c r="I507">
        <f>VLOOKUP(C507,year[],2,FALSE)</f>
        <v>1</v>
      </c>
      <c r="J507">
        <f>VLOOKUP(E507,showing[],2,FALSE)</f>
        <v>16</v>
      </c>
      <c r="K507">
        <f>Сектора[[#This Row],[Значение]]</f>
        <v>300</v>
      </c>
      <c r="L507" t="str">
        <f t="shared" si="7"/>
        <v>INSERT INTO msfo.statements (id_company, id_year, id_showing, value) VALUES (4,1,16,300);</v>
      </c>
    </row>
    <row r="508" spans="1:12">
      <c r="A508" s="28" t="s">
        <v>38</v>
      </c>
      <c r="B508" s="28" t="s">
        <v>0</v>
      </c>
      <c r="C508" s="28">
        <v>2012</v>
      </c>
      <c r="D508" s="28" t="s">
        <v>20</v>
      </c>
      <c r="E508" s="28" t="s">
        <v>19</v>
      </c>
      <c r="F508" s="28">
        <v>300</v>
      </c>
      <c r="H508">
        <f>VLOOKUP(A508&amp;B508,ticker_sector[],2,FALSE)</f>
        <v>4</v>
      </c>
      <c r="I508">
        <f>VLOOKUP(C508,year[],2,FALSE)</f>
        <v>2</v>
      </c>
      <c r="J508">
        <f>VLOOKUP(E508,showing[],2,FALSE)</f>
        <v>16</v>
      </c>
      <c r="K508">
        <f>Сектора[[#This Row],[Значение]]</f>
        <v>300</v>
      </c>
      <c r="L508" t="str">
        <f t="shared" si="7"/>
        <v>INSERT INTO msfo.statements (id_company, id_year, id_showing, value) VALUES (4,2,16,300);</v>
      </c>
    </row>
    <row r="509" spans="1:12">
      <c r="A509" s="28" t="s">
        <v>38</v>
      </c>
      <c r="B509" s="28" t="s">
        <v>0</v>
      </c>
      <c r="C509" s="28">
        <v>2013</v>
      </c>
      <c r="D509" s="28" t="s">
        <v>20</v>
      </c>
      <c r="E509" s="28" t="s">
        <v>19</v>
      </c>
      <c r="F509" s="28">
        <v>309.8</v>
      </c>
      <c r="H509">
        <f>VLOOKUP(A509&amp;B509,ticker_sector[],2,FALSE)</f>
        <v>4</v>
      </c>
      <c r="I509">
        <f>VLOOKUP(C509,year[],2,FALSE)</f>
        <v>3</v>
      </c>
      <c r="J509">
        <f>VLOOKUP(E509,showing[],2,FALSE)</f>
        <v>16</v>
      </c>
      <c r="K509">
        <f>Сектора[[#This Row],[Значение]]</f>
        <v>309.8</v>
      </c>
      <c r="L509" t="str">
        <f t="shared" si="7"/>
        <v>INSERT INTO msfo.statements (id_company, id_year, id_showing, value) VALUES (4,3,16,309,8);</v>
      </c>
    </row>
    <row r="510" spans="1:12">
      <c r="A510" s="28" t="s">
        <v>38</v>
      </c>
      <c r="B510" s="28" t="s">
        <v>0</v>
      </c>
      <c r="C510" s="28">
        <v>2014</v>
      </c>
      <c r="D510" s="28" t="s">
        <v>20</v>
      </c>
      <c r="E510" s="28" t="s">
        <v>19</v>
      </c>
      <c r="F510" s="28">
        <v>510</v>
      </c>
      <c r="H510">
        <f>VLOOKUP(A510&amp;B510,ticker_sector[],2,FALSE)</f>
        <v>4</v>
      </c>
      <c r="I510">
        <f>VLOOKUP(C510,year[],2,FALSE)</f>
        <v>4</v>
      </c>
      <c r="J510">
        <f>VLOOKUP(E510,showing[],2,FALSE)</f>
        <v>16</v>
      </c>
      <c r="K510">
        <f>Сектора[[#This Row],[Значение]]</f>
        <v>510</v>
      </c>
      <c r="L510" t="str">
        <f t="shared" si="7"/>
        <v>INSERT INTO msfo.statements (id_company, id_year, id_showing, value) VALUES (4,4,16,510);</v>
      </c>
    </row>
    <row r="511" spans="1:12">
      <c r="A511" s="28" t="s">
        <v>38</v>
      </c>
      <c r="B511" s="28" t="s">
        <v>0</v>
      </c>
      <c r="C511" s="28">
        <v>2015</v>
      </c>
      <c r="D511" s="28" t="s">
        <v>20</v>
      </c>
      <c r="E511" s="28" t="s">
        <v>19</v>
      </c>
      <c r="F511" s="28">
        <v>622</v>
      </c>
      <c r="H511">
        <f>VLOOKUP(A511&amp;B511,ticker_sector[],2,FALSE)</f>
        <v>4</v>
      </c>
      <c r="I511">
        <f>VLOOKUP(C511,year[],2,FALSE)</f>
        <v>5</v>
      </c>
      <c r="J511">
        <f>VLOOKUP(E511,showing[],2,FALSE)</f>
        <v>16</v>
      </c>
      <c r="K511">
        <f>Сектора[[#This Row],[Значение]]</f>
        <v>622</v>
      </c>
      <c r="L511" t="str">
        <f t="shared" si="7"/>
        <v>INSERT INTO msfo.statements (id_company, id_year, id_showing, value) VALUES (4,5,16,622);</v>
      </c>
    </row>
    <row r="512" spans="1:12">
      <c r="A512" s="28" t="s">
        <v>38</v>
      </c>
      <c r="B512" s="28" t="s">
        <v>0</v>
      </c>
      <c r="C512" s="28">
        <v>2016</v>
      </c>
      <c r="D512" s="28" t="s">
        <v>20</v>
      </c>
      <c r="E512" s="28" t="s">
        <v>19</v>
      </c>
      <c r="F512" s="28">
        <v>638.5</v>
      </c>
      <c r="H512">
        <f>VLOOKUP(A512&amp;B512,ticker_sector[],2,FALSE)</f>
        <v>4</v>
      </c>
      <c r="I512">
        <f>VLOOKUP(C512,year[],2,FALSE)</f>
        <v>6</v>
      </c>
      <c r="J512">
        <f>VLOOKUP(E512,showing[],2,FALSE)</f>
        <v>16</v>
      </c>
      <c r="K512">
        <f>Сектора[[#This Row],[Значение]]</f>
        <v>638.5</v>
      </c>
      <c r="L512" t="str">
        <f t="shared" si="7"/>
        <v>INSERT INTO msfo.statements (id_company, id_year, id_showing, value) VALUES (4,6,16,638,5);</v>
      </c>
    </row>
    <row r="513" spans="1:12">
      <c r="A513" s="28" t="s">
        <v>38</v>
      </c>
      <c r="B513" s="28" t="s">
        <v>0</v>
      </c>
      <c r="C513" s="28">
        <v>2017</v>
      </c>
      <c r="D513" s="28" t="s">
        <v>20</v>
      </c>
      <c r="E513" s="28" t="s">
        <v>19</v>
      </c>
      <c r="F513" s="28">
        <v>706.6</v>
      </c>
      <c r="H513">
        <f>VLOOKUP(A513&amp;B513,ticker_sector[],2,FALSE)</f>
        <v>4</v>
      </c>
      <c r="I513">
        <f>VLOOKUP(C513,year[],2,FALSE)</f>
        <v>7</v>
      </c>
      <c r="J513">
        <f>VLOOKUP(E513,showing[],2,FALSE)</f>
        <v>16</v>
      </c>
      <c r="K513">
        <f>Сектора[[#This Row],[Значение]]</f>
        <v>706.6</v>
      </c>
      <c r="L513" t="str">
        <f t="shared" si="7"/>
        <v>INSERT INTO msfo.statements (id_company, id_year, id_showing, value) VALUES (4,7,16,706,6);</v>
      </c>
    </row>
    <row r="514" spans="1:12">
      <c r="A514" s="28" t="s">
        <v>39</v>
      </c>
      <c r="B514" s="28" t="s">
        <v>32</v>
      </c>
      <c r="C514" s="28">
        <v>2010</v>
      </c>
      <c r="D514" s="28" t="s">
        <v>1</v>
      </c>
      <c r="E514" s="28" t="s">
        <v>2</v>
      </c>
      <c r="F514" s="28">
        <v>299821.1971926</v>
      </c>
      <c r="H514">
        <f>VLOOKUP(A514&amp;B514,ticker_sector[],2,FALSE)</f>
        <v>5</v>
      </c>
      <c r="I514">
        <f>VLOOKUP(C514,year[],2,FALSE)</f>
        <v>0</v>
      </c>
      <c r="J514">
        <f>VLOOKUP(E514,showing[],2,FALSE)</f>
        <v>1</v>
      </c>
      <c r="K514">
        <f>Сектора[[#This Row],[Значение]]</f>
        <v>299821.1971926</v>
      </c>
      <c r="L514" t="str">
        <f t="shared" si="7"/>
        <v>INSERT INTO msfo.statements (id_company, id_year, id_showing, value) VALUES (5,0,1,299821,1971926);</v>
      </c>
    </row>
    <row r="515" spans="1:12">
      <c r="A515" s="28" t="s">
        <v>39</v>
      </c>
      <c r="B515" s="28" t="s">
        <v>32</v>
      </c>
      <c r="C515" s="28">
        <v>2011</v>
      </c>
      <c r="D515" s="28" t="s">
        <v>1</v>
      </c>
      <c r="E515" s="28" t="s">
        <v>2</v>
      </c>
      <c r="F515" s="28">
        <v>289121.46094149997</v>
      </c>
      <c r="H515">
        <f>VLOOKUP(A515&amp;B515,ticker_sector[],2,FALSE)</f>
        <v>5</v>
      </c>
      <c r="I515">
        <f>VLOOKUP(C515,year[],2,FALSE)</f>
        <v>1</v>
      </c>
      <c r="J515">
        <f>VLOOKUP(E515,showing[],2,FALSE)</f>
        <v>1</v>
      </c>
      <c r="K515">
        <f>Сектора[[#This Row],[Значение]]</f>
        <v>289121.46094149997</v>
      </c>
      <c r="L515" t="str">
        <f t="shared" ref="L515:L578" si="8">"INSERT INTO msfo.statements (id_company, id_year, id_showing, value) VALUES ("&amp;H515&amp; ","&amp;I515&amp; ","&amp;J515&amp; ","&amp;K515&amp;");"</f>
        <v>INSERT INTO msfo.statements (id_company, id_year, id_showing, value) VALUES (5,1,1,289121,4609415);</v>
      </c>
    </row>
    <row r="516" spans="1:12">
      <c r="A516" s="28" t="s">
        <v>39</v>
      </c>
      <c r="B516" s="28" t="s">
        <v>32</v>
      </c>
      <c r="C516" s="28">
        <v>2012</v>
      </c>
      <c r="D516" s="28" t="s">
        <v>1</v>
      </c>
      <c r="E516" s="28" t="s">
        <v>2</v>
      </c>
      <c r="F516" s="28">
        <v>304046.55099999998</v>
      </c>
      <c r="H516">
        <f>VLOOKUP(A516&amp;B516,ticker_sector[],2,FALSE)</f>
        <v>5</v>
      </c>
      <c r="I516">
        <f>VLOOKUP(C516,year[],2,FALSE)</f>
        <v>2</v>
      </c>
      <c r="J516">
        <f>VLOOKUP(E516,showing[],2,FALSE)</f>
        <v>1</v>
      </c>
      <c r="K516">
        <f>Сектора[[#This Row],[Значение]]</f>
        <v>304046.55099999998</v>
      </c>
      <c r="L516" t="str">
        <f t="shared" si="8"/>
        <v>INSERT INTO msfo.statements (id_company, id_year, id_showing, value) VALUES (5,2,1,304046,551);</v>
      </c>
    </row>
    <row r="517" spans="1:12">
      <c r="A517" s="28" t="s">
        <v>39</v>
      </c>
      <c r="B517" s="28" t="s">
        <v>32</v>
      </c>
      <c r="C517" s="28">
        <v>2013</v>
      </c>
      <c r="D517" s="28" t="s">
        <v>1</v>
      </c>
      <c r="E517" s="28" t="s">
        <v>2</v>
      </c>
      <c r="F517" s="28">
        <v>315093.53200000001</v>
      </c>
      <c r="H517">
        <f>VLOOKUP(A517&amp;B517,ticker_sector[],2,FALSE)</f>
        <v>5</v>
      </c>
      <c r="I517">
        <f>VLOOKUP(C517,year[],2,FALSE)</f>
        <v>3</v>
      </c>
      <c r="J517">
        <f>VLOOKUP(E517,showing[],2,FALSE)</f>
        <v>1</v>
      </c>
      <c r="K517">
        <f>Сектора[[#This Row],[Значение]]</f>
        <v>315093.53200000001</v>
      </c>
      <c r="L517" t="str">
        <f t="shared" si="8"/>
        <v>INSERT INTO msfo.statements (id_company, id_year, id_showing, value) VALUES (5,3,1,315093,532);</v>
      </c>
    </row>
    <row r="518" spans="1:12">
      <c r="A518" s="28" t="s">
        <v>39</v>
      </c>
      <c r="B518" s="28" t="s">
        <v>32</v>
      </c>
      <c r="C518" s="28">
        <v>2014</v>
      </c>
      <c r="D518" s="28" t="s">
        <v>1</v>
      </c>
      <c r="E518" s="28" t="s">
        <v>2</v>
      </c>
      <c r="F518" s="28">
        <v>221694</v>
      </c>
      <c r="H518">
        <f>VLOOKUP(A518&amp;B518,ticker_sector[],2,FALSE)</f>
        <v>5</v>
      </c>
      <c r="I518">
        <f>VLOOKUP(C518,year[],2,FALSE)</f>
        <v>4</v>
      </c>
      <c r="J518">
        <f>VLOOKUP(E518,showing[],2,FALSE)</f>
        <v>1</v>
      </c>
      <c r="K518">
        <f>Сектора[[#This Row],[Значение]]</f>
        <v>221694</v>
      </c>
      <c r="L518" t="str">
        <f t="shared" si="8"/>
        <v>INSERT INTO msfo.statements (id_company, id_year, id_showing, value) VALUES (5,4,1,221694);</v>
      </c>
    </row>
    <row r="519" spans="1:12">
      <c r="A519" s="28" t="s">
        <v>39</v>
      </c>
      <c r="B519" s="28" t="s">
        <v>32</v>
      </c>
      <c r="C519" s="28">
        <v>2015</v>
      </c>
      <c r="D519" s="28" t="s">
        <v>1</v>
      </c>
      <c r="E519" s="28" t="s">
        <v>2</v>
      </c>
      <c r="F519" s="28">
        <v>213533</v>
      </c>
      <c r="H519">
        <f>VLOOKUP(A519&amp;B519,ticker_sector[],2,FALSE)</f>
        <v>5</v>
      </c>
      <c r="I519">
        <f>VLOOKUP(C519,year[],2,FALSE)</f>
        <v>5</v>
      </c>
      <c r="J519">
        <f>VLOOKUP(E519,showing[],2,FALSE)</f>
        <v>1</v>
      </c>
      <c r="K519">
        <f>Сектора[[#This Row],[Значение]]</f>
        <v>213533</v>
      </c>
      <c r="L519" t="str">
        <f t="shared" si="8"/>
        <v>INSERT INTO msfo.statements (id_company, id_year, id_showing, value) VALUES (5,5,1,213533);</v>
      </c>
    </row>
    <row r="520" spans="1:12">
      <c r="A520" s="28" t="s">
        <v>39</v>
      </c>
      <c r="B520" s="28" t="s">
        <v>32</v>
      </c>
      <c r="C520" s="28">
        <v>2016</v>
      </c>
      <c r="D520" s="28" t="s">
        <v>1</v>
      </c>
      <c r="E520" s="28" t="s">
        <v>2</v>
      </c>
      <c r="F520" s="28">
        <v>222838</v>
      </c>
      <c r="H520">
        <f>VLOOKUP(A520&amp;B520,ticker_sector[],2,FALSE)</f>
        <v>5</v>
      </c>
      <c r="I520">
        <f>VLOOKUP(C520,year[],2,FALSE)</f>
        <v>6</v>
      </c>
      <c r="J520">
        <f>VLOOKUP(E520,showing[],2,FALSE)</f>
        <v>1</v>
      </c>
      <c r="K520">
        <f>Сектора[[#This Row],[Значение]]</f>
        <v>222838</v>
      </c>
      <c r="L520" t="str">
        <f t="shared" si="8"/>
        <v>INSERT INTO msfo.statements (id_company, id_year, id_showing, value) VALUES (5,6,1,222838);</v>
      </c>
    </row>
    <row r="521" spans="1:12">
      <c r="A521" s="28" t="s">
        <v>39</v>
      </c>
      <c r="B521" s="28" t="s">
        <v>32</v>
      </c>
      <c r="C521" s="28">
        <v>2017</v>
      </c>
      <c r="D521" s="28" t="s">
        <v>1</v>
      </c>
      <c r="E521" s="28" t="s">
        <v>2</v>
      </c>
      <c r="F521" s="28">
        <v>245217</v>
      </c>
      <c r="H521">
        <f>VLOOKUP(A521&amp;B521,ticker_sector[],2,FALSE)</f>
        <v>5</v>
      </c>
      <c r="I521">
        <f>VLOOKUP(C521,year[],2,FALSE)</f>
        <v>7</v>
      </c>
      <c r="J521">
        <f>VLOOKUP(E521,showing[],2,FALSE)</f>
        <v>1</v>
      </c>
      <c r="K521">
        <f>Сектора[[#This Row],[Значение]]</f>
        <v>245217</v>
      </c>
      <c r="L521" t="str">
        <f t="shared" si="8"/>
        <v>INSERT INTO msfo.statements (id_company, id_year, id_showing, value) VALUES (5,7,1,245217);</v>
      </c>
    </row>
    <row r="522" spans="1:12">
      <c r="A522" s="28" t="s">
        <v>39</v>
      </c>
      <c r="B522" s="28" t="s">
        <v>32</v>
      </c>
      <c r="C522" s="28">
        <v>2010</v>
      </c>
      <c r="D522" s="28" t="s">
        <v>1</v>
      </c>
      <c r="E522" s="28" t="s">
        <v>3</v>
      </c>
      <c r="F522" s="28">
        <v>291686.0897063</v>
      </c>
      <c r="H522">
        <f>VLOOKUP(A522&amp;B522,ticker_sector[],2,FALSE)</f>
        <v>5</v>
      </c>
      <c r="I522">
        <f>VLOOKUP(C522,year[],2,FALSE)</f>
        <v>0</v>
      </c>
      <c r="J522">
        <f>VLOOKUP(E522,showing[],2,FALSE)</f>
        <v>2</v>
      </c>
      <c r="K522">
        <f>Сектора[[#This Row],[Значение]]</f>
        <v>291686.0897063</v>
      </c>
      <c r="L522" t="str">
        <f t="shared" si="8"/>
        <v>INSERT INTO msfo.statements (id_company, id_year, id_showing, value) VALUES (5,0,2,291686,0897063);</v>
      </c>
    </row>
    <row r="523" spans="1:12">
      <c r="A523" s="28" t="s">
        <v>39</v>
      </c>
      <c r="B523" s="28" t="s">
        <v>32</v>
      </c>
      <c r="C523" s="28">
        <v>2011</v>
      </c>
      <c r="D523" s="28" t="s">
        <v>1</v>
      </c>
      <c r="E523" s="28" t="s">
        <v>3</v>
      </c>
      <c r="F523" s="28">
        <v>287503.96107359999</v>
      </c>
      <c r="H523">
        <f>VLOOKUP(A523&amp;B523,ticker_sector[],2,FALSE)</f>
        <v>5</v>
      </c>
      <c r="I523">
        <f>VLOOKUP(C523,year[],2,FALSE)</f>
        <v>1</v>
      </c>
      <c r="J523">
        <f>VLOOKUP(E523,showing[],2,FALSE)</f>
        <v>2</v>
      </c>
      <c r="K523">
        <f>Сектора[[#This Row],[Значение]]</f>
        <v>287503.96107359999</v>
      </c>
      <c r="L523" t="str">
        <f t="shared" si="8"/>
        <v>INSERT INTO msfo.statements (id_company, id_year, id_showing, value) VALUES (5,1,2,287503,9610736);</v>
      </c>
    </row>
    <row r="524" spans="1:12">
      <c r="A524" s="28" t="s">
        <v>39</v>
      </c>
      <c r="B524" s="28" t="s">
        <v>32</v>
      </c>
      <c r="C524" s="28">
        <v>2012</v>
      </c>
      <c r="D524" s="28" t="s">
        <v>1</v>
      </c>
      <c r="E524" s="28" t="s">
        <v>3</v>
      </c>
      <c r="F524" s="28">
        <v>173023.978</v>
      </c>
      <c r="H524">
        <f>VLOOKUP(A524&amp;B524,ticker_sector[],2,FALSE)</f>
        <v>5</v>
      </c>
      <c r="I524">
        <f>VLOOKUP(C524,year[],2,FALSE)</f>
        <v>2</v>
      </c>
      <c r="J524">
        <f>VLOOKUP(E524,showing[],2,FALSE)</f>
        <v>2</v>
      </c>
      <c r="K524">
        <f>Сектора[[#This Row],[Значение]]</f>
        <v>173023.978</v>
      </c>
      <c r="L524" t="str">
        <f t="shared" si="8"/>
        <v>INSERT INTO msfo.statements (id_company, id_year, id_showing, value) VALUES (5,2,2,173023,978);</v>
      </c>
    </row>
    <row r="525" spans="1:12">
      <c r="A525" s="28" t="s">
        <v>39</v>
      </c>
      <c r="B525" s="28" t="s">
        <v>32</v>
      </c>
      <c r="C525" s="28">
        <v>2013</v>
      </c>
      <c r="D525" s="28" t="s">
        <v>1</v>
      </c>
      <c r="E525" s="28" t="s">
        <v>3</v>
      </c>
      <c r="F525" s="28">
        <v>160583.72500000001</v>
      </c>
      <c r="H525">
        <f>VLOOKUP(A525&amp;B525,ticker_sector[],2,FALSE)</f>
        <v>5</v>
      </c>
      <c r="I525">
        <f>VLOOKUP(C525,year[],2,FALSE)</f>
        <v>3</v>
      </c>
      <c r="J525">
        <f>VLOOKUP(E525,showing[],2,FALSE)</f>
        <v>2</v>
      </c>
      <c r="K525">
        <f>Сектора[[#This Row],[Значение]]</f>
        <v>160583.72500000001</v>
      </c>
      <c r="L525" t="str">
        <f t="shared" si="8"/>
        <v>INSERT INTO msfo.statements (id_company, id_year, id_showing, value) VALUES (5,3,2,160583,725);</v>
      </c>
    </row>
    <row r="526" spans="1:12">
      <c r="A526" s="28" t="s">
        <v>39</v>
      </c>
      <c r="B526" s="28" t="s">
        <v>32</v>
      </c>
      <c r="C526" s="28">
        <v>2014</v>
      </c>
      <c r="D526" s="28" t="s">
        <v>1</v>
      </c>
      <c r="E526" s="28" t="s">
        <v>3</v>
      </c>
      <c r="F526" s="28">
        <v>203200</v>
      </c>
      <c r="H526">
        <f>VLOOKUP(A526&amp;B526,ticker_sector[],2,FALSE)</f>
        <v>5</v>
      </c>
      <c r="I526">
        <f>VLOOKUP(C526,year[],2,FALSE)</f>
        <v>4</v>
      </c>
      <c r="J526">
        <f>VLOOKUP(E526,showing[],2,FALSE)</f>
        <v>2</v>
      </c>
      <c r="K526">
        <f>Сектора[[#This Row],[Значение]]</f>
        <v>203200</v>
      </c>
      <c r="L526" t="str">
        <f t="shared" si="8"/>
        <v>INSERT INTO msfo.statements (id_company, id_year, id_showing, value) VALUES (5,4,2,203200);</v>
      </c>
    </row>
    <row r="527" spans="1:12">
      <c r="A527" s="28" t="s">
        <v>39</v>
      </c>
      <c r="B527" s="28" t="s">
        <v>32</v>
      </c>
      <c r="C527" s="28">
        <v>2015</v>
      </c>
      <c r="D527" s="28" t="s">
        <v>1</v>
      </c>
      <c r="E527" s="28" t="s">
        <v>3</v>
      </c>
      <c r="F527" s="28">
        <v>214056</v>
      </c>
      <c r="H527">
        <f>VLOOKUP(A527&amp;B527,ticker_sector[],2,FALSE)</f>
        <v>5</v>
      </c>
      <c r="I527">
        <f>VLOOKUP(C527,year[],2,FALSE)</f>
        <v>5</v>
      </c>
      <c r="J527">
        <f>VLOOKUP(E527,showing[],2,FALSE)</f>
        <v>2</v>
      </c>
      <c r="K527">
        <f>Сектора[[#This Row],[Значение]]</f>
        <v>214056</v>
      </c>
      <c r="L527" t="str">
        <f t="shared" si="8"/>
        <v>INSERT INTO msfo.statements (id_company, id_year, id_showing, value) VALUES (5,5,2,214056);</v>
      </c>
    </row>
    <row r="528" spans="1:12">
      <c r="A528" s="28" t="s">
        <v>39</v>
      </c>
      <c r="B528" s="28" t="s">
        <v>32</v>
      </c>
      <c r="C528" s="28">
        <v>2016</v>
      </c>
      <c r="D528" s="28" t="s">
        <v>1</v>
      </c>
      <c r="E528" s="28" t="s">
        <v>3</v>
      </c>
      <c r="F528" s="28">
        <v>170318</v>
      </c>
      <c r="H528">
        <f>VLOOKUP(A528&amp;B528,ticker_sector[],2,FALSE)</f>
        <v>5</v>
      </c>
      <c r="I528">
        <f>VLOOKUP(C528,year[],2,FALSE)</f>
        <v>6</v>
      </c>
      <c r="J528">
        <f>VLOOKUP(E528,showing[],2,FALSE)</f>
        <v>2</v>
      </c>
      <c r="K528">
        <f>Сектора[[#This Row],[Значение]]</f>
        <v>170318</v>
      </c>
      <c r="L528" t="str">
        <f t="shared" si="8"/>
        <v>INSERT INTO msfo.statements (id_company, id_year, id_showing, value) VALUES (5,6,2,170318);</v>
      </c>
    </row>
    <row r="529" spans="1:12">
      <c r="A529" s="28" t="s">
        <v>39</v>
      </c>
      <c r="B529" s="28" t="s">
        <v>32</v>
      </c>
      <c r="C529" s="28">
        <v>2017</v>
      </c>
      <c r="D529" s="28" t="s">
        <v>1</v>
      </c>
      <c r="E529" s="28" t="s">
        <v>3</v>
      </c>
      <c r="F529" s="28">
        <v>170024</v>
      </c>
      <c r="H529">
        <f>VLOOKUP(A529&amp;B529,ticker_sector[],2,FALSE)</f>
        <v>5</v>
      </c>
      <c r="I529">
        <f>VLOOKUP(C529,year[],2,FALSE)</f>
        <v>7</v>
      </c>
      <c r="J529">
        <f>VLOOKUP(E529,showing[],2,FALSE)</f>
        <v>2</v>
      </c>
      <c r="K529">
        <f>Сектора[[#This Row],[Значение]]</f>
        <v>170024</v>
      </c>
      <c r="L529" t="str">
        <f t="shared" si="8"/>
        <v>INSERT INTO msfo.statements (id_company, id_year, id_showing, value) VALUES (5,7,2,170024);</v>
      </c>
    </row>
    <row r="530" spans="1:12">
      <c r="A530" s="28" t="s">
        <v>39</v>
      </c>
      <c r="B530" s="28" t="s">
        <v>32</v>
      </c>
      <c r="C530" s="28">
        <v>2010</v>
      </c>
      <c r="D530" s="28" t="s">
        <v>1</v>
      </c>
      <c r="E530" s="28" t="s">
        <v>5</v>
      </c>
      <c r="F530" s="28">
        <v>591507.28689890006</v>
      </c>
      <c r="H530">
        <f>VLOOKUP(A530&amp;B530,ticker_sector[],2,FALSE)</f>
        <v>5</v>
      </c>
      <c r="I530">
        <f>VLOOKUP(C530,year[],2,FALSE)</f>
        <v>0</v>
      </c>
      <c r="J530">
        <f>VLOOKUP(E530,showing[],2,FALSE)</f>
        <v>3</v>
      </c>
      <c r="K530">
        <f>Сектора[[#This Row],[Значение]]</f>
        <v>591507.28689890006</v>
      </c>
      <c r="L530" t="str">
        <f t="shared" si="8"/>
        <v>INSERT INTO msfo.statements (id_company, id_year, id_showing, value) VALUES (5,0,3,591507,2868989);</v>
      </c>
    </row>
    <row r="531" spans="1:12">
      <c r="A531" s="28" t="s">
        <v>39</v>
      </c>
      <c r="B531" s="28" t="s">
        <v>32</v>
      </c>
      <c r="C531" s="28">
        <v>2011</v>
      </c>
      <c r="D531" s="28" t="s">
        <v>1</v>
      </c>
      <c r="E531" s="28" t="s">
        <v>5</v>
      </c>
      <c r="F531" s="28">
        <v>576625.42201510002</v>
      </c>
      <c r="H531">
        <f>VLOOKUP(A531&amp;B531,ticker_sector[],2,FALSE)</f>
        <v>5</v>
      </c>
      <c r="I531">
        <f>VLOOKUP(C531,year[],2,FALSE)</f>
        <v>1</v>
      </c>
      <c r="J531">
        <f>VLOOKUP(E531,showing[],2,FALSE)</f>
        <v>3</v>
      </c>
      <c r="K531">
        <f>Сектора[[#This Row],[Значение]]</f>
        <v>576625.42201510002</v>
      </c>
      <c r="L531" t="str">
        <f t="shared" si="8"/>
        <v>INSERT INTO msfo.statements (id_company, id_year, id_showing, value) VALUES (5,1,3,576625,4220151);</v>
      </c>
    </row>
    <row r="532" spans="1:12">
      <c r="A532" s="28" t="s">
        <v>39</v>
      </c>
      <c r="B532" s="28" t="s">
        <v>32</v>
      </c>
      <c r="C532" s="28">
        <v>2012</v>
      </c>
      <c r="D532" s="28" t="s">
        <v>1</v>
      </c>
      <c r="E532" s="28" t="s">
        <v>5</v>
      </c>
      <c r="F532" s="28">
        <v>477070.52899999998</v>
      </c>
      <c r="H532">
        <f>VLOOKUP(A532&amp;B532,ticker_sector[],2,FALSE)</f>
        <v>5</v>
      </c>
      <c r="I532">
        <f>VLOOKUP(C532,year[],2,FALSE)</f>
        <v>2</v>
      </c>
      <c r="J532">
        <f>VLOOKUP(E532,showing[],2,FALSE)</f>
        <v>3</v>
      </c>
      <c r="K532">
        <f>Сектора[[#This Row],[Значение]]</f>
        <v>477070.52899999998</v>
      </c>
      <c r="L532" t="str">
        <f t="shared" si="8"/>
        <v>INSERT INTO msfo.statements (id_company, id_year, id_showing, value) VALUES (5,2,3,477070,529);</v>
      </c>
    </row>
    <row r="533" spans="1:12">
      <c r="A533" s="28" t="s">
        <v>39</v>
      </c>
      <c r="B533" s="28" t="s">
        <v>32</v>
      </c>
      <c r="C533" s="28">
        <v>2013</v>
      </c>
      <c r="D533" s="28" t="s">
        <v>1</v>
      </c>
      <c r="E533" s="28" t="s">
        <v>5</v>
      </c>
      <c r="F533" s="28">
        <v>475677.25699999998</v>
      </c>
      <c r="H533">
        <f>VLOOKUP(A533&amp;B533,ticker_sector[],2,FALSE)</f>
        <v>5</v>
      </c>
      <c r="I533">
        <f>VLOOKUP(C533,year[],2,FALSE)</f>
        <v>3</v>
      </c>
      <c r="J533">
        <f>VLOOKUP(E533,showing[],2,FALSE)</f>
        <v>3</v>
      </c>
      <c r="K533">
        <f>Сектора[[#This Row],[Значение]]</f>
        <v>475677.25699999998</v>
      </c>
      <c r="L533" t="str">
        <f t="shared" si="8"/>
        <v>INSERT INTO msfo.statements (id_company, id_year, id_showing, value) VALUES (5,3,3,475677,257);</v>
      </c>
    </row>
    <row r="534" spans="1:12">
      <c r="A534" s="28" t="s">
        <v>39</v>
      </c>
      <c r="B534" s="28" t="s">
        <v>32</v>
      </c>
      <c r="C534" s="28">
        <v>2014</v>
      </c>
      <c r="D534" s="28" t="s">
        <v>1</v>
      </c>
      <c r="E534" s="28" t="s">
        <v>5</v>
      </c>
      <c r="F534" s="28">
        <v>424894</v>
      </c>
      <c r="H534">
        <f>VLOOKUP(A534&amp;B534,ticker_sector[],2,FALSE)</f>
        <v>5</v>
      </c>
      <c r="I534">
        <f>VLOOKUP(C534,year[],2,FALSE)</f>
        <v>4</v>
      </c>
      <c r="J534">
        <f>VLOOKUP(E534,showing[],2,FALSE)</f>
        <v>3</v>
      </c>
      <c r="K534">
        <f>Сектора[[#This Row],[Значение]]</f>
        <v>424894</v>
      </c>
      <c r="L534" t="str">
        <f t="shared" si="8"/>
        <v>INSERT INTO msfo.statements (id_company, id_year, id_showing, value) VALUES (5,4,3,424894);</v>
      </c>
    </row>
    <row r="535" spans="1:12">
      <c r="A535" s="28" t="s">
        <v>39</v>
      </c>
      <c r="B535" s="28" t="s">
        <v>32</v>
      </c>
      <c r="C535" s="28">
        <v>2015</v>
      </c>
      <c r="D535" s="28" t="s">
        <v>1</v>
      </c>
      <c r="E535" s="28" t="s">
        <v>5</v>
      </c>
      <c r="F535" s="28">
        <v>427589</v>
      </c>
      <c r="H535">
        <f>VLOOKUP(A535&amp;B535,ticker_sector[],2,FALSE)</f>
        <v>5</v>
      </c>
      <c r="I535">
        <f>VLOOKUP(C535,year[],2,FALSE)</f>
        <v>5</v>
      </c>
      <c r="J535">
        <f>VLOOKUP(E535,showing[],2,FALSE)</f>
        <v>3</v>
      </c>
      <c r="K535">
        <f>Сектора[[#This Row],[Значение]]</f>
        <v>427589</v>
      </c>
      <c r="L535" t="str">
        <f t="shared" si="8"/>
        <v>INSERT INTO msfo.statements (id_company, id_year, id_showing, value) VALUES (5,5,3,427589);</v>
      </c>
    </row>
    <row r="536" spans="1:12">
      <c r="A536" s="28" t="s">
        <v>39</v>
      </c>
      <c r="B536" s="28" t="s">
        <v>32</v>
      </c>
      <c r="C536" s="28">
        <v>2016</v>
      </c>
      <c r="D536" s="28" t="s">
        <v>1</v>
      </c>
      <c r="E536" s="28" t="s">
        <v>5</v>
      </c>
      <c r="F536" s="28">
        <v>393156</v>
      </c>
      <c r="H536">
        <f>VLOOKUP(A536&amp;B536,ticker_sector[],2,FALSE)</f>
        <v>5</v>
      </c>
      <c r="I536">
        <f>VLOOKUP(C536,year[],2,FALSE)</f>
        <v>6</v>
      </c>
      <c r="J536">
        <f>VLOOKUP(E536,showing[],2,FALSE)</f>
        <v>3</v>
      </c>
      <c r="K536">
        <f>Сектора[[#This Row],[Значение]]</f>
        <v>393156</v>
      </c>
      <c r="L536" t="str">
        <f t="shared" si="8"/>
        <v>INSERT INTO msfo.statements (id_company, id_year, id_showing, value) VALUES (5,6,3,393156);</v>
      </c>
    </row>
    <row r="537" spans="1:12">
      <c r="A537" s="28" t="s">
        <v>39</v>
      </c>
      <c r="B537" s="28" t="s">
        <v>32</v>
      </c>
      <c r="C537" s="28">
        <v>2017</v>
      </c>
      <c r="D537" s="28" t="s">
        <v>1</v>
      </c>
      <c r="E537" s="28" t="s">
        <v>5</v>
      </c>
      <c r="F537" s="28">
        <v>415241</v>
      </c>
      <c r="H537">
        <f>VLOOKUP(A537&amp;B537,ticker_sector[],2,FALSE)</f>
        <v>5</v>
      </c>
      <c r="I537">
        <f>VLOOKUP(C537,year[],2,FALSE)</f>
        <v>7</v>
      </c>
      <c r="J537">
        <f>VLOOKUP(E537,showing[],2,FALSE)</f>
        <v>3</v>
      </c>
      <c r="K537">
        <f>Сектора[[#This Row],[Значение]]</f>
        <v>415241</v>
      </c>
      <c r="L537" t="str">
        <f t="shared" si="8"/>
        <v>INSERT INTO msfo.statements (id_company, id_year, id_showing, value) VALUES (5,7,3,415241);</v>
      </c>
    </row>
    <row r="538" spans="1:12">
      <c r="A538" s="28" t="s">
        <v>39</v>
      </c>
      <c r="B538" s="28" t="s">
        <v>32</v>
      </c>
      <c r="C538" s="28">
        <v>2010</v>
      </c>
      <c r="D538" s="28" t="s">
        <v>1</v>
      </c>
      <c r="E538" s="28" t="s">
        <v>6</v>
      </c>
      <c r="F538" s="28">
        <v>223994.63951570002</v>
      </c>
      <c r="H538">
        <f>VLOOKUP(A538&amp;B538,ticker_sector[],2,FALSE)</f>
        <v>5</v>
      </c>
      <c r="I538">
        <f>VLOOKUP(C538,year[],2,FALSE)</f>
        <v>0</v>
      </c>
      <c r="J538">
        <f>VLOOKUP(E538,showing[],2,FALSE)</f>
        <v>4</v>
      </c>
      <c r="K538">
        <f>Сектора[[#This Row],[Значение]]</f>
        <v>223994.63951570002</v>
      </c>
      <c r="L538" t="str">
        <f t="shared" si="8"/>
        <v>INSERT INTO msfo.statements (id_company, id_year, id_showing, value) VALUES (5,0,4,223994,6395157);</v>
      </c>
    </row>
    <row r="539" spans="1:12">
      <c r="A539" s="28" t="s">
        <v>39</v>
      </c>
      <c r="B539" s="28" t="s">
        <v>32</v>
      </c>
      <c r="C539" s="28">
        <v>2011</v>
      </c>
      <c r="D539" s="28" t="s">
        <v>1</v>
      </c>
      <c r="E539" s="28" t="s">
        <v>6</v>
      </c>
      <c r="F539" s="28">
        <v>227540.23804030003</v>
      </c>
      <c r="H539">
        <f>VLOOKUP(A539&amp;B539,ticker_sector[],2,FALSE)</f>
        <v>5</v>
      </c>
      <c r="I539">
        <f>VLOOKUP(C539,year[],2,FALSE)</f>
        <v>1</v>
      </c>
      <c r="J539">
        <f>VLOOKUP(E539,showing[],2,FALSE)</f>
        <v>4</v>
      </c>
      <c r="K539">
        <f>Сектора[[#This Row],[Значение]]</f>
        <v>227540.23804030003</v>
      </c>
      <c r="L539" t="str">
        <f t="shared" si="8"/>
        <v>INSERT INTO msfo.statements (id_company, id_year, id_showing, value) VALUES (5,1,4,227540,2380403);</v>
      </c>
    </row>
    <row r="540" spans="1:12">
      <c r="A540" s="28" t="s">
        <v>39</v>
      </c>
      <c r="B540" s="28" t="s">
        <v>32</v>
      </c>
      <c r="C540" s="28">
        <v>2012</v>
      </c>
      <c r="D540" s="28" t="s">
        <v>1</v>
      </c>
      <c r="E540" s="28" t="s">
        <v>6</v>
      </c>
      <c r="F540" s="28">
        <v>219146.413</v>
      </c>
      <c r="H540">
        <f>VLOOKUP(A540&amp;B540,ticker_sector[],2,FALSE)</f>
        <v>5</v>
      </c>
      <c r="I540">
        <f>VLOOKUP(C540,year[],2,FALSE)</f>
        <v>2</v>
      </c>
      <c r="J540">
        <f>VLOOKUP(E540,showing[],2,FALSE)</f>
        <v>4</v>
      </c>
      <c r="K540">
        <f>Сектора[[#This Row],[Значение]]</f>
        <v>219146.413</v>
      </c>
      <c r="L540" t="str">
        <f t="shared" si="8"/>
        <v>INSERT INTO msfo.statements (id_company, id_year, id_showing, value) VALUES (5,2,4,219146,413);</v>
      </c>
    </row>
    <row r="541" spans="1:12">
      <c r="A541" s="28" t="s">
        <v>39</v>
      </c>
      <c r="B541" s="28" t="s">
        <v>32</v>
      </c>
      <c r="C541" s="28">
        <v>2013</v>
      </c>
      <c r="D541" s="28" t="s">
        <v>1</v>
      </c>
      <c r="E541" s="28" t="s">
        <v>6</v>
      </c>
      <c r="F541" s="28">
        <v>229112.81099999999</v>
      </c>
      <c r="H541">
        <f>VLOOKUP(A541&amp;B541,ticker_sector[],2,FALSE)</f>
        <v>5</v>
      </c>
      <c r="I541">
        <f>VLOOKUP(C541,year[],2,FALSE)</f>
        <v>3</v>
      </c>
      <c r="J541">
        <f>VLOOKUP(E541,showing[],2,FALSE)</f>
        <v>4</v>
      </c>
      <c r="K541">
        <f>Сектора[[#This Row],[Значение]]</f>
        <v>229112.81099999999</v>
      </c>
      <c r="L541" t="str">
        <f t="shared" si="8"/>
        <v>INSERT INTO msfo.statements (id_company, id_year, id_showing, value) VALUES (5,3,4,229112,811);</v>
      </c>
    </row>
    <row r="542" spans="1:12">
      <c r="A542" s="28" t="s">
        <v>39</v>
      </c>
      <c r="B542" s="28" t="s">
        <v>32</v>
      </c>
      <c r="C542" s="28">
        <v>2014</v>
      </c>
      <c r="D542" s="28" t="s">
        <v>1</v>
      </c>
      <c r="E542" s="28" t="s">
        <v>6</v>
      </c>
      <c r="F542" s="28">
        <v>159066</v>
      </c>
      <c r="H542">
        <f>VLOOKUP(A542&amp;B542,ticker_sector[],2,FALSE)</f>
        <v>5</v>
      </c>
      <c r="I542">
        <f>VLOOKUP(C542,year[],2,FALSE)</f>
        <v>4</v>
      </c>
      <c r="J542">
        <f>VLOOKUP(E542,showing[],2,FALSE)</f>
        <v>4</v>
      </c>
      <c r="K542">
        <f>Сектора[[#This Row],[Значение]]</f>
        <v>159066</v>
      </c>
      <c r="L542" t="str">
        <f t="shared" si="8"/>
        <v>INSERT INTO msfo.statements (id_company, id_year, id_showing, value) VALUES (5,4,4,159066);</v>
      </c>
    </row>
    <row r="543" spans="1:12">
      <c r="A543" s="28" t="s">
        <v>39</v>
      </c>
      <c r="B543" s="28" t="s">
        <v>32</v>
      </c>
      <c r="C543" s="28">
        <v>2015</v>
      </c>
      <c r="D543" s="28" t="s">
        <v>1</v>
      </c>
      <c r="E543" s="28" t="s">
        <v>6</v>
      </c>
      <c r="F543" s="28">
        <v>165283</v>
      </c>
      <c r="H543">
        <f>VLOOKUP(A543&amp;B543,ticker_sector[],2,FALSE)</f>
        <v>5</v>
      </c>
      <c r="I543">
        <f>VLOOKUP(C543,year[],2,FALSE)</f>
        <v>5</v>
      </c>
      <c r="J543">
        <f>VLOOKUP(E543,showing[],2,FALSE)</f>
        <v>4</v>
      </c>
      <c r="K543">
        <f>Сектора[[#This Row],[Значение]]</f>
        <v>165283</v>
      </c>
      <c r="L543" t="str">
        <f t="shared" si="8"/>
        <v>INSERT INTO msfo.statements (id_company, id_year, id_showing, value) VALUES (5,5,4,165283);</v>
      </c>
    </row>
    <row r="544" spans="1:12">
      <c r="A544" s="28" t="s">
        <v>39</v>
      </c>
      <c r="B544" s="28" t="s">
        <v>32</v>
      </c>
      <c r="C544" s="28">
        <v>2016</v>
      </c>
      <c r="D544" s="28" t="s">
        <v>1</v>
      </c>
      <c r="E544" s="28" t="s">
        <v>6</v>
      </c>
      <c r="F544" s="28">
        <v>184313</v>
      </c>
      <c r="H544">
        <f>VLOOKUP(A544&amp;B544,ticker_sector[],2,FALSE)</f>
        <v>5</v>
      </c>
      <c r="I544">
        <f>VLOOKUP(C544,year[],2,FALSE)</f>
        <v>6</v>
      </c>
      <c r="J544">
        <f>VLOOKUP(E544,showing[],2,FALSE)</f>
        <v>4</v>
      </c>
      <c r="K544">
        <f>Сектора[[#This Row],[Значение]]</f>
        <v>184313</v>
      </c>
      <c r="L544" t="str">
        <f t="shared" si="8"/>
        <v>INSERT INTO msfo.statements (id_company, id_year, id_showing, value) VALUES (5,6,4,184313);</v>
      </c>
    </row>
    <row r="545" spans="1:12">
      <c r="A545" s="28" t="s">
        <v>39</v>
      </c>
      <c r="B545" s="28" t="s">
        <v>32</v>
      </c>
      <c r="C545" s="28">
        <v>2017</v>
      </c>
      <c r="D545" s="28" t="s">
        <v>1</v>
      </c>
      <c r="E545" s="28" t="s">
        <v>6</v>
      </c>
      <c r="F545" s="28">
        <v>195713</v>
      </c>
      <c r="H545">
        <f>VLOOKUP(A545&amp;B545,ticker_sector[],2,FALSE)</f>
        <v>5</v>
      </c>
      <c r="I545">
        <f>VLOOKUP(C545,year[],2,FALSE)</f>
        <v>7</v>
      </c>
      <c r="J545">
        <f>VLOOKUP(E545,showing[],2,FALSE)</f>
        <v>4</v>
      </c>
      <c r="K545">
        <f>Сектора[[#This Row],[Значение]]</f>
        <v>195713</v>
      </c>
      <c r="L545" t="str">
        <f t="shared" si="8"/>
        <v>INSERT INTO msfo.statements (id_company, id_year, id_showing, value) VALUES (5,7,4,195713);</v>
      </c>
    </row>
    <row r="546" spans="1:12">
      <c r="A546" s="28" t="s">
        <v>39</v>
      </c>
      <c r="B546" s="28" t="s">
        <v>32</v>
      </c>
      <c r="C546" s="28">
        <v>2010</v>
      </c>
      <c r="D546" s="28" t="s">
        <v>1</v>
      </c>
      <c r="E546" s="28" t="s">
        <v>8</v>
      </c>
      <c r="F546" s="28">
        <v>173099.67940690002</v>
      </c>
      <c r="H546">
        <f>VLOOKUP(A546&amp;B546,ticker_sector[],2,FALSE)</f>
        <v>5</v>
      </c>
      <c r="I546">
        <f>VLOOKUP(C546,year[],2,FALSE)</f>
        <v>0</v>
      </c>
      <c r="J546">
        <f>VLOOKUP(E546,showing[],2,FALSE)</f>
        <v>5</v>
      </c>
      <c r="K546">
        <f>Сектора[[#This Row],[Значение]]</f>
        <v>173099.67940690002</v>
      </c>
      <c r="L546" t="str">
        <f t="shared" si="8"/>
        <v>INSERT INTO msfo.statements (id_company, id_year, id_showing, value) VALUES (5,0,5,173099,6794069);</v>
      </c>
    </row>
    <row r="547" spans="1:12">
      <c r="A547" s="28" t="s">
        <v>39</v>
      </c>
      <c r="B547" s="28" t="s">
        <v>32</v>
      </c>
      <c r="C547" s="28">
        <v>2011</v>
      </c>
      <c r="D547" s="28" t="s">
        <v>1</v>
      </c>
      <c r="E547" s="28" t="s">
        <v>8</v>
      </c>
      <c r="F547" s="28">
        <v>176198.63058700002</v>
      </c>
      <c r="H547">
        <f>VLOOKUP(A547&amp;B547,ticker_sector[],2,FALSE)</f>
        <v>5</v>
      </c>
      <c r="I547">
        <f>VLOOKUP(C547,year[],2,FALSE)</f>
        <v>1</v>
      </c>
      <c r="J547">
        <f>VLOOKUP(E547,showing[],2,FALSE)</f>
        <v>5</v>
      </c>
      <c r="K547">
        <f>Сектора[[#This Row],[Значение]]</f>
        <v>176198.63058700002</v>
      </c>
      <c r="L547" t="str">
        <f t="shared" si="8"/>
        <v>INSERT INTO msfo.statements (id_company, id_year, id_showing, value) VALUES (5,1,5,176198,630587);</v>
      </c>
    </row>
    <row r="548" spans="1:12">
      <c r="A548" s="28" t="s">
        <v>39</v>
      </c>
      <c r="B548" s="28" t="s">
        <v>32</v>
      </c>
      <c r="C548" s="28">
        <v>2012</v>
      </c>
      <c r="D548" s="28" t="s">
        <v>1</v>
      </c>
      <c r="E548" s="28" t="s">
        <v>8</v>
      </c>
      <c r="F548" s="28">
        <v>155578.38399999999</v>
      </c>
      <c r="H548">
        <f>VLOOKUP(A548&amp;B548,ticker_sector[],2,FALSE)</f>
        <v>5</v>
      </c>
      <c r="I548">
        <f>VLOOKUP(C548,year[],2,FALSE)</f>
        <v>2</v>
      </c>
      <c r="J548">
        <f>VLOOKUP(E548,showing[],2,FALSE)</f>
        <v>5</v>
      </c>
      <c r="K548">
        <f>Сектора[[#This Row],[Значение]]</f>
        <v>155578.38399999999</v>
      </c>
      <c r="L548" t="str">
        <f t="shared" si="8"/>
        <v>INSERT INTO msfo.statements (id_company, id_year, id_showing, value) VALUES (5,2,5,155578,384);</v>
      </c>
    </row>
    <row r="549" spans="1:12">
      <c r="A549" s="28" t="s">
        <v>39</v>
      </c>
      <c r="B549" s="28" t="s">
        <v>32</v>
      </c>
      <c r="C549" s="28">
        <v>2013</v>
      </c>
      <c r="D549" s="28" t="s">
        <v>1</v>
      </c>
      <c r="E549" s="28" t="s">
        <v>8</v>
      </c>
      <c r="F549" s="28">
        <v>163132.05300000001</v>
      </c>
      <c r="H549">
        <f>VLOOKUP(A549&amp;B549,ticker_sector[],2,FALSE)</f>
        <v>5</v>
      </c>
      <c r="I549">
        <f>VLOOKUP(C549,year[],2,FALSE)</f>
        <v>3</v>
      </c>
      <c r="J549">
        <f>VLOOKUP(E549,showing[],2,FALSE)</f>
        <v>5</v>
      </c>
      <c r="K549">
        <f>Сектора[[#This Row],[Значение]]</f>
        <v>163132.05300000001</v>
      </c>
      <c r="L549" t="str">
        <f t="shared" si="8"/>
        <v>INSERT INTO msfo.statements (id_company, id_year, id_showing, value) VALUES (5,3,5,163132,053);</v>
      </c>
    </row>
    <row r="550" spans="1:12">
      <c r="A550" s="28" t="s">
        <v>39</v>
      </c>
      <c r="B550" s="28" t="s">
        <v>32</v>
      </c>
      <c r="C550" s="28">
        <v>2014</v>
      </c>
      <c r="D550" s="28" t="s">
        <v>1</v>
      </c>
      <c r="E550" s="28" t="s">
        <v>8</v>
      </c>
      <c r="F550" s="28">
        <v>168255</v>
      </c>
      <c r="H550">
        <f>VLOOKUP(A550&amp;B550,ticker_sector[],2,FALSE)</f>
        <v>5</v>
      </c>
      <c r="I550">
        <f>VLOOKUP(C550,year[],2,FALSE)</f>
        <v>4</v>
      </c>
      <c r="J550">
        <f>VLOOKUP(E550,showing[],2,FALSE)</f>
        <v>5</v>
      </c>
      <c r="K550">
        <f>Сектора[[#This Row],[Значение]]</f>
        <v>168255</v>
      </c>
      <c r="L550" t="str">
        <f t="shared" si="8"/>
        <v>INSERT INTO msfo.statements (id_company, id_year, id_showing, value) VALUES (5,4,5,168255);</v>
      </c>
    </row>
    <row r="551" spans="1:12">
      <c r="A551" s="28" t="s">
        <v>39</v>
      </c>
      <c r="B551" s="28" t="s">
        <v>32</v>
      </c>
      <c r="C551" s="28">
        <v>2015</v>
      </c>
      <c r="D551" s="28" t="s">
        <v>1</v>
      </c>
      <c r="E551" s="28" t="s">
        <v>8</v>
      </c>
      <c r="F551" s="28">
        <v>167778</v>
      </c>
      <c r="H551">
        <f>VLOOKUP(A551&amp;B551,ticker_sector[],2,FALSE)</f>
        <v>5</v>
      </c>
      <c r="I551">
        <f>VLOOKUP(C551,year[],2,FALSE)</f>
        <v>5</v>
      </c>
      <c r="J551">
        <f>VLOOKUP(E551,showing[],2,FALSE)</f>
        <v>5</v>
      </c>
      <c r="K551">
        <f>Сектора[[#This Row],[Значение]]</f>
        <v>167778</v>
      </c>
      <c r="L551" t="str">
        <f t="shared" si="8"/>
        <v>INSERT INTO msfo.statements (id_company, id_year, id_showing, value) VALUES (5,5,5,167778);</v>
      </c>
    </row>
    <row r="552" spans="1:12">
      <c r="A552" s="28" t="s">
        <v>39</v>
      </c>
      <c r="B552" s="28" t="s">
        <v>32</v>
      </c>
      <c r="C552" s="28">
        <v>2016</v>
      </c>
      <c r="D552" s="28" t="s">
        <v>1</v>
      </c>
      <c r="E552" s="28" t="s">
        <v>8</v>
      </c>
      <c r="F552" s="28">
        <v>99857</v>
      </c>
      <c r="H552">
        <f>VLOOKUP(A552&amp;B552,ticker_sector[],2,FALSE)</f>
        <v>5</v>
      </c>
      <c r="I552">
        <f>VLOOKUP(C552,year[],2,FALSE)</f>
        <v>6</v>
      </c>
      <c r="J552">
        <f>VLOOKUP(E552,showing[],2,FALSE)</f>
        <v>5</v>
      </c>
      <c r="K552">
        <f>Сектора[[#This Row],[Значение]]</f>
        <v>99857</v>
      </c>
      <c r="L552" t="str">
        <f t="shared" si="8"/>
        <v>INSERT INTO msfo.statements (id_company, id_year, id_showing, value) VALUES (5,6,5,99857);</v>
      </c>
    </row>
    <row r="553" spans="1:12">
      <c r="A553" s="28" t="s">
        <v>39</v>
      </c>
      <c r="B553" s="28" t="s">
        <v>32</v>
      </c>
      <c r="C553" s="28">
        <v>2017</v>
      </c>
      <c r="D553" s="28" t="s">
        <v>1</v>
      </c>
      <c r="E553" s="28" t="s">
        <v>8</v>
      </c>
      <c r="F553" s="28">
        <v>123332</v>
      </c>
      <c r="H553">
        <f>VLOOKUP(A553&amp;B553,ticker_sector[],2,FALSE)</f>
        <v>5</v>
      </c>
      <c r="I553">
        <f>VLOOKUP(C553,year[],2,FALSE)</f>
        <v>7</v>
      </c>
      <c r="J553">
        <f>VLOOKUP(E553,showing[],2,FALSE)</f>
        <v>5</v>
      </c>
      <c r="K553">
        <f>Сектора[[#This Row],[Значение]]</f>
        <v>123332</v>
      </c>
      <c r="L553" t="str">
        <f t="shared" si="8"/>
        <v>INSERT INTO msfo.statements (id_company, id_year, id_showing, value) VALUES (5,7,5,123332);</v>
      </c>
    </row>
    <row r="554" spans="1:12">
      <c r="A554" s="28" t="s">
        <v>39</v>
      </c>
      <c r="B554" s="28" t="s">
        <v>32</v>
      </c>
      <c r="C554" s="28">
        <v>2010</v>
      </c>
      <c r="D554" s="28" t="s">
        <v>1</v>
      </c>
      <c r="E554" s="28" t="s">
        <v>9</v>
      </c>
      <c r="F554" s="28">
        <v>194412.96797630002</v>
      </c>
      <c r="H554">
        <f>VLOOKUP(A554&amp;B554,ticker_sector[],2,FALSE)</f>
        <v>5</v>
      </c>
      <c r="I554">
        <f>VLOOKUP(C554,year[],2,FALSE)</f>
        <v>0</v>
      </c>
      <c r="J554">
        <f>VLOOKUP(E554,showing[],2,FALSE)</f>
        <v>6</v>
      </c>
      <c r="K554">
        <f>Сектора[[#This Row],[Значение]]</f>
        <v>194412.96797630002</v>
      </c>
      <c r="L554" t="str">
        <f t="shared" si="8"/>
        <v>INSERT INTO msfo.statements (id_company, id_year, id_showing, value) VALUES (5,0,6,194412,9679763);</v>
      </c>
    </row>
    <row r="555" spans="1:12">
      <c r="A555" s="28" t="s">
        <v>39</v>
      </c>
      <c r="B555" s="28" t="s">
        <v>32</v>
      </c>
      <c r="C555" s="28">
        <v>2011</v>
      </c>
      <c r="D555" s="28" t="s">
        <v>1</v>
      </c>
      <c r="E555" s="28" t="s">
        <v>9</v>
      </c>
      <c r="F555" s="28">
        <v>172886.5533878</v>
      </c>
      <c r="H555">
        <f>VLOOKUP(A555&amp;B555,ticker_sector[],2,FALSE)</f>
        <v>5</v>
      </c>
      <c r="I555">
        <f>VLOOKUP(C555,year[],2,FALSE)</f>
        <v>1</v>
      </c>
      <c r="J555">
        <f>VLOOKUP(E555,showing[],2,FALSE)</f>
        <v>6</v>
      </c>
      <c r="K555">
        <f>Сектора[[#This Row],[Значение]]</f>
        <v>172886.5533878</v>
      </c>
      <c r="L555" t="str">
        <f t="shared" si="8"/>
        <v>INSERT INTO msfo.statements (id_company, id_year, id_showing, value) VALUES (5,1,6,172886,5533878);</v>
      </c>
    </row>
    <row r="556" spans="1:12">
      <c r="A556" s="28" t="s">
        <v>39</v>
      </c>
      <c r="B556" s="28" t="s">
        <v>32</v>
      </c>
      <c r="C556" s="28">
        <v>2012</v>
      </c>
      <c r="D556" s="28" t="s">
        <v>1</v>
      </c>
      <c r="E556" s="28" t="s">
        <v>9</v>
      </c>
      <c r="F556" s="28">
        <v>102345.732</v>
      </c>
      <c r="H556">
        <f>VLOOKUP(A556&amp;B556,ticker_sector[],2,FALSE)</f>
        <v>5</v>
      </c>
      <c r="I556">
        <f>VLOOKUP(C556,year[],2,FALSE)</f>
        <v>2</v>
      </c>
      <c r="J556">
        <f>VLOOKUP(E556,showing[],2,FALSE)</f>
        <v>6</v>
      </c>
      <c r="K556">
        <f>Сектора[[#This Row],[Значение]]</f>
        <v>102345.732</v>
      </c>
      <c r="L556" t="str">
        <f t="shared" si="8"/>
        <v>INSERT INTO msfo.statements (id_company, id_year, id_showing, value) VALUES (5,2,6,102345,732);</v>
      </c>
    </row>
    <row r="557" spans="1:12">
      <c r="A557" s="28" t="s">
        <v>39</v>
      </c>
      <c r="B557" s="28" t="s">
        <v>32</v>
      </c>
      <c r="C557" s="28">
        <v>2013</v>
      </c>
      <c r="D557" s="28" t="s">
        <v>1</v>
      </c>
      <c r="E557" s="28" t="s">
        <v>9</v>
      </c>
      <c r="F557" s="28">
        <v>83432.392999999996</v>
      </c>
      <c r="H557">
        <f>VLOOKUP(A557&amp;B557,ticker_sector[],2,FALSE)</f>
        <v>5</v>
      </c>
      <c r="I557">
        <f>VLOOKUP(C557,year[],2,FALSE)</f>
        <v>3</v>
      </c>
      <c r="J557">
        <f>VLOOKUP(E557,showing[],2,FALSE)</f>
        <v>6</v>
      </c>
      <c r="K557">
        <f>Сектора[[#This Row],[Значение]]</f>
        <v>83432.392999999996</v>
      </c>
      <c r="L557" t="str">
        <f t="shared" si="8"/>
        <v>INSERT INTO msfo.statements (id_company, id_year, id_showing, value) VALUES (5,3,6,83432,393);</v>
      </c>
    </row>
    <row r="558" spans="1:12">
      <c r="A558" s="28" t="s">
        <v>39</v>
      </c>
      <c r="B558" s="28" t="s">
        <v>32</v>
      </c>
      <c r="C558" s="28">
        <v>2014</v>
      </c>
      <c r="D558" s="28" t="s">
        <v>1</v>
      </c>
      <c r="E558" s="28" t="s">
        <v>9</v>
      </c>
      <c r="F558" s="28">
        <v>97573</v>
      </c>
      <c r="H558">
        <f>VLOOKUP(A558&amp;B558,ticker_sector[],2,FALSE)</f>
        <v>5</v>
      </c>
      <c r="I558">
        <f>VLOOKUP(C558,year[],2,FALSE)</f>
        <v>4</v>
      </c>
      <c r="J558">
        <f>VLOOKUP(E558,showing[],2,FALSE)</f>
        <v>6</v>
      </c>
      <c r="K558">
        <f>Сектора[[#This Row],[Значение]]</f>
        <v>97573</v>
      </c>
      <c r="L558" t="str">
        <f t="shared" si="8"/>
        <v>INSERT INTO msfo.statements (id_company, id_year, id_showing, value) VALUES (5,4,6,97573);</v>
      </c>
    </row>
    <row r="559" spans="1:12">
      <c r="A559" s="28" t="s">
        <v>39</v>
      </c>
      <c r="B559" s="28" t="s">
        <v>32</v>
      </c>
      <c r="C559" s="28">
        <v>2015</v>
      </c>
      <c r="D559" s="28" t="s">
        <v>1</v>
      </c>
      <c r="E559" s="28" t="s">
        <v>9</v>
      </c>
      <c r="F559" s="28">
        <v>94528</v>
      </c>
      <c r="H559">
        <f>VLOOKUP(A559&amp;B559,ticker_sector[],2,FALSE)</f>
        <v>5</v>
      </c>
      <c r="I559">
        <f>VLOOKUP(C559,year[],2,FALSE)</f>
        <v>5</v>
      </c>
      <c r="J559">
        <f>VLOOKUP(E559,showing[],2,FALSE)</f>
        <v>6</v>
      </c>
      <c r="K559">
        <f>Сектора[[#This Row],[Значение]]</f>
        <v>94528</v>
      </c>
      <c r="L559" t="str">
        <f t="shared" si="8"/>
        <v>INSERT INTO msfo.statements (id_company, id_year, id_showing, value) VALUES (5,5,6,94528);</v>
      </c>
    </row>
    <row r="560" spans="1:12">
      <c r="A560" s="28" t="s">
        <v>39</v>
      </c>
      <c r="B560" s="28" t="s">
        <v>32</v>
      </c>
      <c r="C560" s="28">
        <v>2016</v>
      </c>
      <c r="D560" s="28" t="s">
        <v>1</v>
      </c>
      <c r="E560" s="28" t="s">
        <v>9</v>
      </c>
      <c r="F560" s="28">
        <v>108986</v>
      </c>
      <c r="H560">
        <f>VLOOKUP(A560&amp;B560,ticker_sector[],2,FALSE)</f>
        <v>5</v>
      </c>
      <c r="I560">
        <f>VLOOKUP(C560,year[],2,FALSE)</f>
        <v>6</v>
      </c>
      <c r="J560">
        <f>VLOOKUP(E560,showing[],2,FALSE)</f>
        <v>6</v>
      </c>
      <c r="K560">
        <f>Сектора[[#This Row],[Значение]]</f>
        <v>108986</v>
      </c>
      <c r="L560" t="str">
        <f t="shared" si="8"/>
        <v>INSERT INTO msfo.statements (id_company, id_year, id_showing, value) VALUES (5,6,6,108986);</v>
      </c>
    </row>
    <row r="561" spans="1:12">
      <c r="A561" s="28" t="s">
        <v>39</v>
      </c>
      <c r="B561" s="28" t="s">
        <v>32</v>
      </c>
      <c r="C561" s="28">
        <v>2017</v>
      </c>
      <c r="D561" s="28" t="s">
        <v>1</v>
      </c>
      <c r="E561" s="28" t="s">
        <v>9</v>
      </c>
      <c r="F561" s="28">
        <v>96196</v>
      </c>
      <c r="H561">
        <f>VLOOKUP(A561&amp;B561,ticker_sector[],2,FALSE)</f>
        <v>5</v>
      </c>
      <c r="I561">
        <f>VLOOKUP(C561,year[],2,FALSE)</f>
        <v>7</v>
      </c>
      <c r="J561">
        <f>VLOOKUP(E561,showing[],2,FALSE)</f>
        <v>6</v>
      </c>
      <c r="K561">
        <f>Сектора[[#This Row],[Значение]]</f>
        <v>96196</v>
      </c>
      <c r="L561" t="str">
        <f t="shared" si="8"/>
        <v>INSERT INTO msfo.statements (id_company, id_year, id_showing, value) VALUES (5,7,6,96196);</v>
      </c>
    </row>
    <row r="562" spans="1:12">
      <c r="A562" s="28" t="s">
        <v>39</v>
      </c>
      <c r="B562" s="28" t="s">
        <v>32</v>
      </c>
      <c r="C562" s="28">
        <v>2010</v>
      </c>
      <c r="D562" s="28" t="s">
        <v>1</v>
      </c>
      <c r="E562" s="28" t="s">
        <v>10</v>
      </c>
      <c r="F562" s="28">
        <v>591507.28689890006</v>
      </c>
      <c r="H562">
        <f>VLOOKUP(A562&amp;B562,ticker_sector[],2,FALSE)</f>
        <v>5</v>
      </c>
      <c r="I562">
        <f>VLOOKUP(C562,year[],2,FALSE)</f>
        <v>0</v>
      </c>
      <c r="J562">
        <f>VLOOKUP(E562,showing[],2,FALSE)</f>
        <v>7</v>
      </c>
      <c r="K562">
        <f>Сектора[[#This Row],[Значение]]</f>
        <v>591507.28689890006</v>
      </c>
      <c r="L562" t="str">
        <f t="shared" si="8"/>
        <v>INSERT INTO msfo.statements (id_company, id_year, id_showing, value) VALUES (5,0,7,591507,2868989);</v>
      </c>
    </row>
    <row r="563" spans="1:12">
      <c r="A563" s="28" t="s">
        <v>39</v>
      </c>
      <c r="B563" s="28" t="s">
        <v>32</v>
      </c>
      <c r="C563" s="28">
        <v>2011</v>
      </c>
      <c r="D563" s="28" t="s">
        <v>1</v>
      </c>
      <c r="E563" s="28" t="s">
        <v>10</v>
      </c>
      <c r="F563" s="28">
        <v>576625.42201510002</v>
      </c>
      <c r="H563">
        <f>VLOOKUP(A563&amp;B563,ticker_sector[],2,FALSE)</f>
        <v>5</v>
      </c>
      <c r="I563">
        <f>VLOOKUP(C563,year[],2,FALSE)</f>
        <v>1</v>
      </c>
      <c r="J563">
        <f>VLOOKUP(E563,showing[],2,FALSE)</f>
        <v>7</v>
      </c>
      <c r="K563">
        <f>Сектора[[#This Row],[Значение]]</f>
        <v>576625.42201510002</v>
      </c>
      <c r="L563" t="str">
        <f t="shared" si="8"/>
        <v>INSERT INTO msfo.statements (id_company, id_year, id_showing, value) VALUES (5,1,7,576625,4220151);</v>
      </c>
    </row>
    <row r="564" spans="1:12">
      <c r="A564" s="28" t="s">
        <v>39</v>
      </c>
      <c r="B564" s="28" t="s">
        <v>32</v>
      </c>
      <c r="C564" s="28">
        <v>2012</v>
      </c>
      <c r="D564" s="28" t="s">
        <v>1</v>
      </c>
      <c r="E564" s="28" t="s">
        <v>10</v>
      </c>
      <c r="F564" s="28">
        <v>477070.52899999998</v>
      </c>
      <c r="H564">
        <f>VLOOKUP(A564&amp;B564,ticker_sector[],2,FALSE)</f>
        <v>5</v>
      </c>
      <c r="I564">
        <f>VLOOKUP(C564,year[],2,FALSE)</f>
        <v>2</v>
      </c>
      <c r="J564">
        <f>VLOOKUP(E564,showing[],2,FALSE)</f>
        <v>7</v>
      </c>
      <c r="K564">
        <f>Сектора[[#This Row],[Значение]]</f>
        <v>477070.52899999998</v>
      </c>
      <c r="L564" t="str">
        <f t="shared" si="8"/>
        <v>INSERT INTO msfo.statements (id_company, id_year, id_showing, value) VALUES (5,2,7,477070,529);</v>
      </c>
    </row>
    <row r="565" spans="1:12">
      <c r="A565" s="28" t="s">
        <v>39</v>
      </c>
      <c r="B565" s="28" t="s">
        <v>32</v>
      </c>
      <c r="C565" s="28">
        <v>2013</v>
      </c>
      <c r="D565" s="28" t="s">
        <v>1</v>
      </c>
      <c r="E565" s="28" t="s">
        <v>10</v>
      </c>
      <c r="F565" s="28">
        <v>475677.25699999998</v>
      </c>
      <c r="H565">
        <f>VLOOKUP(A565&amp;B565,ticker_sector[],2,FALSE)</f>
        <v>5</v>
      </c>
      <c r="I565">
        <f>VLOOKUP(C565,year[],2,FALSE)</f>
        <v>3</v>
      </c>
      <c r="J565">
        <f>VLOOKUP(E565,showing[],2,FALSE)</f>
        <v>7</v>
      </c>
      <c r="K565">
        <f>Сектора[[#This Row],[Значение]]</f>
        <v>475677.25699999998</v>
      </c>
      <c r="L565" t="str">
        <f t="shared" si="8"/>
        <v>INSERT INTO msfo.statements (id_company, id_year, id_showing, value) VALUES (5,3,7,475677,257);</v>
      </c>
    </row>
    <row r="566" spans="1:12">
      <c r="A566" s="28" t="s">
        <v>39</v>
      </c>
      <c r="B566" s="28" t="s">
        <v>32</v>
      </c>
      <c r="C566" s="28">
        <v>2014</v>
      </c>
      <c r="D566" s="28" t="s">
        <v>1</v>
      </c>
      <c r="E566" s="28" t="s">
        <v>10</v>
      </c>
      <c r="F566" s="28">
        <v>424894</v>
      </c>
      <c r="H566">
        <f>VLOOKUP(A566&amp;B566,ticker_sector[],2,FALSE)</f>
        <v>5</v>
      </c>
      <c r="I566">
        <f>VLOOKUP(C566,year[],2,FALSE)</f>
        <v>4</v>
      </c>
      <c r="J566">
        <f>VLOOKUP(E566,showing[],2,FALSE)</f>
        <v>7</v>
      </c>
      <c r="K566">
        <f>Сектора[[#This Row],[Значение]]</f>
        <v>424894</v>
      </c>
      <c r="L566" t="str">
        <f t="shared" si="8"/>
        <v>INSERT INTO msfo.statements (id_company, id_year, id_showing, value) VALUES (5,4,7,424894);</v>
      </c>
    </row>
    <row r="567" spans="1:12">
      <c r="A567" s="28" t="s">
        <v>39</v>
      </c>
      <c r="B567" s="28" t="s">
        <v>32</v>
      </c>
      <c r="C567" s="28">
        <v>2015</v>
      </c>
      <c r="D567" s="28" t="s">
        <v>1</v>
      </c>
      <c r="E567" s="28" t="s">
        <v>10</v>
      </c>
      <c r="F567" s="28">
        <v>427589</v>
      </c>
      <c r="H567">
        <f>VLOOKUP(A567&amp;B567,ticker_sector[],2,FALSE)</f>
        <v>5</v>
      </c>
      <c r="I567">
        <f>VLOOKUP(C567,year[],2,FALSE)</f>
        <v>5</v>
      </c>
      <c r="J567">
        <f>VLOOKUP(E567,showing[],2,FALSE)</f>
        <v>7</v>
      </c>
      <c r="K567">
        <f>Сектора[[#This Row],[Значение]]</f>
        <v>427589</v>
      </c>
      <c r="L567" t="str">
        <f t="shared" si="8"/>
        <v>INSERT INTO msfo.statements (id_company, id_year, id_showing, value) VALUES (5,5,7,427589);</v>
      </c>
    </row>
    <row r="568" spans="1:12">
      <c r="A568" s="28" t="s">
        <v>39</v>
      </c>
      <c r="B568" s="28" t="s">
        <v>32</v>
      </c>
      <c r="C568" s="28">
        <v>2016</v>
      </c>
      <c r="D568" s="28" t="s">
        <v>1</v>
      </c>
      <c r="E568" s="28" t="s">
        <v>10</v>
      </c>
      <c r="F568" s="28">
        <v>393156</v>
      </c>
      <c r="H568">
        <f>VLOOKUP(A568&amp;B568,ticker_sector[],2,FALSE)</f>
        <v>5</v>
      </c>
      <c r="I568">
        <f>VLOOKUP(C568,year[],2,FALSE)</f>
        <v>6</v>
      </c>
      <c r="J568">
        <f>VLOOKUP(E568,showing[],2,FALSE)</f>
        <v>7</v>
      </c>
      <c r="K568">
        <f>Сектора[[#This Row],[Значение]]</f>
        <v>393156</v>
      </c>
      <c r="L568" t="str">
        <f t="shared" si="8"/>
        <v>INSERT INTO msfo.statements (id_company, id_year, id_showing, value) VALUES (5,6,7,393156);</v>
      </c>
    </row>
    <row r="569" spans="1:12">
      <c r="A569" s="28" t="s">
        <v>39</v>
      </c>
      <c r="B569" s="28" t="s">
        <v>32</v>
      </c>
      <c r="C569" s="28">
        <v>2017</v>
      </c>
      <c r="D569" s="28" t="s">
        <v>1</v>
      </c>
      <c r="E569" s="28" t="s">
        <v>10</v>
      </c>
      <c r="F569" s="28">
        <v>415241</v>
      </c>
      <c r="H569">
        <f>VLOOKUP(A569&amp;B569,ticker_sector[],2,FALSE)</f>
        <v>5</v>
      </c>
      <c r="I569">
        <f>VLOOKUP(C569,year[],2,FALSE)</f>
        <v>7</v>
      </c>
      <c r="J569">
        <f>VLOOKUP(E569,showing[],2,FALSE)</f>
        <v>7</v>
      </c>
      <c r="K569">
        <f>Сектора[[#This Row],[Значение]]</f>
        <v>415241</v>
      </c>
      <c r="L569" t="str">
        <f t="shared" si="8"/>
        <v>INSERT INTO msfo.statements (id_company, id_year, id_showing, value) VALUES (5,7,7,415241);</v>
      </c>
    </row>
    <row r="570" spans="1:12">
      <c r="A570" s="28" t="s">
        <v>39</v>
      </c>
      <c r="B570" s="28" t="s">
        <v>32</v>
      </c>
      <c r="C570" s="28">
        <v>2010</v>
      </c>
      <c r="D570" s="28" t="s">
        <v>1</v>
      </c>
      <c r="E570" s="28" t="s">
        <v>11</v>
      </c>
      <c r="F570" s="28">
        <v>0.621315502823239</v>
      </c>
      <c r="H570">
        <f>VLOOKUP(A570&amp;B570,ticker_sector[],2,FALSE)</f>
        <v>5</v>
      </c>
      <c r="I570">
        <f>VLOOKUP(C570,year[],2,FALSE)</f>
        <v>0</v>
      </c>
      <c r="J570">
        <f>VLOOKUP(E570,showing[],2,FALSE)</f>
        <v>8</v>
      </c>
      <c r="K570">
        <f>Сектора[[#This Row],[Значение]]</f>
        <v>0.621315502823239</v>
      </c>
      <c r="L570" t="str">
        <f t="shared" si="8"/>
        <v>INSERT INTO msfo.statements (id_company, id_year, id_showing, value) VALUES (5,0,8,0,621315502823239);</v>
      </c>
    </row>
    <row r="571" spans="1:12">
      <c r="A571" s="28" t="s">
        <v>39</v>
      </c>
      <c r="B571" s="28" t="s">
        <v>32</v>
      </c>
      <c r="C571" s="28">
        <v>2011</v>
      </c>
      <c r="D571" s="28" t="s">
        <v>1</v>
      </c>
      <c r="E571" s="28" t="s">
        <v>11</v>
      </c>
      <c r="F571" s="28">
        <v>0.60539332926888989</v>
      </c>
      <c r="H571">
        <f>VLOOKUP(A571&amp;B571,ticker_sector[],2,FALSE)</f>
        <v>5</v>
      </c>
      <c r="I571">
        <f>VLOOKUP(C571,year[],2,FALSE)</f>
        <v>1</v>
      </c>
      <c r="J571">
        <f>VLOOKUP(E571,showing[],2,FALSE)</f>
        <v>8</v>
      </c>
      <c r="K571">
        <f>Сектора[[#This Row],[Значение]]</f>
        <v>0.60539332926888989</v>
      </c>
      <c r="L571" t="str">
        <f t="shared" si="8"/>
        <v>INSERT INTO msfo.statements (id_company, id_year, id_showing, value) VALUES (5,1,8,0,60539332926889);</v>
      </c>
    </row>
    <row r="572" spans="1:12">
      <c r="A572" s="28" t="s">
        <v>39</v>
      </c>
      <c r="B572" s="28" t="s">
        <v>32</v>
      </c>
      <c r="C572" s="28">
        <v>2012</v>
      </c>
      <c r="D572" s="28" t="s">
        <v>1</v>
      </c>
      <c r="E572" s="28" t="s">
        <v>11</v>
      </c>
      <c r="F572" s="28">
        <v>0.54064147819116282</v>
      </c>
      <c r="H572">
        <f>VLOOKUP(A572&amp;B572,ticker_sector[],2,FALSE)</f>
        <v>5</v>
      </c>
      <c r="I572">
        <f>VLOOKUP(C572,year[],2,FALSE)</f>
        <v>2</v>
      </c>
      <c r="J572">
        <f>VLOOKUP(E572,showing[],2,FALSE)</f>
        <v>8</v>
      </c>
      <c r="K572">
        <f>Сектора[[#This Row],[Значение]]</f>
        <v>0.54064147819116282</v>
      </c>
      <c r="L572" t="str">
        <f t="shared" si="8"/>
        <v>INSERT INTO msfo.statements (id_company, id_year, id_showing, value) VALUES (5,2,8,0,540641478191163);</v>
      </c>
    </row>
    <row r="573" spans="1:12">
      <c r="A573" s="28" t="s">
        <v>39</v>
      </c>
      <c r="B573" s="28" t="s">
        <v>32</v>
      </c>
      <c r="C573" s="28">
        <v>2013</v>
      </c>
      <c r="D573" s="28" t="s">
        <v>1</v>
      </c>
      <c r="E573" s="28" t="s">
        <v>11</v>
      </c>
      <c r="F573" s="28">
        <v>0.51834398717111674</v>
      </c>
      <c r="H573">
        <f>VLOOKUP(A573&amp;B573,ticker_sector[],2,FALSE)</f>
        <v>5</v>
      </c>
      <c r="I573">
        <f>VLOOKUP(C573,year[],2,FALSE)</f>
        <v>3</v>
      </c>
      <c r="J573">
        <f>VLOOKUP(E573,showing[],2,FALSE)</f>
        <v>8</v>
      </c>
      <c r="K573">
        <f>Сектора[[#This Row],[Значение]]</f>
        <v>0.51834398717111674</v>
      </c>
      <c r="L573" t="str">
        <f t="shared" si="8"/>
        <v>INSERT INTO msfo.statements (id_company, id_year, id_showing, value) VALUES (5,3,8,0,518343987171117);</v>
      </c>
    </row>
    <row r="574" spans="1:12">
      <c r="A574" s="28" t="s">
        <v>39</v>
      </c>
      <c r="B574" s="28" t="s">
        <v>32</v>
      </c>
      <c r="C574" s="28">
        <v>2014</v>
      </c>
      <c r="D574" s="28" t="s">
        <v>1</v>
      </c>
      <c r="E574" s="28" t="s">
        <v>11</v>
      </c>
      <c r="F574" s="28">
        <v>0.62563368746087256</v>
      </c>
      <c r="H574">
        <f>VLOOKUP(A574&amp;B574,ticker_sector[],2,FALSE)</f>
        <v>5</v>
      </c>
      <c r="I574">
        <f>VLOOKUP(C574,year[],2,FALSE)</f>
        <v>4</v>
      </c>
      <c r="J574">
        <f>VLOOKUP(E574,showing[],2,FALSE)</f>
        <v>8</v>
      </c>
      <c r="K574">
        <f>Сектора[[#This Row],[Значение]]</f>
        <v>0.62563368746087256</v>
      </c>
      <c r="L574" t="str">
        <f t="shared" si="8"/>
        <v>INSERT INTO msfo.statements (id_company, id_year, id_showing, value) VALUES (5,4,8,0,625633687460873);</v>
      </c>
    </row>
    <row r="575" spans="1:12">
      <c r="A575" s="28" t="s">
        <v>39</v>
      </c>
      <c r="B575" s="28" t="s">
        <v>32</v>
      </c>
      <c r="C575" s="28">
        <v>2015</v>
      </c>
      <c r="D575" s="28" t="s">
        <v>1</v>
      </c>
      <c r="E575" s="28" t="s">
        <v>11</v>
      </c>
      <c r="F575" s="28">
        <v>0.61345357340810924</v>
      </c>
      <c r="H575">
        <f>VLOOKUP(A575&amp;B575,ticker_sector[],2,FALSE)</f>
        <v>5</v>
      </c>
      <c r="I575">
        <f>VLOOKUP(C575,year[],2,FALSE)</f>
        <v>5</v>
      </c>
      <c r="J575">
        <f>VLOOKUP(E575,showing[],2,FALSE)</f>
        <v>8</v>
      </c>
      <c r="K575">
        <f>Сектора[[#This Row],[Значение]]</f>
        <v>0.61345357340810924</v>
      </c>
      <c r="L575" t="str">
        <f t="shared" si="8"/>
        <v>INSERT INTO msfo.statements (id_company, id_year, id_showing, value) VALUES (5,5,8,0,613453573408109);</v>
      </c>
    </row>
    <row r="576" spans="1:12">
      <c r="A576" s="28" t="s">
        <v>39</v>
      </c>
      <c r="B576" s="28" t="s">
        <v>32</v>
      </c>
      <c r="C576" s="28">
        <v>2016</v>
      </c>
      <c r="D576" s="28" t="s">
        <v>1</v>
      </c>
      <c r="E576" s="28" t="s">
        <v>11</v>
      </c>
      <c r="F576" s="28">
        <v>0.53119626814801246</v>
      </c>
      <c r="H576">
        <f>VLOOKUP(A576&amp;B576,ticker_sector[],2,FALSE)</f>
        <v>5</v>
      </c>
      <c r="I576">
        <f>VLOOKUP(C576,year[],2,FALSE)</f>
        <v>6</v>
      </c>
      <c r="J576">
        <f>VLOOKUP(E576,showing[],2,FALSE)</f>
        <v>8</v>
      </c>
      <c r="K576">
        <f>Сектора[[#This Row],[Значение]]</f>
        <v>0.53119626814801246</v>
      </c>
      <c r="L576" t="str">
        <f t="shared" si="8"/>
        <v>INSERT INTO msfo.statements (id_company, id_year, id_showing, value) VALUES (5,6,8,0,531196268148012);</v>
      </c>
    </row>
    <row r="577" spans="1:12">
      <c r="A577" s="28" t="s">
        <v>39</v>
      </c>
      <c r="B577" s="28" t="s">
        <v>32</v>
      </c>
      <c r="C577" s="28">
        <v>2017</v>
      </c>
      <c r="D577" s="28" t="s">
        <v>1</v>
      </c>
      <c r="E577" s="28" t="s">
        <v>11</v>
      </c>
      <c r="F577" s="28">
        <v>0.52867611820605387</v>
      </c>
      <c r="H577">
        <f>VLOOKUP(A577&amp;B577,ticker_sector[],2,FALSE)</f>
        <v>5</v>
      </c>
      <c r="I577">
        <f>VLOOKUP(C577,year[],2,FALSE)</f>
        <v>7</v>
      </c>
      <c r="J577">
        <f>VLOOKUP(E577,showing[],2,FALSE)</f>
        <v>8</v>
      </c>
      <c r="K577">
        <f>Сектора[[#This Row],[Значение]]</f>
        <v>0.52867611820605387</v>
      </c>
      <c r="L577" t="str">
        <f t="shared" si="8"/>
        <v>INSERT INTO msfo.statements (id_company, id_year, id_showing, value) VALUES (5,7,8,0,528676118206054);</v>
      </c>
    </row>
    <row r="578" spans="1:12">
      <c r="A578" s="28" t="s">
        <v>39</v>
      </c>
      <c r="B578" s="28" t="s">
        <v>32</v>
      </c>
      <c r="C578" s="28">
        <v>2010</v>
      </c>
      <c r="D578" s="28" t="s">
        <v>4</v>
      </c>
      <c r="E578" s="28" t="s">
        <v>12</v>
      </c>
      <c r="F578" s="28">
        <v>390686.97737420001</v>
      </c>
      <c r="H578">
        <f>VLOOKUP(A578&amp;B578,ticker_sector[],2,FALSE)</f>
        <v>5</v>
      </c>
      <c r="I578">
        <f>VLOOKUP(C578,year[],2,FALSE)</f>
        <v>0</v>
      </c>
      <c r="J578">
        <f>VLOOKUP(E578,showing[],2,FALSE)</f>
        <v>9</v>
      </c>
      <c r="K578">
        <f>Сектора[[#This Row],[Значение]]</f>
        <v>390686.97737420001</v>
      </c>
      <c r="L578" t="str">
        <f t="shared" si="8"/>
        <v>INSERT INTO msfo.statements (id_company, id_year, id_showing, value) VALUES (5,0,9,390686,9773742);</v>
      </c>
    </row>
    <row r="579" spans="1:12">
      <c r="A579" s="28" t="s">
        <v>39</v>
      </c>
      <c r="B579" s="28" t="s">
        <v>32</v>
      </c>
      <c r="C579" s="28">
        <v>2011</v>
      </c>
      <c r="D579" s="28" t="s">
        <v>4</v>
      </c>
      <c r="E579" s="28" t="s">
        <v>12</v>
      </c>
      <c r="F579" s="28">
        <v>509097.61164000002</v>
      </c>
      <c r="H579">
        <f>VLOOKUP(A579&amp;B579,ticker_sector[],2,FALSE)</f>
        <v>5</v>
      </c>
      <c r="I579">
        <f>VLOOKUP(C579,year[],2,FALSE)</f>
        <v>1</v>
      </c>
      <c r="J579">
        <f>VLOOKUP(E579,showing[],2,FALSE)</f>
        <v>9</v>
      </c>
      <c r="K579">
        <f>Сектора[[#This Row],[Значение]]</f>
        <v>509097.61164000002</v>
      </c>
      <c r="L579" t="str">
        <f t="shared" ref="L579:L642" si="9">"INSERT INTO msfo.statements (id_company, id_year, id_showing, value) VALUES ("&amp;H579&amp; ","&amp;I579&amp; ","&amp;J579&amp; ","&amp;K579&amp;");"</f>
        <v>INSERT INTO msfo.statements (id_company, id_year, id_showing, value) VALUES (5,1,9,509097,61164);</v>
      </c>
    </row>
    <row r="580" spans="1:12">
      <c r="A580" s="28" t="s">
        <v>39</v>
      </c>
      <c r="B580" s="28" t="s">
        <v>32</v>
      </c>
      <c r="C580" s="28">
        <v>2012</v>
      </c>
      <c r="D580" s="28" t="s">
        <v>4</v>
      </c>
      <c r="E580" s="28" t="s">
        <v>12</v>
      </c>
      <c r="F580" s="28">
        <v>438062.652</v>
      </c>
      <c r="H580">
        <f>VLOOKUP(A580&amp;B580,ticker_sector[],2,FALSE)</f>
        <v>5</v>
      </c>
      <c r="I580">
        <f>VLOOKUP(C580,year[],2,FALSE)</f>
        <v>2</v>
      </c>
      <c r="J580">
        <f>VLOOKUP(E580,showing[],2,FALSE)</f>
        <v>9</v>
      </c>
      <c r="K580">
        <f>Сектора[[#This Row],[Значение]]</f>
        <v>438062.652</v>
      </c>
      <c r="L580" t="str">
        <f t="shared" si="9"/>
        <v>INSERT INTO msfo.statements (id_company, id_year, id_showing, value) VALUES (5,2,9,438062,652);</v>
      </c>
    </row>
    <row r="581" spans="1:12">
      <c r="A581" s="28" t="s">
        <v>39</v>
      </c>
      <c r="B581" s="28" t="s">
        <v>32</v>
      </c>
      <c r="C581" s="28">
        <v>2013</v>
      </c>
      <c r="D581" s="28" t="s">
        <v>4</v>
      </c>
      <c r="E581" s="28" t="s">
        <v>12</v>
      </c>
      <c r="F581" s="28">
        <v>423817.43400000001</v>
      </c>
      <c r="H581">
        <f>VLOOKUP(A581&amp;B581,ticker_sector[],2,FALSE)</f>
        <v>5</v>
      </c>
      <c r="I581">
        <f>VLOOKUP(C581,year[],2,FALSE)</f>
        <v>3</v>
      </c>
      <c r="J581">
        <f>VLOOKUP(E581,showing[],2,FALSE)</f>
        <v>9</v>
      </c>
      <c r="K581">
        <f>Сектора[[#This Row],[Значение]]</f>
        <v>423817.43400000001</v>
      </c>
      <c r="L581" t="str">
        <f t="shared" si="9"/>
        <v>INSERT INTO msfo.statements (id_company, id_year, id_showing, value) VALUES (5,3,9,423817,434);</v>
      </c>
    </row>
    <row r="582" spans="1:12">
      <c r="A582" s="28" t="s">
        <v>39</v>
      </c>
      <c r="B582" s="28" t="s">
        <v>32</v>
      </c>
      <c r="C582" s="28">
        <v>2014</v>
      </c>
      <c r="D582" s="28" t="s">
        <v>4</v>
      </c>
      <c r="E582" s="28" t="s">
        <v>12</v>
      </c>
      <c r="F582" s="28">
        <v>315838</v>
      </c>
      <c r="H582">
        <f>VLOOKUP(A582&amp;B582,ticker_sector[],2,FALSE)</f>
        <v>5</v>
      </c>
      <c r="I582">
        <f>VLOOKUP(C582,year[],2,FALSE)</f>
        <v>4</v>
      </c>
      <c r="J582">
        <f>VLOOKUP(E582,showing[],2,FALSE)</f>
        <v>9</v>
      </c>
      <c r="K582">
        <f>Сектора[[#This Row],[Значение]]</f>
        <v>315838</v>
      </c>
      <c r="L582" t="str">
        <f t="shared" si="9"/>
        <v>INSERT INTO msfo.statements (id_company, id_year, id_showing, value) VALUES (5,4,9,315838);</v>
      </c>
    </row>
    <row r="583" spans="1:12">
      <c r="A583" s="28" t="s">
        <v>39</v>
      </c>
      <c r="B583" s="28" t="s">
        <v>32</v>
      </c>
      <c r="C583" s="28">
        <v>2015</v>
      </c>
      <c r="D583" s="28" t="s">
        <v>4</v>
      </c>
      <c r="E583" s="28" t="s">
        <v>12</v>
      </c>
      <c r="F583" s="28">
        <v>386673</v>
      </c>
      <c r="H583">
        <f>VLOOKUP(A583&amp;B583,ticker_sector[],2,FALSE)</f>
        <v>5</v>
      </c>
      <c r="I583">
        <f>VLOOKUP(C583,year[],2,FALSE)</f>
        <v>5</v>
      </c>
      <c r="J583">
        <f>VLOOKUP(E583,showing[],2,FALSE)</f>
        <v>9</v>
      </c>
      <c r="K583">
        <f>Сектора[[#This Row],[Значение]]</f>
        <v>386673</v>
      </c>
      <c r="L583" t="str">
        <f t="shared" si="9"/>
        <v>INSERT INTO msfo.statements (id_company, id_year, id_showing, value) VALUES (5,5,9,386673);</v>
      </c>
    </row>
    <row r="584" spans="1:12">
      <c r="A584" s="28" t="s">
        <v>39</v>
      </c>
      <c r="B584" s="28" t="s">
        <v>32</v>
      </c>
      <c r="C584" s="28">
        <v>2016</v>
      </c>
      <c r="D584" s="28" t="s">
        <v>4</v>
      </c>
      <c r="E584" s="28" t="s">
        <v>12</v>
      </c>
      <c r="F584" s="28">
        <v>392144</v>
      </c>
      <c r="H584">
        <f>VLOOKUP(A584&amp;B584,ticker_sector[],2,FALSE)</f>
        <v>5</v>
      </c>
      <c r="I584">
        <f>VLOOKUP(C584,year[],2,FALSE)</f>
        <v>6</v>
      </c>
      <c r="J584">
        <f>VLOOKUP(E584,showing[],2,FALSE)</f>
        <v>9</v>
      </c>
      <c r="K584">
        <f>Сектора[[#This Row],[Значение]]</f>
        <v>392144</v>
      </c>
      <c r="L584" t="str">
        <f t="shared" si="9"/>
        <v>INSERT INTO msfo.statements (id_company, id_year, id_showing, value) VALUES (5,6,9,392144);</v>
      </c>
    </row>
    <row r="585" spans="1:12">
      <c r="A585" s="28" t="s">
        <v>39</v>
      </c>
      <c r="B585" s="28" t="s">
        <v>32</v>
      </c>
      <c r="C585" s="28">
        <v>2017</v>
      </c>
      <c r="D585" s="28" t="s">
        <v>4</v>
      </c>
      <c r="E585" s="28" t="s">
        <v>12</v>
      </c>
      <c r="F585" s="28">
        <v>457521</v>
      </c>
      <c r="H585">
        <f>VLOOKUP(A585&amp;B585,ticker_sector[],2,FALSE)</f>
        <v>5</v>
      </c>
      <c r="I585">
        <f>VLOOKUP(C585,year[],2,FALSE)</f>
        <v>7</v>
      </c>
      <c r="J585">
        <f>VLOOKUP(E585,showing[],2,FALSE)</f>
        <v>9</v>
      </c>
      <c r="K585">
        <f>Сектора[[#This Row],[Значение]]</f>
        <v>457521</v>
      </c>
      <c r="L585" t="str">
        <f t="shared" si="9"/>
        <v>INSERT INTO msfo.statements (id_company, id_year, id_showing, value) VALUES (5,7,9,457521);</v>
      </c>
    </row>
    <row r="586" spans="1:12">
      <c r="A586" s="28" t="s">
        <v>39</v>
      </c>
      <c r="B586" s="28" t="s">
        <v>32</v>
      </c>
      <c r="C586" s="28">
        <v>2010</v>
      </c>
      <c r="D586" s="28" t="s">
        <v>4</v>
      </c>
      <c r="E586" s="28" t="s">
        <v>13</v>
      </c>
      <c r="F586" s="28">
        <v>-17521.596486599999</v>
      </c>
      <c r="H586">
        <f>VLOOKUP(A586&amp;B586,ticker_sector[],2,FALSE)</f>
        <v>5</v>
      </c>
      <c r="I586">
        <f>VLOOKUP(C586,year[],2,FALSE)</f>
        <v>0</v>
      </c>
      <c r="J586">
        <f>VLOOKUP(E586,showing[],2,FALSE)</f>
        <v>10</v>
      </c>
      <c r="K586">
        <f>Сектора[[#This Row],[Значение]]</f>
        <v>-17521.596486599999</v>
      </c>
      <c r="L586" t="str">
        <f t="shared" si="9"/>
        <v>INSERT INTO msfo.statements (id_company, id_year, id_showing, value) VALUES (5,0,10,-17521,5964866);</v>
      </c>
    </row>
    <row r="587" spans="1:12">
      <c r="A587" s="28" t="s">
        <v>39</v>
      </c>
      <c r="B587" s="28" t="s">
        <v>32</v>
      </c>
      <c r="C587" s="28">
        <v>2011</v>
      </c>
      <c r="D587" s="28" t="s">
        <v>4</v>
      </c>
      <c r="E587" s="28" t="s">
        <v>13</v>
      </c>
      <c r="F587" s="28">
        <v>65513.686751300003</v>
      </c>
      <c r="H587">
        <f>VLOOKUP(A587&amp;B587,ticker_sector[],2,FALSE)</f>
        <v>5</v>
      </c>
      <c r="I587">
        <f>VLOOKUP(C587,year[],2,FALSE)</f>
        <v>1</v>
      </c>
      <c r="J587">
        <f>VLOOKUP(E587,showing[],2,FALSE)</f>
        <v>10</v>
      </c>
      <c r="K587">
        <f>Сектора[[#This Row],[Значение]]</f>
        <v>65513.686751300003</v>
      </c>
      <c r="L587" t="str">
        <f t="shared" si="9"/>
        <v>INSERT INTO msfo.statements (id_company, id_year, id_showing, value) VALUES (5,1,10,65513,6867513);</v>
      </c>
    </row>
    <row r="588" spans="1:12">
      <c r="A588" s="28" t="s">
        <v>39</v>
      </c>
      <c r="B588" s="28" t="s">
        <v>32</v>
      </c>
      <c r="C588" s="28">
        <v>2012</v>
      </c>
      <c r="D588" s="28" t="s">
        <v>4</v>
      </c>
      <c r="E588" s="28" t="s">
        <v>13</v>
      </c>
      <c r="F588" s="28">
        <v>23539.59</v>
      </c>
      <c r="H588">
        <f>VLOOKUP(A588&amp;B588,ticker_sector[],2,FALSE)</f>
        <v>5</v>
      </c>
      <c r="I588">
        <f>VLOOKUP(C588,year[],2,FALSE)</f>
        <v>2</v>
      </c>
      <c r="J588">
        <f>VLOOKUP(E588,showing[],2,FALSE)</f>
        <v>10</v>
      </c>
      <c r="K588">
        <f>Сектора[[#This Row],[Значение]]</f>
        <v>23539.59</v>
      </c>
      <c r="L588" t="str">
        <f t="shared" si="9"/>
        <v>INSERT INTO msfo.statements (id_company, id_year, id_showing, value) VALUES (5,2,10,23539,59);</v>
      </c>
    </row>
    <row r="589" spans="1:12">
      <c r="A589" s="28" t="s">
        <v>39</v>
      </c>
      <c r="B589" s="28" t="s">
        <v>32</v>
      </c>
      <c r="C589" s="28">
        <v>2013</v>
      </c>
      <c r="D589" s="28" t="s">
        <v>4</v>
      </c>
      <c r="E589" s="28" t="s">
        <v>13</v>
      </c>
      <c r="F589" s="28">
        <v>2530.473</v>
      </c>
      <c r="H589">
        <f>VLOOKUP(A589&amp;B589,ticker_sector[],2,FALSE)</f>
        <v>5</v>
      </c>
      <c r="I589">
        <f>VLOOKUP(C589,year[],2,FALSE)</f>
        <v>3</v>
      </c>
      <c r="J589">
        <f>VLOOKUP(E589,showing[],2,FALSE)</f>
        <v>10</v>
      </c>
      <c r="K589">
        <f>Сектора[[#This Row],[Значение]]</f>
        <v>2530.473</v>
      </c>
      <c r="L589" t="str">
        <f t="shared" si="9"/>
        <v>INSERT INTO msfo.statements (id_company, id_year, id_showing, value) VALUES (5,3,10,2530,473);</v>
      </c>
    </row>
    <row r="590" spans="1:12">
      <c r="A590" s="28" t="s">
        <v>39</v>
      </c>
      <c r="B590" s="28" t="s">
        <v>32</v>
      </c>
      <c r="C590" s="28">
        <v>2014</v>
      </c>
      <c r="D590" s="28" t="s">
        <v>4</v>
      </c>
      <c r="E590" s="28" t="s">
        <v>13</v>
      </c>
      <c r="F590" s="28">
        <v>-53082</v>
      </c>
      <c r="H590">
        <f>VLOOKUP(A590&amp;B590,ticker_sector[],2,FALSE)</f>
        <v>5</v>
      </c>
      <c r="I590">
        <f>VLOOKUP(C590,year[],2,FALSE)</f>
        <v>4</v>
      </c>
      <c r="J590">
        <f>VLOOKUP(E590,showing[],2,FALSE)</f>
        <v>10</v>
      </c>
      <c r="K590">
        <f>Сектора[[#This Row],[Значение]]</f>
        <v>-53082</v>
      </c>
      <c r="L590" t="str">
        <f t="shared" si="9"/>
        <v>INSERT INTO msfo.statements (id_company, id_year, id_showing, value) VALUES (5,4,10,-53082);</v>
      </c>
    </row>
    <row r="591" spans="1:12">
      <c r="A591" s="28" t="s">
        <v>39</v>
      </c>
      <c r="B591" s="28" t="s">
        <v>32</v>
      </c>
      <c r="C591" s="28">
        <v>2015</v>
      </c>
      <c r="D591" s="28" t="s">
        <v>4</v>
      </c>
      <c r="E591" s="28" t="s">
        <v>13</v>
      </c>
      <c r="F591" s="28">
        <v>34539</v>
      </c>
      <c r="H591">
        <f>VLOOKUP(A591&amp;B591,ticker_sector[],2,FALSE)</f>
        <v>5</v>
      </c>
      <c r="I591">
        <f>VLOOKUP(C591,year[],2,FALSE)</f>
        <v>5</v>
      </c>
      <c r="J591">
        <f>VLOOKUP(E591,showing[],2,FALSE)</f>
        <v>10</v>
      </c>
      <c r="K591">
        <f>Сектора[[#This Row],[Значение]]</f>
        <v>34539</v>
      </c>
      <c r="L591" t="str">
        <f t="shared" si="9"/>
        <v>INSERT INTO msfo.statements (id_company, id_year, id_showing, value) VALUES (5,5,10,34539);</v>
      </c>
    </row>
    <row r="592" spans="1:12">
      <c r="A592" s="28" t="s">
        <v>39</v>
      </c>
      <c r="B592" s="28" t="s">
        <v>32</v>
      </c>
      <c r="C592" s="28">
        <v>2016</v>
      </c>
      <c r="D592" s="28" t="s">
        <v>4</v>
      </c>
      <c r="E592" s="28" t="s">
        <v>13</v>
      </c>
      <c r="F592" s="28">
        <v>102114</v>
      </c>
      <c r="H592">
        <f>VLOOKUP(A592&amp;B592,ticker_sector[],2,FALSE)</f>
        <v>5</v>
      </c>
      <c r="I592">
        <f>VLOOKUP(C592,year[],2,FALSE)</f>
        <v>6</v>
      </c>
      <c r="J592">
        <f>VLOOKUP(E592,showing[],2,FALSE)</f>
        <v>10</v>
      </c>
      <c r="K592">
        <f>Сектора[[#This Row],[Значение]]</f>
        <v>102114</v>
      </c>
      <c r="L592" t="str">
        <f t="shared" si="9"/>
        <v>INSERT INTO msfo.statements (id_company, id_year, id_showing, value) VALUES (5,6,10,102114);</v>
      </c>
    </row>
    <row r="593" spans="1:12">
      <c r="A593" s="28" t="s">
        <v>39</v>
      </c>
      <c r="B593" s="28" t="s">
        <v>32</v>
      </c>
      <c r="C593" s="28">
        <v>2017</v>
      </c>
      <c r="D593" s="28" t="s">
        <v>4</v>
      </c>
      <c r="E593" s="28" t="s">
        <v>13</v>
      </c>
      <c r="F593" s="28">
        <v>146029</v>
      </c>
      <c r="H593">
        <f>VLOOKUP(A593&amp;B593,ticker_sector[],2,FALSE)</f>
        <v>5</v>
      </c>
      <c r="I593">
        <f>VLOOKUP(C593,year[],2,FALSE)</f>
        <v>7</v>
      </c>
      <c r="J593">
        <f>VLOOKUP(E593,showing[],2,FALSE)</f>
        <v>10</v>
      </c>
      <c r="K593">
        <f>Сектора[[#This Row],[Значение]]</f>
        <v>146029</v>
      </c>
      <c r="L593" t="str">
        <f t="shared" si="9"/>
        <v>INSERT INTO msfo.statements (id_company, id_year, id_showing, value) VALUES (5,7,10,146029);</v>
      </c>
    </row>
    <row r="594" spans="1:12">
      <c r="A594" s="28" t="s">
        <v>39</v>
      </c>
      <c r="B594" s="28" t="s">
        <v>32</v>
      </c>
      <c r="C594" s="28">
        <v>2010</v>
      </c>
      <c r="D594" s="28" t="s">
        <v>4</v>
      </c>
      <c r="E594" s="28" t="s">
        <v>14</v>
      </c>
      <c r="F594" s="28">
        <v>12819.118</v>
      </c>
      <c r="H594">
        <f>VLOOKUP(A594&amp;B594,ticker_sector[],2,FALSE)</f>
        <v>5</v>
      </c>
      <c r="I594">
        <f>VLOOKUP(C594,year[],2,FALSE)</f>
        <v>0</v>
      </c>
      <c r="J594">
        <f>VLOOKUP(E594,showing[],2,FALSE)</f>
        <v>11</v>
      </c>
      <c r="K594">
        <f>Сектора[[#This Row],[Значение]]</f>
        <v>12819.118</v>
      </c>
      <c r="L594" t="str">
        <f t="shared" si="9"/>
        <v>INSERT INTO msfo.statements (id_company, id_year, id_showing, value) VALUES (5,0,11,12819,118);</v>
      </c>
    </row>
    <row r="595" spans="1:12">
      <c r="A595" s="28" t="s">
        <v>39</v>
      </c>
      <c r="B595" s="28" t="s">
        <v>32</v>
      </c>
      <c r="C595" s="28">
        <v>2011</v>
      </c>
      <c r="D595" s="28" t="s">
        <v>4</v>
      </c>
      <c r="E595" s="28" t="s">
        <v>14</v>
      </c>
      <c r="F595" s="28">
        <v>15812.4</v>
      </c>
      <c r="H595">
        <f>VLOOKUP(A595&amp;B595,ticker_sector[],2,FALSE)</f>
        <v>5</v>
      </c>
      <c r="I595">
        <f>VLOOKUP(C595,year[],2,FALSE)</f>
        <v>1</v>
      </c>
      <c r="J595">
        <f>VLOOKUP(E595,showing[],2,FALSE)</f>
        <v>11</v>
      </c>
      <c r="K595">
        <f>Сектора[[#This Row],[Значение]]</f>
        <v>15812.4</v>
      </c>
      <c r="L595" t="str">
        <f t="shared" si="9"/>
        <v>INSERT INTO msfo.statements (id_company, id_year, id_showing, value) VALUES (5,1,11,15812,4);</v>
      </c>
    </row>
    <row r="596" spans="1:12">
      <c r="A596" s="28" t="s">
        <v>39</v>
      </c>
      <c r="B596" s="28" t="s">
        <v>32</v>
      </c>
      <c r="C596" s="28">
        <v>2012</v>
      </c>
      <c r="D596" s="28" t="s">
        <v>4</v>
      </c>
      <c r="E596" s="28" t="s">
        <v>14</v>
      </c>
      <c r="F596" s="28">
        <v>14422.907808657117</v>
      </c>
      <c r="H596">
        <f>VLOOKUP(A596&amp;B596,ticker_sector[],2,FALSE)</f>
        <v>5</v>
      </c>
      <c r="I596">
        <f>VLOOKUP(C596,year[],2,FALSE)</f>
        <v>2</v>
      </c>
      <c r="J596">
        <f>VLOOKUP(E596,showing[],2,FALSE)</f>
        <v>11</v>
      </c>
      <c r="K596">
        <f>Сектора[[#This Row],[Значение]]</f>
        <v>14422.907808657117</v>
      </c>
      <c r="L596" t="str">
        <f t="shared" si="9"/>
        <v>INSERT INTO msfo.statements (id_company, id_year, id_showing, value) VALUES (5,2,11,14422,9078086571);</v>
      </c>
    </row>
    <row r="597" spans="1:12">
      <c r="A597" s="28" t="s">
        <v>39</v>
      </c>
      <c r="B597" s="28" t="s">
        <v>32</v>
      </c>
      <c r="C597" s="28">
        <v>2013</v>
      </c>
      <c r="D597" s="28" t="s">
        <v>4</v>
      </c>
      <c r="E597" s="28" t="s">
        <v>14</v>
      </c>
      <c r="F597" s="28">
        <v>12949.214585141099</v>
      </c>
      <c r="H597">
        <f>VLOOKUP(A597&amp;B597,ticker_sector[],2,FALSE)</f>
        <v>5</v>
      </c>
      <c r="I597">
        <f>VLOOKUP(C597,year[],2,FALSE)</f>
        <v>3</v>
      </c>
      <c r="J597">
        <f>VLOOKUP(E597,showing[],2,FALSE)</f>
        <v>11</v>
      </c>
      <c r="K597">
        <f>Сектора[[#This Row],[Значение]]</f>
        <v>12949.214585141099</v>
      </c>
      <c r="L597" t="str">
        <f t="shared" si="9"/>
        <v>INSERT INTO msfo.statements (id_company, id_year, id_showing, value) VALUES (5,3,11,12949,2145851411);</v>
      </c>
    </row>
    <row r="598" spans="1:12">
      <c r="A598" s="28" t="s">
        <v>39</v>
      </c>
      <c r="B598" s="28" t="s">
        <v>32</v>
      </c>
      <c r="C598" s="28">
        <v>2014</v>
      </c>
      <c r="D598" s="28" t="s">
        <v>4</v>
      </c>
      <c r="E598" s="28" t="s">
        <v>14</v>
      </c>
      <c r="F598" s="28">
        <v>5614.0594115723161</v>
      </c>
      <c r="H598">
        <f>VLOOKUP(A598&amp;B598,ticker_sector[],2,FALSE)</f>
        <v>5</v>
      </c>
      <c r="I598">
        <f>VLOOKUP(C598,year[],2,FALSE)</f>
        <v>4</v>
      </c>
      <c r="J598">
        <f>VLOOKUP(E598,showing[],2,FALSE)</f>
        <v>11</v>
      </c>
      <c r="K598">
        <f>Сектора[[#This Row],[Значение]]</f>
        <v>5614.0594115723161</v>
      </c>
      <c r="L598" t="str">
        <f t="shared" si="9"/>
        <v>INSERT INTO msfo.statements (id_company, id_year, id_showing, value) VALUES (5,4,11,5614,05941157232);</v>
      </c>
    </row>
    <row r="599" spans="1:12">
      <c r="A599" s="28" t="s">
        <v>39</v>
      </c>
      <c r="B599" s="28" t="s">
        <v>32</v>
      </c>
      <c r="C599" s="28">
        <v>2015</v>
      </c>
      <c r="D599" s="28" t="s">
        <v>4</v>
      </c>
      <c r="E599" s="28" t="s">
        <v>14</v>
      </c>
      <c r="F599" s="28">
        <v>5305.4154140831779</v>
      </c>
      <c r="H599">
        <f>VLOOKUP(A599&amp;B599,ticker_sector[],2,FALSE)</f>
        <v>5</v>
      </c>
      <c r="I599">
        <f>VLOOKUP(C599,year[],2,FALSE)</f>
        <v>5</v>
      </c>
      <c r="J599">
        <f>VLOOKUP(E599,showing[],2,FALSE)</f>
        <v>11</v>
      </c>
      <c r="K599">
        <f>Сектора[[#This Row],[Значение]]</f>
        <v>5305.4154140831779</v>
      </c>
      <c r="L599" t="str">
        <f t="shared" si="9"/>
        <v>INSERT INTO msfo.statements (id_company, id_year, id_showing, value) VALUES (5,5,11,5305,41541408318);</v>
      </c>
    </row>
    <row r="600" spans="1:12">
      <c r="A600" s="28" t="s">
        <v>39</v>
      </c>
      <c r="B600" s="28" t="s">
        <v>32</v>
      </c>
      <c r="C600" s="28">
        <v>2016</v>
      </c>
      <c r="D600" s="28" t="s">
        <v>4</v>
      </c>
      <c r="E600" s="28" t="s">
        <v>14</v>
      </c>
      <c r="F600" s="28">
        <v>6464.9528742814091</v>
      </c>
      <c r="H600">
        <f>VLOOKUP(A600&amp;B600,ticker_sector[],2,FALSE)</f>
        <v>5</v>
      </c>
      <c r="I600">
        <f>VLOOKUP(C600,year[],2,FALSE)</f>
        <v>6</v>
      </c>
      <c r="J600">
        <f>VLOOKUP(E600,showing[],2,FALSE)</f>
        <v>11</v>
      </c>
      <c r="K600">
        <f>Сектора[[#This Row],[Значение]]</f>
        <v>6464.9528742814091</v>
      </c>
      <c r="L600" t="str">
        <f t="shared" si="9"/>
        <v>INSERT INTO msfo.statements (id_company, id_year, id_showing, value) VALUES (5,6,11,6464,95287428141);</v>
      </c>
    </row>
    <row r="601" spans="1:12">
      <c r="A601" s="28" t="s">
        <v>39</v>
      </c>
      <c r="B601" s="28" t="s">
        <v>32</v>
      </c>
      <c r="C601" s="28">
        <v>2017</v>
      </c>
      <c r="D601" s="28" t="s">
        <v>4</v>
      </c>
      <c r="E601" s="28" t="s">
        <v>14</v>
      </c>
      <c r="F601" s="28">
        <v>7943.0453366481361</v>
      </c>
      <c r="H601">
        <f>VLOOKUP(A601&amp;B601,ticker_sector[],2,FALSE)</f>
        <v>5</v>
      </c>
      <c r="I601">
        <f>VLOOKUP(C601,year[],2,FALSE)</f>
        <v>7</v>
      </c>
      <c r="J601">
        <f>VLOOKUP(E601,showing[],2,FALSE)</f>
        <v>11</v>
      </c>
      <c r="K601">
        <f>Сектора[[#This Row],[Значение]]</f>
        <v>7943.0453366481361</v>
      </c>
      <c r="L601" t="str">
        <f t="shared" si="9"/>
        <v>INSERT INTO msfo.statements (id_company, id_year, id_showing, value) VALUES (5,7,11,7943,04533664814);</v>
      </c>
    </row>
    <row r="602" spans="1:12">
      <c r="A602" s="28" t="s">
        <v>39</v>
      </c>
      <c r="B602" s="28" t="s">
        <v>32</v>
      </c>
      <c r="C602" s="28">
        <v>2010</v>
      </c>
      <c r="D602" s="28" t="s">
        <v>4</v>
      </c>
      <c r="E602" s="28" t="s">
        <v>15</v>
      </c>
      <c r="F602" s="28">
        <v>-574.91399999999999</v>
      </c>
      <c r="H602">
        <f>VLOOKUP(A602&amp;B602,ticker_sector[],2,FALSE)</f>
        <v>5</v>
      </c>
      <c r="I602">
        <f>VLOOKUP(C602,year[],2,FALSE)</f>
        <v>0</v>
      </c>
      <c r="J602">
        <f>VLOOKUP(E602,showing[],2,FALSE)</f>
        <v>12</v>
      </c>
      <c r="K602">
        <f>Сектора[[#This Row],[Значение]]</f>
        <v>-574.91399999999999</v>
      </c>
      <c r="L602" t="str">
        <f t="shared" si="9"/>
        <v>INSERT INTO msfo.statements (id_company, id_year, id_showing, value) VALUES (5,0,12,-574,914);</v>
      </c>
    </row>
    <row r="603" spans="1:12">
      <c r="A603" s="28" t="s">
        <v>39</v>
      </c>
      <c r="B603" s="28" t="s">
        <v>32</v>
      </c>
      <c r="C603" s="28">
        <v>2011</v>
      </c>
      <c r="D603" s="28" t="s">
        <v>4</v>
      </c>
      <c r="E603" s="28" t="s">
        <v>15</v>
      </c>
      <c r="F603" s="28">
        <v>2034.8330000000001</v>
      </c>
      <c r="H603">
        <f>VLOOKUP(A603&amp;B603,ticker_sector[],2,FALSE)</f>
        <v>5</v>
      </c>
      <c r="I603">
        <f>VLOOKUP(C603,year[],2,FALSE)</f>
        <v>1</v>
      </c>
      <c r="J603">
        <f>VLOOKUP(E603,showing[],2,FALSE)</f>
        <v>12</v>
      </c>
      <c r="K603">
        <f>Сектора[[#This Row],[Значение]]</f>
        <v>2034.8330000000001</v>
      </c>
      <c r="L603" t="str">
        <f t="shared" si="9"/>
        <v>INSERT INTO msfo.statements (id_company, id_year, id_showing, value) VALUES (5,1,12,2034,833);</v>
      </c>
    </row>
    <row r="604" spans="1:12">
      <c r="A604" s="28" t="s">
        <v>39</v>
      </c>
      <c r="B604" s="28" t="s">
        <v>32</v>
      </c>
      <c r="C604" s="28">
        <v>2012</v>
      </c>
      <c r="D604" s="28" t="s">
        <v>4</v>
      </c>
      <c r="E604" s="28" t="s">
        <v>15</v>
      </c>
      <c r="F604" s="28">
        <v>775.02461091704072</v>
      </c>
      <c r="H604">
        <f>VLOOKUP(A604&amp;B604,ticker_sector[],2,FALSE)</f>
        <v>5</v>
      </c>
      <c r="I604">
        <f>VLOOKUP(C604,year[],2,FALSE)</f>
        <v>2</v>
      </c>
      <c r="J604">
        <f>VLOOKUP(E604,showing[],2,FALSE)</f>
        <v>12</v>
      </c>
      <c r="K604">
        <f>Сектора[[#This Row],[Значение]]</f>
        <v>775.02461091704072</v>
      </c>
      <c r="L604" t="str">
        <f t="shared" si="9"/>
        <v>INSERT INTO msfo.statements (id_company, id_year, id_showing, value) VALUES (5,2,12,775,024610917041);</v>
      </c>
    </row>
    <row r="605" spans="1:12">
      <c r="A605" s="28" t="s">
        <v>39</v>
      </c>
      <c r="B605" s="28" t="s">
        <v>32</v>
      </c>
      <c r="C605" s="28">
        <v>2013</v>
      </c>
      <c r="D605" s="28" t="s">
        <v>4</v>
      </c>
      <c r="E605" s="28" t="s">
        <v>15</v>
      </c>
      <c r="F605" s="28">
        <v>77.315455312076068</v>
      </c>
      <c r="H605">
        <f>VLOOKUP(A605&amp;B605,ticker_sector[],2,FALSE)</f>
        <v>5</v>
      </c>
      <c r="I605">
        <f>VLOOKUP(C605,year[],2,FALSE)</f>
        <v>3</v>
      </c>
      <c r="J605">
        <f>VLOOKUP(E605,showing[],2,FALSE)</f>
        <v>12</v>
      </c>
      <c r="K605">
        <f>Сектора[[#This Row],[Значение]]</f>
        <v>77.315455312076068</v>
      </c>
      <c r="L605" t="str">
        <f t="shared" si="9"/>
        <v>INSERT INTO msfo.statements (id_company, id_year, id_showing, value) VALUES (5,3,12,77,3154553120761);</v>
      </c>
    </row>
    <row r="606" spans="1:12">
      <c r="A606" s="28" t="s">
        <v>39</v>
      </c>
      <c r="B606" s="28" t="s">
        <v>32</v>
      </c>
      <c r="C606" s="28">
        <v>2014</v>
      </c>
      <c r="D606" s="28" t="s">
        <v>4</v>
      </c>
      <c r="E606" s="28" t="s">
        <v>15</v>
      </c>
      <c r="F606" s="28">
        <v>-943.53909816134126</v>
      </c>
      <c r="H606">
        <f>VLOOKUP(A606&amp;B606,ticker_sector[],2,FALSE)</f>
        <v>5</v>
      </c>
      <c r="I606">
        <f>VLOOKUP(C606,year[],2,FALSE)</f>
        <v>4</v>
      </c>
      <c r="J606">
        <f>VLOOKUP(E606,showing[],2,FALSE)</f>
        <v>12</v>
      </c>
      <c r="K606">
        <f>Сектора[[#This Row],[Значение]]</f>
        <v>-943.53909816134126</v>
      </c>
      <c r="L606" t="str">
        <f t="shared" si="9"/>
        <v>INSERT INTO msfo.statements (id_company, id_year, id_showing, value) VALUES (5,4,12,-943,539098161341);</v>
      </c>
    </row>
    <row r="607" spans="1:12">
      <c r="A607" s="28" t="s">
        <v>39</v>
      </c>
      <c r="B607" s="28" t="s">
        <v>32</v>
      </c>
      <c r="C607" s="28">
        <v>2015</v>
      </c>
      <c r="D607" s="28" t="s">
        <v>4</v>
      </c>
      <c r="E607" s="28" t="s">
        <v>15</v>
      </c>
      <c r="F607" s="28">
        <v>473.89846973287212</v>
      </c>
      <c r="H607">
        <f>VLOOKUP(A607&amp;B607,ticker_sector[],2,FALSE)</f>
        <v>5</v>
      </c>
      <c r="I607">
        <f>VLOOKUP(C607,year[],2,FALSE)</f>
        <v>5</v>
      </c>
      <c r="J607">
        <f>VLOOKUP(E607,showing[],2,FALSE)</f>
        <v>12</v>
      </c>
      <c r="K607">
        <f>Сектора[[#This Row],[Значение]]</f>
        <v>473.89846973287212</v>
      </c>
      <c r="L607" t="str">
        <f t="shared" si="9"/>
        <v>INSERT INTO msfo.statements (id_company, id_year, id_showing, value) VALUES (5,5,12,473,898469732872);</v>
      </c>
    </row>
    <row r="608" spans="1:12">
      <c r="A608" s="28" t="s">
        <v>39</v>
      </c>
      <c r="B608" s="28" t="s">
        <v>32</v>
      </c>
      <c r="C608" s="28">
        <v>2016</v>
      </c>
      <c r="D608" s="28" t="s">
        <v>4</v>
      </c>
      <c r="E608" s="28" t="s">
        <v>15</v>
      </c>
      <c r="F608" s="28">
        <v>1683.4688221785154</v>
      </c>
      <c r="H608">
        <f>VLOOKUP(A608&amp;B608,ticker_sector[],2,FALSE)</f>
        <v>5</v>
      </c>
      <c r="I608">
        <f>VLOOKUP(C608,year[],2,FALSE)</f>
        <v>6</v>
      </c>
      <c r="J608">
        <f>VLOOKUP(E608,showing[],2,FALSE)</f>
        <v>12</v>
      </c>
      <c r="K608">
        <f>Сектора[[#This Row],[Значение]]</f>
        <v>1683.4688221785154</v>
      </c>
      <c r="L608" t="str">
        <f t="shared" si="9"/>
        <v>INSERT INTO msfo.statements (id_company, id_year, id_showing, value) VALUES (5,6,12,1683,46882217852);</v>
      </c>
    </row>
    <row r="609" spans="1:12">
      <c r="A609" s="28" t="s">
        <v>39</v>
      </c>
      <c r="B609" s="28" t="s">
        <v>32</v>
      </c>
      <c r="C609" s="28">
        <v>2017</v>
      </c>
      <c r="D609" s="28" t="s">
        <v>4</v>
      </c>
      <c r="E609" s="28" t="s">
        <v>15</v>
      </c>
      <c r="F609" s="28">
        <v>2535.2168916080154</v>
      </c>
      <c r="H609">
        <f>VLOOKUP(A609&amp;B609,ticker_sector[],2,FALSE)</f>
        <v>5</v>
      </c>
      <c r="I609">
        <f>VLOOKUP(C609,year[],2,FALSE)</f>
        <v>7</v>
      </c>
      <c r="J609">
        <f>VLOOKUP(E609,showing[],2,FALSE)</f>
        <v>12</v>
      </c>
      <c r="K609">
        <f>Сектора[[#This Row],[Значение]]</f>
        <v>2535.2168916080154</v>
      </c>
      <c r="L609" t="str">
        <f t="shared" si="9"/>
        <v>INSERT INTO msfo.statements (id_company, id_year, id_showing, value) VALUES (5,7,12,2535,21689160802);</v>
      </c>
    </row>
    <row r="610" spans="1:12">
      <c r="A610" s="28" t="s">
        <v>39</v>
      </c>
      <c r="B610" s="28" t="s">
        <v>32</v>
      </c>
      <c r="C610" s="28">
        <v>2010</v>
      </c>
      <c r="D610" s="28" t="s">
        <v>7</v>
      </c>
      <c r="E610" s="28" t="s">
        <v>16</v>
      </c>
      <c r="F610" s="28">
        <v>67135.82582670002</v>
      </c>
      <c r="H610">
        <f>VLOOKUP(A610&amp;B610,ticker_sector[],2,FALSE)</f>
        <v>5</v>
      </c>
      <c r="I610">
        <f>VLOOKUP(C610,year[],2,FALSE)</f>
        <v>0</v>
      </c>
      <c r="J610">
        <f>VLOOKUP(E610,showing[],2,FALSE)</f>
        <v>13</v>
      </c>
      <c r="K610">
        <f>Сектора[[#This Row],[Значение]]</f>
        <v>67135.82582670002</v>
      </c>
      <c r="L610" t="str">
        <f t="shared" si="9"/>
        <v>INSERT INTO msfo.statements (id_company, id_year, id_showing, value) VALUES (5,0,13,67135,8258267);</v>
      </c>
    </row>
    <row r="611" spans="1:12">
      <c r="A611" s="28" t="s">
        <v>39</v>
      </c>
      <c r="B611" s="28" t="s">
        <v>32</v>
      </c>
      <c r="C611" s="28">
        <v>2011</v>
      </c>
      <c r="D611" s="28" t="s">
        <v>7</v>
      </c>
      <c r="E611" s="28" t="s">
        <v>16</v>
      </c>
      <c r="F611" s="28">
        <v>85997.457297200017</v>
      </c>
      <c r="H611">
        <f>VLOOKUP(A611&amp;B611,ticker_sector[],2,FALSE)</f>
        <v>5</v>
      </c>
      <c r="I611">
        <f>VLOOKUP(C611,year[],2,FALSE)</f>
        <v>1</v>
      </c>
      <c r="J611">
        <f>VLOOKUP(E611,showing[],2,FALSE)</f>
        <v>13</v>
      </c>
      <c r="K611">
        <f>Сектора[[#This Row],[Значение]]</f>
        <v>85997.457297200017</v>
      </c>
      <c r="L611" t="str">
        <f t="shared" si="9"/>
        <v>INSERT INTO msfo.statements (id_company, id_year, id_showing, value) VALUES (5,1,13,85997,4572972);</v>
      </c>
    </row>
    <row r="612" spans="1:12">
      <c r="A612" s="28" t="s">
        <v>39</v>
      </c>
      <c r="B612" s="28" t="s">
        <v>32</v>
      </c>
      <c r="C612" s="28">
        <v>2012</v>
      </c>
      <c r="D612" s="28" t="s">
        <v>7</v>
      </c>
      <c r="E612" s="28" t="s">
        <v>16</v>
      </c>
      <c r="F612" s="28">
        <v>52419.491999999991</v>
      </c>
      <c r="H612">
        <f>VLOOKUP(A612&amp;B612,ticker_sector[],2,FALSE)</f>
        <v>5</v>
      </c>
      <c r="I612">
        <f>VLOOKUP(C612,year[],2,FALSE)</f>
        <v>2</v>
      </c>
      <c r="J612">
        <f>VLOOKUP(E612,showing[],2,FALSE)</f>
        <v>13</v>
      </c>
      <c r="K612">
        <f>Сектора[[#This Row],[Значение]]</f>
        <v>52419.491999999991</v>
      </c>
      <c r="L612" t="str">
        <f t="shared" si="9"/>
        <v>INSERT INTO msfo.statements (id_company, id_year, id_showing, value) VALUES (5,2,13,52419,492);</v>
      </c>
    </row>
    <row r="613" spans="1:12">
      <c r="A613" s="28" t="s">
        <v>39</v>
      </c>
      <c r="B613" s="28" t="s">
        <v>32</v>
      </c>
      <c r="C613" s="28">
        <v>2013</v>
      </c>
      <c r="D613" s="28" t="s">
        <v>7</v>
      </c>
      <c r="E613" s="28" t="s">
        <v>16</v>
      </c>
      <c r="F613" s="28">
        <v>50066.917999999998</v>
      </c>
      <c r="H613">
        <f>VLOOKUP(A613&amp;B613,ticker_sector[],2,FALSE)</f>
        <v>5</v>
      </c>
      <c r="I613">
        <f>VLOOKUP(C613,year[],2,FALSE)</f>
        <v>3</v>
      </c>
      <c r="J613">
        <f>VLOOKUP(E613,showing[],2,FALSE)</f>
        <v>13</v>
      </c>
      <c r="K613">
        <f>Сектора[[#This Row],[Значение]]</f>
        <v>50066.917999999998</v>
      </c>
      <c r="L613" t="str">
        <f t="shared" si="9"/>
        <v>INSERT INTO msfo.statements (id_company, id_year, id_showing, value) VALUES (5,3,13,50066,918);</v>
      </c>
    </row>
    <row r="614" spans="1:12">
      <c r="A614" s="28" t="s">
        <v>39</v>
      </c>
      <c r="B614" s="28" t="s">
        <v>32</v>
      </c>
      <c r="C614" s="28">
        <v>2014</v>
      </c>
      <c r="D614" s="28" t="s">
        <v>7</v>
      </c>
      <c r="E614" s="28" t="s">
        <v>16</v>
      </c>
      <c r="F614" s="28">
        <v>74045</v>
      </c>
      <c r="H614">
        <f>VLOOKUP(A614&amp;B614,ticker_sector[],2,FALSE)</f>
        <v>5</v>
      </c>
      <c r="I614">
        <f>VLOOKUP(C614,year[],2,FALSE)</f>
        <v>4</v>
      </c>
      <c r="J614">
        <f>VLOOKUP(E614,showing[],2,FALSE)</f>
        <v>13</v>
      </c>
      <c r="K614">
        <f>Сектора[[#This Row],[Значение]]</f>
        <v>74045</v>
      </c>
      <c r="L614" t="str">
        <f t="shared" si="9"/>
        <v>INSERT INTO msfo.statements (id_company, id_year, id_showing, value) VALUES (5,4,13,74045);</v>
      </c>
    </row>
    <row r="615" spans="1:12">
      <c r="A615" s="28" t="s">
        <v>39</v>
      </c>
      <c r="B615" s="28" t="s">
        <v>32</v>
      </c>
      <c r="C615" s="28">
        <v>2015</v>
      </c>
      <c r="D615" s="28" t="s">
        <v>7</v>
      </c>
      <c r="E615" s="28" t="s">
        <v>16</v>
      </c>
      <c r="F615" s="28">
        <v>116508</v>
      </c>
      <c r="H615">
        <f>VLOOKUP(A615&amp;B615,ticker_sector[],2,FALSE)</f>
        <v>5</v>
      </c>
      <c r="I615">
        <f>VLOOKUP(C615,year[],2,FALSE)</f>
        <v>5</v>
      </c>
      <c r="J615">
        <f>VLOOKUP(E615,showing[],2,FALSE)</f>
        <v>13</v>
      </c>
      <c r="K615">
        <f>Сектора[[#This Row],[Значение]]</f>
        <v>116508</v>
      </c>
      <c r="L615" t="str">
        <f t="shared" si="9"/>
        <v>INSERT INTO msfo.statements (id_company, id_year, id_showing, value) VALUES (5,5,13,116508);</v>
      </c>
    </row>
    <row r="616" spans="1:12">
      <c r="A616" s="28" t="s">
        <v>39</v>
      </c>
      <c r="B616" s="28" t="s">
        <v>32</v>
      </c>
      <c r="C616" s="28">
        <v>2016</v>
      </c>
      <c r="D616" s="28" t="s">
        <v>7</v>
      </c>
      <c r="E616" s="28" t="s">
        <v>16</v>
      </c>
      <c r="F616" s="28">
        <v>111131</v>
      </c>
      <c r="H616">
        <f>VLOOKUP(A616&amp;B616,ticker_sector[],2,FALSE)</f>
        <v>5</v>
      </c>
      <c r="I616">
        <f>VLOOKUP(C616,year[],2,FALSE)</f>
        <v>6</v>
      </c>
      <c r="J616">
        <f>VLOOKUP(E616,showing[],2,FALSE)</f>
        <v>13</v>
      </c>
      <c r="K616">
        <f>Сектора[[#This Row],[Значение]]</f>
        <v>111131</v>
      </c>
      <c r="L616" t="str">
        <f t="shared" si="9"/>
        <v>INSERT INTO msfo.statements (id_company, id_year, id_showing, value) VALUES (5,6,13,111131);</v>
      </c>
    </row>
    <row r="617" spans="1:12">
      <c r="A617" s="28" t="s">
        <v>39</v>
      </c>
      <c r="B617" s="28" t="s">
        <v>32</v>
      </c>
      <c r="C617" s="28">
        <v>2017</v>
      </c>
      <c r="D617" s="28" t="s">
        <v>7</v>
      </c>
      <c r="E617" s="28" t="s">
        <v>16</v>
      </c>
      <c r="F617" s="28">
        <v>129633</v>
      </c>
      <c r="H617">
        <f>VLOOKUP(A617&amp;B617,ticker_sector[],2,FALSE)</f>
        <v>5</v>
      </c>
      <c r="I617">
        <f>VLOOKUP(C617,year[],2,FALSE)</f>
        <v>7</v>
      </c>
      <c r="J617">
        <f>VLOOKUP(E617,showing[],2,FALSE)</f>
        <v>13</v>
      </c>
      <c r="K617">
        <f>Сектора[[#This Row],[Значение]]</f>
        <v>129633</v>
      </c>
      <c r="L617" t="str">
        <f t="shared" si="9"/>
        <v>INSERT INTO msfo.statements (id_company, id_year, id_showing, value) VALUES (5,7,13,129633);</v>
      </c>
    </row>
    <row r="618" spans="1:12">
      <c r="A618" s="28" t="s">
        <v>39</v>
      </c>
      <c r="B618" s="28" t="s">
        <v>32</v>
      </c>
      <c r="C618" s="28">
        <v>2010</v>
      </c>
      <c r="D618" s="28" t="s">
        <v>7</v>
      </c>
      <c r="E618" s="28" t="s">
        <v>17</v>
      </c>
      <c r="F618" s="28">
        <v>2202.8430000000008</v>
      </c>
      <c r="H618">
        <f>VLOOKUP(A618&amp;B618,ticker_sector[],2,FALSE)</f>
        <v>5</v>
      </c>
      <c r="I618">
        <f>VLOOKUP(C618,year[],2,FALSE)</f>
        <v>0</v>
      </c>
      <c r="J618">
        <f>VLOOKUP(E618,showing[],2,FALSE)</f>
        <v>14</v>
      </c>
      <c r="K618">
        <f>Сектора[[#This Row],[Значение]]</f>
        <v>2202.8430000000008</v>
      </c>
      <c r="L618" t="str">
        <f t="shared" si="9"/>
        <v>INSERT INTO msfo.statements (id_company, id_year, id_showing, value) VALUES (5,0,14,2202,843);</v>
      </c>
    </row>
    <row r="619" spans="1:12">
      <c r="A619" s="28" t="s">
        <v>39</v>
      </c>
      <c r="B619" s="28" t="s">
        <v>32</v>
      </c>
      <c r="C619" s="28">
        <v>2011</v>
      </c>
      <c r="D619" s="28" t="s">
        <v>7</v>
      </c>
      <c r="E619" s="28" t="s">
        <v>17</v>
      </c>
      <c r="F619" s="28">
        <v>2671.0520000000006</v>
      </c>
      <c r="H619">
        <f>VLOOKUP(A619&amp;B619,ticker_sector[],2,FALSE)</f>
        <v>5</v>
      </c>
      <c r="I619">
        <f>VLOOKUP(C619,year[],2,FALSE)</f>
        <v>1</v>
      </c>
      <c r="J619">
        <f>VLOOKUP(E619,showing[],2,FALSE)</f>
        <v>14</v>
      </c>
      <c r="K619">
        <f>Сектора[[#This Row],[Значение]]</f>
        <v>2671.0520000000006</v>
      </c>
      <c r="L619" t="str">
        <f t="shared" si="9"/>
        <v>INSERT INTO msfo.statements (id_company, id_year, id_showing, value) VALUES (5,1,14,2671,052);</v>
      </c>
    </row>
    <row r="620" spans="1:12">
      <c r="A620" s="28" t="s">
        <v>39</v>
      </c>
      <c r="B620" s="28" t="s">
        <v>32</v>
      </c>
      <c r="C620" s="28">
        <v>2012</v>
      </c>
      <c r="D620" s="28" t="s">
        <v>7</v>
      </c>
      <c r="E620" s="28" t="s">
        <v>17</v>
      </c>
      <c r="F620" s="28">
        <v>1725.8752761525973</v>
      </c>
      <c r="H620">
        <f>VLOOKUP(A620&amp;B620,ticker_sector[],2,FALSE)</f>
        <v>5</v>
      </c>
      <c r="I620">
        <f>VLOOKUP(C620,year[],2,FALSE)</f>
        <v>2</v>
      </c>
      <c r="J620">
        <f>VLOOKUP(E620,showing[],2,FALSE)</f>
        <v>14</v>
      </c>
      <c r="K620">
        <f>Сектора[[#This Row],[Значение]]</f>
        <v>1725.8752761525973</v>
      </c>
      <c r="L620" t="str">
        <f t="shared" si="9"/>
        <v>INSERT INTO msfo.statements (id_company, id_year, id_showing, value) VALUES (5,2,14,1725,8752761526);</v>
      </c>
    </row>
    <row r="621" spans="1:12">
      <c r="A621" s="28" t="s">
        <v>39</v>
      </c>
      <c r="B621" s="28" t="s">
        <v>32</v>
      </c>
      <c r="C621" s="28">
        <v>2013</v>
      </c>
      <c r="D621" s="28" t="s">
        <v>7</v>
      </c>
      <c r="E621" s="28" t="s">
        <v>17</v>
      </c>
      <c r="F621" s="28">
        <v>1529.7324102025102</v>
      </c>
      <c r="H621">
        <f>VLOOKUP(A621&amp;B621,ticker_sector[],2,FALSE)</f>
        <v>5</v>
      </c>
      <c r="I621">
        <f>VLOOKUP(C621,year[],2,FALSE)</f>
        <v>3</v>
      </c>
      <c r="J621">
        <f>VLOOKUP(E621,showing[],2,FALSE)</f>
        <v>14</v>
      </c>
      <c r="K621">
        <f>Сектора[[#This Row],[Значение]]</f>
        <v>1529.7324102025102</v>
      </c>
      <c r="L621" t="str">
        <f t="shared" si="9"/>
        <v>INSERT INTO msfo.statements (id_company, id_year, id_showing, value) VALUES (5,3,14,1529,73241020251);</v>
      </c>
    </row>
    <row r="622" spans="1:12">
      <c r="A622" s="28" t="s">
        <v>39</v>
      </c>
      <c r="B622" s="28" t="s">
        <v>32</v>
      </c>
      <c r="C622" s="28">
        <v>2014</v>
      </c>
      <c r="D622" s="28" t="s">
        <v>7</v>
      </c>
      <c r="E622" s="28" t="s">
        <v>17</v>
      </c>
      <c r="F622" s="28">
        <v>1316.1590091435235</v>
      </c>
      <c r="H622">
        <f>VLOOKUP(A622&amp;B622,ticker_sector[],2,FALSE)</f>
        <v>5</v>
      </c>
      <c r="I622">
        <f>VLOOKUP(C622,year[],2,FALSE)</f>
        <v>4</v>
      </c>
      <c r="J622">
        <f>VLOOKUP(E622,showing[],2,FALSE)</f>
        <v>14</v>
      </c>
      <c r="K622">
        <f>Сектора[[#This Row],[Значение]]</f>
        <v>1316.1590091435235</v>
      </c>
      <c r="L622" t="str">
        <f t="shared" si="9"/>
        <v>INSERT INTO msfo.statements (id_company, id_year, id_showing, value) VALUES (5,4,14,1316,15900914352);</v>
      </c>
    </row>
    <row r="623" spans="1:12">
      <c r="A623" s="28" t="s">
        <v>39</v>
      </c>
      <c r="B623" s="28" t="s">
        <v>32</v>
      </c>
      <c r="C623" s="28">
        <v>2015</v>
      </c>
      <c r="D623" s="28" t="s">
        <v>7</v>
      </c>
      <c r="E623" s="28" t="s">
        <v>17</v>
      </c>
      <c r="F623" s="28">
        <v>1598.5686589547313</v>
      </c>
      <c r="H623">
        <f>VLOOKUP(A623&amp;B623,ticker_sector[],2,FALSE)</f>
        <v>5</v>
      </c>
      <c r="I623">
        <f>VLOOKUP(C623,year[],2,FALSE)</f>
        <v>5</v>
      </c>
      <c r="J623">
        <f>VLOOKUP(E623,showing[],2,FALSE)</f>
        <v>14</v>
      </c>
      <c r="K623">
        <f>Сектора[[#This Row],[Значение]]</f>
        <v>1598.5686589547313</v>
      </c>
      <c r="L623" t="str">
        <f t="shared" si="9"/>
        <v>INSERT INTO msfo.statements (id_company, id_year, id_showing, value) VALUES (5,5,14,1598,56865895473);</v>
      </c>
    </row>
    <row r="624" spans="1:12">
      <c r="A624" s="28" t="s">
        <v>39</v>
      </c>
      <c r="B624" s="28" t="s">
        <v>32</v>
      </c>
      <c r="C624" s="28">
        <v>2016</v>
      </c>
      <c r="D624" s="28" t="s">
        <v>7</v>
      </c>
      <c r="E624" s="28" t="s">
        <v>17</v>
      </c>
      <c r="F624" s="28">
        <v>1832.1246222606167</v>
      </c>
      <c r="H624">
        <f>VLOOKUP(A624&amp;B624,ticker_sector[],2,FALSE)</f>
        <v>5</v>
      </c>
      <c r="I624">
        <f>VLOOKUP(C624,year[],2,FALSE)</f>
        <v>6</v>
      </c>
      <c r="J624">
        <f>VLOOKUP(E624,showing[],2,FALSE)</f>
        <v>14</v>
      </c>
      <c r="K624">
        <f>Сектора[[#This Row],[Значение]]</f>
        <v>1832.1246222606167</v>
      </c>
      <c r="L624" t="str">
        <f t="shared" si="9"/>
        <v>INSERT INTO msfo.statements (id_company, id_year, id_showing, value) VALUES (5,6,14,1832,12462226062);</v>
      </c>
    </row>
    <row r="625" spans="1:12">
      <c r="A625" s="28" t="s">
        <v>39</v>
      </c>
      <c r="B625" s="28" t="s">
        <v>32</v>
      </c>
      <c r="C625" s="28">
        <v>2017</v>
      </c>
      <c r="D625" s="28" t="s">
        <v>7</v>
      </c>
      <c r="E625" s="28" t="s">
        <v>17</v>
      </c>
      <c r="F625" s="28">
        <v>2250.5651022045063</v>
      </c>
      <c r="H625">
        <f>VLOOKUP(A625&amp;B625,ticker_sector[],2,FALSE)</f>
        <v>5</v>
      </c>
      <c r="I625">
        <f>VLOOKUP(C625,year[],2,FALSE)</f>
        <v>7</v>
      </c>
      <c r="J625">
        <f>VLOOKUP(E625,showing[],2,FALSE)</f>
        <v>14</v>
      </c>
      <c r="K625">
        <f>Сектора[[#This Row],[Значение]]</f>
        <v>2250.5651022045063</v>
      </c>
      <c r="L625" t="str">
        <f t="shared" si="9"/>
        <v>INSERT INTO msfo.statements (id_company, id_year, id_showing, value) VALUES (5,7,14,2250,56510220451);</v>
      </c>
    </row>
    <row r="626" spans="1:12">
      <c r="A626" s="28" t="s">
        <v>39</v>
      </c>
      <c r="B626" s="28" t="s">
        <v>32</v>
      </c>
      <c r="C626" s="28">
        <v>2010</v>
      </c>
      <c r="D626" s="28" t="s">
        <v>20</v>
      </c>
      <c r="E626" s="28" t="s">
        <v>18</v>
      </c>
      <c r="F626" s="28">
        <v>1005.2</v>
      </c>
      <c r="H626">
        <f>VLOOKUP(A626&amp;B626,ticker_sector[],2,FALSE)</f>
        <v>5</v>
      </c>
      <c r="I626">
        <f>VLOOKUP(C626,year[],2,FALSE)</f>
        <v>0</v>
      </c>
      <c r="J626">
        <f>VLOOKUP(E626,showing[],2,FALSE)</f>
        <v>15</v>
      </c>
      <c r="K626">
        <f>Сектора[[#This Row],[Значение]]</f>
        <v>1005.2</v>
      </c>
      <c r="L626" t="str">
        <f t="shared" si="9"/>
        <v>INSERT INTO msfo.statements (id_company, id_year, id_showing, value) VALUES (5,0,15,1005,2);</v>
      </c>
    </row>
    <row r="627" spans="1:12">
      <c r="A627" s="28" t="s">
        <v>39</v>
      </c>
      <c r="B627" s="28" t="s">
        <v>32</v>
      </c>
      <c r="C627" s="28">
        <v>2011</v>
      </c>
      <c r="D627" s="28" t="s">
        <v>20</v>
      </c>
      <c r="E627" s="28" t="s">
        <v>18</v>
      </c>
      <c r="F627" s="28">
        <v>1005.2</v>
      </c>
      <c r="H627">
        <f>VLOOKUP(A627&amp;B627,ticker_sector[],2,FALSE)</f>
        <v>5</v>
      </c>
      <c r="I627">
        <f>VLOOKUP(C627,year[],2,FALSE)</f>
        <v>1</v>
      </c>
      <c r="J627">
        <f>VLOOKUP(E627,showing[],2,FALSE)</f>
        <v>15</v>
      </c>
      <c r="K627">
        <f>Сектора[[#This Row],[Значение]]</f>
        <v>1005.2</v>
      </c>
      <c r="L627" t="str">
        <f t="shared" si="9"/>
        <v>INSERT INTO msfo.statements (id_company, id_year, id_showing, value) VALUES (5,1,15,1005,2);</v>
      </c>
    </row>
    <row r="628" spans="1:12">
      <c r="A628" s="28" t="s">
        <v>39</v>
      </c>
      <c r="B628" s="28" t="s">
        <v>32</v>
      </c>
      <c r="C628" s="28">
        <v>2012</v>
      </c>
      <c r="D628" s="28" t="s">
        <v>20</v>
      </c>
      <c r="E628" s="28" t="s">
        <v>18</v>
      </c>
      <c r="F628" s="28">
        <v>839.8</v>
      </c>
      <c r="H628">
        <f>VLOOKUP(A628&amp;B628,ticker_sector[],2,FALSE)</f>
        <v>5</v>
      </c>
      <c r="I628">
        <f>VLOOKUP(C628,year[],2,FALSE)</f>
        <v>2</v>
      </c>
      <c r="J628">
        <f>VLOOKUP(E628,showing[],2,FALSE)</f>
        <v>15</v>
      </c>
      <c r="K628">
        <f>Сектора[[#This Row],[Значение]]</f>
        <v>839.8</v>
      </c>
      <c r="L628" t="str">
        <f t="shared" si="9"/>
        <v>INSERT INTO msfo.statements (id_company, id_year, id_showing, value) VALUES (5,2,15,839,8);</v>
      </c>
    </row>
    <row r="629" spans="1:12">
      <c r="A629" s="28" t="s">
        <v>39</v>
      </c>
      <c r="B629" s="28" t="s">
        <v>32</v>
      </c>
      <c r="C629" s="28">
        <v>2013</v>
      </c>
      <c r="D629" s="28" t="s">
        <v>20</v>
      </c>
      <c r="E629" s="28" t="s">
        <v>18</v>
      </c>
      <c r="F629" s="28">
        <v>810.6</v>
      </c>
      <c r="H629">
        <f>VLOOKUP(A629&amp;B629,ticker_sector[],2,FALSE)</f>
        <v>5</v>
      </c>
      <c r="I629">
        <f>VLOOKUP(C629,year[],2,FALSE)</f>
        <v>3</v>
      </c>
      <c r="J629">
        <f>VLOOKUP(E629,showing[],2,FALSE)</f>
        <v>15</v>
      </c>
      <c r="K629">
        <f>Сектора[[#This Row],[Значение]]</f>
        <v>810.6</v>
      </c>
      <c r="L629" t="str">
        <f t="shared" si="9"/>
        <v>INSERT INTO msfo.statements (id_company, id_year, id_showing, value) VALUES (5,3,15,810,6);</v>
      </c>
    </row>
    <row r="630" spans="1:12">
      <c r="A630" s="28" t="s">
        <v>39</v>
      </c>
      <c r="B630" s="28" t="s">
        <v>32</v>
      </c>
      <c r="C630" s="28">
        <v>2014</v>
      </c>
      <c r="D630" s="28" t="s">
        <v>20</v>
      </c>
      <c r="E630" s="28" t="s">
        <v>18</v>
      </c>
      <c r="F630" s="28">
        <v>810.6</v>
      </c>
      <c r="H630">
        <f>VLOOKUP(A630&amp;B630,ticker_sector[],2,FALSE)</f>
        <v>5</v>
      </c>
      <c r="I630">
        <f>VLOOKUP(C630,year[],2,FALSE)</f>
        <v>4</v>
      </c>
      <c r="J630">
        <f>VLOOKUP(E630,showing[],2,FALSE)</f>
        <v>15</v>
      </c>
      <c r="K630">
        <f>Сектора[[#This Row],[Значение]]</f>
        <v>810.6</v>
      </c>
      <c r="L630" t="str">
        <f t="shared" si="9"/>
        <v>INSERT INTO msfo.statements (id_company, id_year, id_showing, value) VALUES (5,4,15,810,6);</v>
      </c>
    </row>
    <row r="631" spans="1:12">
      <c r="A631" s="28" t="s">
        <v>39</v>
      </c>
      <c r="B631" s="28" t="s">
        <v>32</v>
      </c>
      <c r="C631" s="28">
        <v>2015</v>
      </c>
      <c r="D631" s="28" t="s">
        <v>20</v>
      </c>
      <c r="E631" s="28" t="s">
        <v>18</v>
      </c>
      <c r="F631" s="28">
        <v>810.6</v>
      </c>
      <c r="H631">
        <f>VLOOKUP(A631&amp;B631,ticker_sector[],2,FALSE)</f>
        <v>5</v>
      </c>
      <c r="I631">
        <f>VLOOKUP(C631,year[],2,FALSE)</f>
        <v>5</v>
      </c>
      <c r="J631">
        <f>VLOOKUP(E631,showing[],2,FALSE)</f>
        <v>15</v>
      </c>
      <c r="K631">
        <f>Сектора[[#This Row],[Значение]]</f>
        <v>810.6</v>
      </c>
      <c r="L631" t="str">
        <f t="shared" si="9"/>
        <v>INSERT INTO msfo.statements (id_company, id_year, id_showing, value) VALUES (5,5,15,810,6);</v>
      </c>
    </row>
    <row r="632" spans="1:12">
      <c r="A632" s="28" t="s">
        <v>39</v>
      </c>
      <c r="B632" s="28" t="s">
        <v>32</v>
      </c>
      <c r="C632" s="28">
        <v>2016</v>
      </c>
      <c r="D632" s="28" t="s">
        <v>20</v>
      </c>
      <c r="E632" s="28" t="s">
        <v>18</v>
      </c>
      <c r="F632" s="28">
        <v>810.6</v>
      </c>
      <c r="H632">
        <f>VLOOKUP(A632&amp;B632,ticker_sector[],2,FALSE)</f>
        <v>5</v>
      </c>
      <c r="I632">
        <f>VLOOKUP(C632,year[],2,FALSE)</f>
        <v>6</v>
      </c>
      <c r="J632">
        <f>VLOOKUP(E632,showing[],2,FALSE)</f>
        <v>15</v>
      </c>
      <c r="K632">
        <f>Сектора[[#This Row],[Значение]]</f>
        <v>810.6</v>
      </c>
      <c r="L632" t="str">
        <f t="shared" si="9"/>
        <v>INSERT INTO msfo.statements (id_company, id_year, id_showing, value) VALUES (5,6,15,810,6);</v>
      </c>
    </row>
    <row r="633" spans="1:12">
      <c r="A633" s="28" t="s">
        <v>39</v>
      </c>
      <c r="B633" s="28" t="s">
        <v>32</v>
      </c>
      <c r="C633" s="28">
        <v>2017</v>
      </c>
      <c r="D633" s="28" t="s">
        <v>20</v>
      </c>
      <c r="E633" s="28" t="s">
        <v>18</v>
      </c>
      <c r="F633" s="28">
        <v>811.7</v>
      </c>
      <c r="H633">
        <f>VLOOKUP(A633&amp;B633,ticker_sector[],2,FALSE)</f>
        <v>5</v>
      </c>
      <c r="I633">
        <f>VLOOKUP(C633,year[],2,FALSE)</f>
        <v>7</v>
      </c>
      <c r="J633">
        <f>VLOOKUP(E633,showing[],2,FALSE)</f>
        <v>15</v>
      </c>
      <c r="K633">
        <f>Сектора[[#This Row],[Значение]]</f>
        <v>811.7</v>
      </c>
      <c r="L633" t="str">
        <f t="shared" si="9"/>
        <v>INSERT INTO msfo.statements (id_company, id_year, id_showing, value) VALUES (5,7,15,811,7);</v>
      </c>
    </row>
    <row r="634" spans="1:12">
      <c r="A634" s="28" t="s">
        <v>39</v>
      </c>
      <c r="B634" s="28" t="s">
        <v>32</v>
      </c>
      <c r="C634" s="28">
        <v>2010</v>
      </c>
      <c r="D634" s="28" t="s">
        <v>20</v>
      </c>
      <c r="E634" s="28" t="s">
        <v>19</v>
      </c>
      <c r="F634" s="28">
        <v>519.9</v>
      </c>
      <c r="H634">
        <f>VLOOKUP(A634&amp;B634,ticker_sector[],2,FALSE)</f>
        <v>5</v>
      </c>
      <c r="I634">
        <f>VLOOKUP(C634,year[],2,FALSE)</f>
        <v>0</v>
      </c>
      <c r="J634">
        <f>VLOOKUP(E634,showing[],2,FALSE)</f>
        <v>16</v>
      </c>
      <c r="K634">
        <f>Сектора[[#This Row],[Значение]]</f>
        <v>519.9</v>
      </c>
      <c r="L634" t="str">
        <f t="shared" si="9"/>
        <v>INSERT INTO msfo.statements (id_company, id_year, id_showing, value) VALUES (5,0,16,519,9);</v>
      </c>
    </row>
    <row r="635" spans="1:12">
      <c r="A635" s="28" t="s">
        <v>39</v>
      </c>
      <c r="B635" s="28" t="s">
        <v>32</v>
      </c>
      <c r="C635" s="28">
        <v>2011</v>
      </c>
      <c r="D635" s="28" t="s">
        <v>20</v>
      </c>
      <c r="E635" s="28" t="s">
        <v>19</v>
      </c>
      <c r="F635" s="28">
        <v>363.8</v>
      </c>
      <c r="H635">
        <f>VLOOKUP(A635&amp;B635,ticker_sector[],2,FALSE)</f>
        <v>5</v>
      </c>
      <c r="I635">
        <f>VLOOKUP(C635,year[],2,FALSE)</f>
        <v>1</v>
      </c>
      <c r="J635">
        <f>VLOOKUP(E635,showing[],2,FALSE)</f>
        <v>16</v>
      </c>
      <c r="K635">
        <f>Сектора[[#This Row],[Значение]]</f>
        <v>363.8</v>
      </c>
      <c r="L635" t="str">
        <f t="shared" si="9"/>
        <v>INSERT INTO msfo.statements (id_company, id_year, id_showing, value) VALUES (5,1,16,363,8);</v>
      </c>
    </row>
    <row r="636" spans="1:12">
      <c r="A636" s="28" t="s">
        <v>39</v>
      </c>
      <c r="B636" s="28" t="s">
        <v>32</v>
      </c>
      <c r="C636" s="28">
        <v>2012</v>
      </c>
      <c r="D636" s="28" t="s">
        <v>20</v>
      </c>
      <c r="E636" s="28" t="s">
        <v>19</v>
      </c>
      <c r="F636" s="28">
        <v>369.1</v>
      </c>
      <c r="H636">
        <f>VLOOKUP(A636&amp;B636,ticker_sector[],2,FALSE)</f>
        <v>5</v>
      </c>
      <c r="I636">
        <f>VLOOKUP(C636,year[],2,FALSE)</f>
        <v>2</v>
      </c>
      <c r="J636">
        <f>VLOOKUP(E636,showing[],2,FALSE)</f>
        <v>16</v>
      </c>
      <c r="K636">
        <f>Сектора[[#This Row],[Значение]]</f>
        <v>369.1</v>
      </c>
      <c r="L636" t="str">
        <f t="shared" si="9"/>
        <v>INSERT INTO msfo.statements (id_company, id_year, id_showing, value) VALUES (5,2,16,369,1);</v>
      </c>
    </row>
    <row r="637" spans="1:12">
      <c r="A637" s="28" t="s">
        <v>39</v>
      </c>
      <c r="B637" s="28" t="s">
        <v>32</v>
      </c>
      <c r="C637" s="28">
        <v>2013</v>
      </c>
      <c r="D637" s="28" t="s">
        <v>20</v>
      </c>
      <c r="E637" s="28" t="s">
        <v>19</v>
      </c>
      <c r="F637" s="28">
        <v>319.5</v>
      </c>
      <c r="H637">
        <f>VLOOKUP(A637&amp;B637,ticker_sector[],2,FALSE)</f>
        <v>5</v>
      </c>
      <c r="I637">
        <f>VLOOKUP(C637,year[],2,FALSE)</f>
        <v>3</v>
      </c>
      <c r="J637">
        <f>VLOOKUP(E637,showing[],2,FALSE)</f>
        <v>16</v>
      </c>
      <c r="K637">
        <f>Сектора[[#This Row],[Значение]]</f>
        <v>319.5</v>
      </c>
      <c r="L637" t="str">
        <f t="shared" si="9"/>
        <v>INSERT INTO msfo.statements (id_company, id_year, id_showing, value) VALUES (5,3,16,319,5);</v>
      </c>
    </row>
    <row r="638" spans="1:12">
      <c r="A638" s="28" t="s">
        <v>39</v>
      </c>
      <c r="B638" s="28" t="s">
        <v>32</v>
      </c>
      <c r="C638" s="28">
        <v>2014</v>
      </c>
      <c r="D638" s="28" t="s">
        <v>20</v>
      </c>
      <c r="E638" s="28" t="s">
        <v>19</v>
      </c>
      <c r="F638" s="28">
        <v>501.9</v>
      </c>
      <c r="H638">
        <f>VLOOKUP(A638&amp;B638,ticker_sector[],2,FALSE)</f>
        <v>5</v>
      </c>
      <c r="I638">
        <f>VLOOKUP(C638,year[],2,FALSE)</f>
        <v>4</v>
      </c>
      <c r="J638">
        <f>VLOOKUP(E638,showing[],2,FALSE)</f>
        <v>16</v>
      </c>
      <c r="K638">
        <f>Сектора[[#This Row],[Значение]]</f>
        <v>501.9</v>
      </c>
      <c r="L638" t="str">
        <f t="shared" si="9"/>
        <v>INSERT INTO msfo.statements (id_company, id_year, id_showing, value) VALUES (5,4,16,501,9);</v>
      </c>
    </row>
    <row r="639" spans="1:12">
      <c r="A639" s="28" t="s">
        <v>39</v>
      </c>
      <c r="B639" s="28" t="s">
        <v>32</v>
      </c>
      <c r="C639" s="28">
        <v>2015</v>
      </c>
      <c r="D639" s="28" t="s">
        <v>20</v>
      </c>
      <c r="E639" s="28" t="s">
        <v>19</v>
      </c>
      <c r="F639" s="28">
        <v>609.5</v>
      </c>
      <c r="H639">
        <f>VLOOKUP(A639&amp;B639,ticker_sector[],2,FALSE)</f>
        <v>5</v>
      </c>
      <c r="I639">
        <f>VLOOKUP(C639,year[],2,FALSE)</f>
        <v>5</v>
      </c>
      <c r="J639">
        <f>VLOOKUP(E639,showing[],2,FALSE)</f>
        <v>16</v>
      </c>
      <c r="K639">
        <f>Сектора[[#This Row],[Значение]]</f>
        <v>609.5</v>
      </c>
      <c r="L639" t="str">
        <f t="shared" si="9"/>
        <v>INSERT INTO msfo.statements (id_company, id_year, id_showing, value) VALUES (5,5,16,609,5);</v>
      </c>
    </row>
    <row r="640" spans="1:12">
      <c r="A640" s="28" t="s">
        <v>39</v>
      </c>
      <c r="B640" s="28" t="s">
        <v>32</v>
      </c>
      <c r="C640" s="28">
        <v>2016</v>
      </c>
      <c r="D640" s="28" t="s">
        <v>20</v>
      </c>
      <c r="E640" s="28" t="s">
        <v>19</v>
      </c>
      <c r="F640" s="28">
        <v>942.2</v>
      </c>
      <c r="H640">
        <f>VLOOKUP(A640&amp;B640,ticker_sector[],2,FALSE)</f>
        <v>5</v>
      </c>
      <c r="I640">
        <f>VLOOKUP(C640,year[],2,FALSE)</f>
        <v>6</v>
      </c>
      <c r="J640">
        <f>VLOOKUP(E640,showing[],2,FALSE)</f>
        <v>16</v>
      </c>
      <c r="K640">
        <f>Сектора[[#This Row],[Значение]]</f>
        <v>942.2</v>
      </c>
      <c r="L640" t="str">
        <f t="shared" si="9"/>
        <v>INSERT INTO msfo.statements (id_company, id_year, id_showing, value) VALUES (5,6,16,942,2);</v>
      </c>
    </row>
    <row r="641" spans="1:12">
      <c r="A641" s="28" t="s">
        <v>39</v>
      </c>
      <c r="B641" s="28" t="s">
        <v>32</v>
      </c>
      <c r="C641" s="28">
        <v>2017</v>
      </c>
      <c r="D641" s="28" t="s">
        <v>20</v>
      </c>
      <c r="E641" s="28" t="s">
        <v>19</v>
      </c>
      <c r="F641" s="28">
        <v>887.4</v>
      </c>
      <c r="H641">
        <f>VLOOKUP(A641&amp;B641,ticker_sector[],2,FALSE)</f>
        <v>5</v>
      </c>
      <c r="I641">
        <f>VLOOKUP(C641,year[],2,FALSE)</f>
        <v>7</v>
      </c>
      <c r="J641">
        <f>VLOOKUP(E641,showing[],2,FALSE)</f>
        <v>16</v>
      </c>
      <c r="K641">
        <f>Сектора[[#This Row],[Значение]]</f>
        <v>887.4</v>
      </c>
      <c r="L641" t="str">
        <f t="shared" si="9"/>
        <v>INSERT INTO msfo.statements (id_company, id_year, id_showing, value) VALUES (5,7,16,887,4);</v>
      </c>
    </row>
    <row r="642" spans="1:12">
      <c r="A642" s="28" t="s">
        <v>40</v>
      </c>
      <c r="B642" s="28" t="s">
        <v>32</v>
      </c>
      <c r="C642" s="28">
        <v>2010</v>
      </c>
      <c r="D642" s="28" t="s">
        <v>1</v>
      </c>
      <c r="E642" s="28" t="s">
        <v>2</v>
      </c>
      <c r="F642" s="28">
        <v>419148.80570000003</v>
      </c>
      <c r="H642">
        <f>VLOOKUP(A642&amp;B642,ticker_sector[],2,FALSE)</f>
        <v>6</v>
      </c>
      <c r="I642">
        <f>VLOOKUP(C642,year[],2,FALSE)</f>
        <v>0</v>
      </c>
      <c r="J642">
        <f>VLOOKUP(E642,showing[],2,FALSE)</f>
        <v>1</v>
      </c>
      <c r="K642">
        <f>Сектора[[#This Row],[Значение]]</f>
        <v>419148.80570000003</v>
      </c>
      <c r="L642" t="str">
        <f t="shared" si="9"/>
        <v>INSERT INTO msfo.statements (id_company, id_year, id_showing, value) VALUES (6,0,1,419148,8057);</v>
      </c>
    </row>
    <row r="643" spans="1:12">
      <c r="A643" s="28" t="s">
        <v>40</v>
      </c>
      <c r="B643" s="28" t="s">
        <v>32</v>
      </c>
      <c r="C643" s="28">
        <v>2011</v>
      </c>
      <c r="D643" s="28" t="s">
        <v>1</v>
      </c>
      <c r="E643" s="28" t="s">
        <v>2</v>
      </c>
      <c r="F643" s="28">
        <v>419482.98690000002</v>
      </c>
      <c r="H643">
        <f>VLOOKUP(A643&amp;B643,ticker_sector[],2,FALSE)</f>
        <v>6</v>
      </c>
      <c r="I643">
        <f>VLOOKUP(C643,year[],2,FALSE)</f>
        <v>1</v>
      </c>
      <c r="J643">
        <f>VLOOKUP(E643,showing[],2,FALSE)</f>
        <v>1</v>
      </c>
      <c r="K643">
        <f>Сектора[[#This Row],[Значение]]</f>
        <v>419482.98690000002</v>
      </c>
      <c r="L643" t="str">
        <f t="shared" ref="L643:L706" si="10">"INSERT INTO msfo.statements (id_company, id_year, id_showing, value) VALUES ("&amp;H643&amp; ","&amp;I643&amp; ","&amp;J643&amp; ","&amp;K643&amp;");"</f>
        <v>INSERT INTO msfo.statements (id_company, id_year, id_showing, value) VALUES (6,1,1,419482,9869);</v>
      </c>
    </row>
    <row r="644" spans="1:12">
      <c r="A644" s="28" t="s">
        <v>40</v>
      </c>
      <c r="B644" s="28" t="s">
        <v>32</v>
      </c>
      <c r="C644" s="28">
        <v>2012</v>
      </c>
      <c r="D644" s="28" t="s">
        <v>1</v>
      </c>
      <c r="E644" s="28" t="s">
        <v>2</v>
      </c>
      <c r="F644" s="28">
        <v>400713</v>
      </c>
      <c r="H644">
        <f>VLOOKUP(A644&amp;B644,ticker_sector[],2,FALSE)</f>
        <v>6</v>
      </c>
      <c r="I644">
        <f>VLOOKUP(C644,year[],2,FALSE)</f>
        <v>2</v>
      </c>
      <c r="J644">
        <f>VLOOKUP(E644,showing[],2,FALSE)</f>
        <v>1</v>
      </c>
      <c r="K644">
        <f>Сектора[[#This Row],[Значение]]</f>
        <v>400713</v>
      </c>
      <c r="L644" t="str">
        <f t="shared" si="10"/>
        <v>INSERT INTO msfo.statements (id_company, id_year, id_showing, value) VALUES (6,2,1,400713);</v>
      </c>
    </row>
    <row r="645" spans="1:12">
      <c r="A645" s="28" t="s">
        <v>40</v>
      </c>
      <c r="B645" s="28" t="s">
        <v>32</v>
      </c>
      <c r="C645" s="28">
        <v>2013</v>
      </c>
      <c r="D645" s="28" t="s">
        <v>1</v>
      </c>
      <c r="E645" s="28" t="s">
        <v>2</v>
      </c>
      <c r="F645" s="28">
        <v>316537</v>
      </c>
      <c r="H645">
        <f>VLOOKUP(A645&amp;B645,ticker_sector[],2,FALSE)</f>
        <v>6</v>
      </c>
      <c r="I645">
        <f>VLOOKUP(C645,year[],2,FALSE)</f>
        <v>3</v>
      </c>
      <c r="J645">
        <f>VLOOKUP(E645,showing[],2,FALSE)</f>
        <v>1</v>
      </c>
      <c r="K645">
        <f>Сектора[[#This Row],[Значение]]</f>
        <v>316537</v>
      </c>
      <c r="L645" t="str">
        <f t="shared" si="10"/>
        <v>INSERT INTO msfo.statements (id_company, id_year, id_showing, value) VALUES (6,3,1,316537);</v>
      </c>
    </row>
    <row r="646" spans="1:12">
      <c r="A646" s="28" t="s">
        <v>40</v>
      </c>
      <c r="B646" s="28" t="s">
        <v>32</v>
      </c>
      <c r="C646" s="28">
        <v>2014</v>
      </c>
      <c r="D646" s="28" t="s">
        <v>1</v>
      </c>
      <c r="E646" s="28" t="s">
        <v>2</v>
      </c>
      <c r="F646" s="28">
        <v>314851</v>
      </c>
      <c r="H646">
        <f>VLOOKUP(A646&amp;B646,ticker_sector[],2,FALSE)</f>
        <v>6</v>
      </c>
      <c r="I646">
        <f>VLOOKUP(C646,year[],2,FALSE)</f>
        <v>4</v>
      </c>
      <c r="J646">
        <f>VLOOKUP(E646,showing[],2,FALSE)</f>
        <v>1</v>
      </c>
      <c r="K646">
        <f>Сектора[[#This Row],[Значение]]</f>
        <v>314851</v>
      </c>
      <c r="L646" t="str">
        <f t="shared" si="10"/>
        <v>INSERT INTO msfo.statements (id_company, id_year, id_showing, value) VALUES (6,4,1,314851);</v>
      </c>
    </row>
    <row r="647" spans="1:12">
      <c r="A647" s="28" t="s">
        <v>40</v>
      </c>
      <c r="B647" s="28" t="s">
        <v>32</v>
      </c>
      <c r="C647" s="28">
        <v>2015</v>
      </c>
      <c r="D647" s="28" t="s">
        <v>1</v>
      </c>
      <c r="E647" s="28" t="s">
        <v>2</v>
      </c>
      <c r="F647" s="28">
        <v>298344</v>
      </c>
      <c r="H647">
        <f>VLOOKUP(A647&amp;B647,ticker_sector[],2,FALSE)</f>
        <v>6</v>
      </c>
      <c r="I647">
        <f>VLOOKUP(C647,year[],2,FALSE)</f>
        <v>5</v>
      </c>
      <c r="J647">
        <f>VLOOKUP(E647,showing[],2,FALSE)</f>
        <v>1</v>
      </c>
      <c r="K647">
        <f>Сектора[[#This Row],[Значение]]</f>
        <v>298344</v>
      </c>
      <c r="L647" t="str">
        <f t="shared" si="10"/>
        <v>INSERT INTO msfo.statements (id_company, id_year, id_showing, value) VALUES (6,5,1,298344);</v>
      </c>
    </row>
    <row r="648" spans="1:12">
      <c r="A648" s="28" t="s">
        <v>40</v>
      </c>
      <c r="B648" s="28" t="s">
        <v>32</v>
      </c>
      <c r="C648" s="28">
        <v>2016</v>
      </c>
      <c r="D648" s="28" t="s">
        <v>1</v>
      </c>
      <c r="E648" s="28" t="s">
        <v>2</v>
      </c>
      <c r="F648" s="28">
        <v>270624</v>
      </c>
      <c r="H648">
        <f>VLOOKUP(A648&amp;B648,ticker_sector[],2,FALSE)</f>
        <v>6</v>
      </c>
      <c r="I648">
        <f>VLOOKUP(C648,year[],2,FALSE)</f>
        <v>6</v>
      </c>
      <c r="J648">
        <f>VLOOKUP(E648,showing[],2,FALSE)</f>
        <v>1</v>
      </c>
      <c r="K648">
        <f>Сектора[[#This Row],[Значение]]</f>
        <v>270624</v>
      </c>
      <c r="L648" t="str">
        <f t="shared" si="10"/>
        <v>INSERT INTO msfo.statements (id_company, id_year, id_showing, value) VALUES (6,6,1,270624);</v>
      </c>
    </row>
    <row r="649" spans="1:12">
      <c r="A649" s="28" t="s">
        <v>40</v>
      </c>
      <c r="B649" s="28" t="s">
        <v>32</v>
      </c>
      <c r="C649" s="28">
        <v>2017</v>
      </c>
      <c r="D649" s="28" t="s">
        <v>1</v>
      </c>
      <c r="E649" s="28" t="s">
        <v>2</v>
      </c>
      <c r="F649" s="28">
        <v>288376</v>
      </c>
      <c r="H649">
        <f>VLOOKUP(A649&amp;B649,ticker_sector[],2,FALSE)</f>
        <v>6</v>
      </c>
      <c r="I649">
        <f>VLOOKUP(C649,year[],2,FALSE)</f>
        <v>7</v>
      </c>
      <c r="J649">
        <f>VLOOKUP(E649,showing[],2,FALSE)</f>
        <v>1</v>
      </c>
      <c r="K649">
        <f>Сектора[[#This Row],[Значение]]</f>
        <v>288376</v>
      </c>
      <c r="L649" t="str">
        <f t="shared" si="10"/>
        <v>INSERT INTO msfo.statements (id_company, id_year, id_showing, value) VALUES (6,7,1,288376);</v>
      </c>
    </row>
    <row r="650" spans="1:12">
      <c r="A650" s="28" t="s">
        <v>40</v>
      </c>
      <c r="B650" s="28" t="s">
        <v>32</v>
      </c>
      <c r="C650" s="28">
        <v>2010</v>
      </c>
      <c r="D650" s="28" t="s">
        <v>1</v>
      </c>
      <c r="E650" s="28" t="s">
        <v>3</v>
      </c>
      <c r="F650" s="28">
        <v>90973.546499999997</v>
      </c>
      <c r="H650">
        <f>VLOOKUP(A650&amp;B650,ticker_sector[],2,FALSE)</f>
        <v>6</v>
      </c>
      <c r="I650">
        <f>VLOOKUP(C650,year[],2,FALSE)</f>
        <v>0</v>
      </c>
      <c r="J650">
        <f>VLOOKUP(E650,showing[],2,FALSE)</f>
        <v>2</v>
      </c>
      <c r="K650">
        <f>Сектора[[#This Row],[Значение]]</f>
        <v>90973.546499999997</v>
      </c>
      <c r="L650" t="str">
        <f t="shared" si="10"/>
        <v>INSERT INTO msfo.statements (id_company, id_year, id_showing, value) VALUES (6,0,2,90973,5465);</v>
      </c>
    </row>
    <row r="651" spans="1:12">
      <c r="A651" s="28" t="s">
        <v>40</v>
      </c>
      <c r="B651" s="28" t="s">
        <v>32</v>
      </c>
      <c r="C651" s="28">
        <v>2011</v>
      </c>
      <c r="D651" s="28" t="s">
        <v>1</v>
      </c>
      <c r="E651" s="28" t="s">
        <v>3</v>
      </c>
      <c r="F651" s="28">
        <v>105152.4626</v>
      </c>
      <c r="H651">
        <f>VLOOKUP(A651&amp;B651,ticker_sector[],2,FALSE)</f>
        <v>6</v>
      </c>
      <c r="I651">
        <f>VLOOKUP(C651,year[],2,FALSE)</f>
        <v>1</v>
      </c>
      <c r="J651">
        <f>VLOOKUP(E651,showing[],2,FALSE)</f>
        <v>2</v>
      </c>
      <c r="K651">
        <f>Сектора[[#This Row],[Значение]]</f>
        <v>105152.4626</v>
      </c>
      <c r="L651" t="str">
        <f t="shared" si="10"/>
        <v>INSERT INTO msfo.statements (id_company, id_year, id_showing, value) VALUES (6,1,2,105152,4626);</v>
      </c>
    </row>
    <row r="652" spans="1:12">
      <c r="A652" s="28" t="s">
        <v>40</v>
      </c>
      <c r="B652" s="28" t="s">
        <v>32</v>
      </c>
      <c r="C652" s="28">
        <v>2012</v>
      </c>
      <c r="D652" s="28" t="s">
        <v>1</v>
      </c>
      <c r="E652" s="28" t="s">
        <v>3</v>
      </c>
      <c r="F652" s="28">
        <v>94124</v>
      </c>
      <c r="H652">
        <f>VLOOKUP(A652&amp;B652,ticker_sector[],2,FALSE)</f>
        <v>6</v>
      </c>
      <c r="I652">
        <f>VLOOKUP(C652,year[],2,FALSE)</f>
        <v>2</v>
      </c>
      <c r="J652">
        <f>VLOOKUP(E652,showing[],2,FALSE)</f>
        <v>2</v>
      </c>
      <c r="K652">
        <f>Сектора[[#This Row],[Значение]]</f>
        <v>94124</v>
      </c>
      <c r="L652" t="str">
        <f t="shared" si="10"/>
        <v>INSERT INTO msfo.statements (id_company, id_year, id_showing, value) VALUES (6,2,2,94124);</v>
      </c>
    </row>
    <row r="653" spans="1:12">
      <c r="A653" s="28" t="s">
        <v>40</v>
      </c>
      <c r="B653" s="28" t="s">
        <v>32</v>
      </c>
      <c r="C653" s="28">
        <v>2013</v>
      </c>
      <c r="D653" s="28" t="s">
        <v>1</v>
      </c>
      <c r="E653" s="28" t="s">
        <v>3</v>
      </c>
      <c r="F653" s="28">
        <v>81033</v>
      </c>
      <c r="H653">
        <f>VLOOKUP(A653&amp;B653,ticker_sector[],2,FALSE)</f>
        <v>6</v>
      </c>
      <c r="I653">
        <f>VLOOKUP(C653,year[],2,FALSE)</f>
        <v>3</v>
      </c>
      <c r="J653">
        <f>VLOOKUP(E653,showing[],2,FALSE)</f>
        <v>2</v>
      </c>
      <c r="K653">
        <f>Сектора[[#This Row],[Значение]]</f>
        <v>81033</v>
      </c>
      <c r="L653" t="str">
        <f t="shared" si="10"/>
        <v>INSERT INTO msfo.statements (id_company, id_year, id_showing, value) VALUES (6,3,2,81033);</v>
      </c>
    </row>
    <row r="654" spans="1:12">
      <c r="A654" s="28" t="s">
        <v>40</v>
      </c>
      <c r="B654" s="28" t="s">
        <v>32</v>
      </c>
      <c r="C654" s="28">
        <v>2014</v>
      </c>
      <c r="D654" s="28" t="s">
        <v>1</v>
      </c>
      <c r="E654" s="28" t="s">
        <v>3</v>
      </c>
      <c r="F654" s="28">
        <v>127144</v>
      </c>
      <c r="H654">
        <f>VLOOKUP(A654&amp;B654,ticker_sector[],2,FALSE)</f>
        <v>6</v>
      </c>
      <c r="I654">
        <f>VLOOKUP(C654,year[],2,FALSE)</f>
        <v>4</v>
      </c>
      <c r="J654">
        <f>VLOOKUP(E654,showing[],2,FALSE)</f>
        <v>2</v>
      </c>
      <c r="K654">
        <f>Сектора[[#This Row],[Значение]]</f>
        <v>127144</v>
      </c>
      <c r="L654" t="str">
        <f t="shared" si="10"/>
        <v>INSERT INTO msfo.statements (id_company, id_year, id_showing, value) VALUES (6,4,2,127144);</v>
      </c>
    </row>
    <row r="655" spans="1:12">
      <c r="A655" s="28" t="s">
        <v>40</v>
      </c>
      <c r="B655" s="28" t="s">
        <v>32</v>
      </c>
      <c r="C655" s="28">
        <v>2015</v>
      </c>
      <c r="D655" s="28" t="s">
        <v>1</v>
      </c>
      <c r="E655" s="28" t="s">
        <v>3</v>
      </c>
      <c r="F655" s="28">
        <v>150432</v>
      </c>
      <c r="H655">
        <f>VLOOKUP(A655&amp;B655,ticker_sector[],2,FALSE)</f>
        <v>6</v>
      </c>
      <c r="I655">
        <f>VLOOKUP(C655,year[],2,FALSE)</f>
        <v>5</v>
      </c>
      <c r="J655">
        <f>VLOOKUP(E655,showing[],2,FALSE)</f>
        <v>2</v>
      </c>
      <c r="K655">
        <f>Сектора[[#This Row],[Значение]]</f>
        <v>150432</v>
      </c>
      <c r="L655" t="str">
        <f t="shared" si="10"/>
        <v>INSERT INTO msfo.statements (id_company, id_year, id_showing, value) VALUES (6,5,2,150432);</v>
      </c>
    </row>
    <row r="656" spans="1:12">
      <c r="A656" s="28" t="s">
        <v>40</v>
      </c>
      <c r="B656" s="28" t="s">
        <v>32</v>
      </c>
      <c r="C656" s="28">
        <v>2016</v>
      </c>
      <c r="D656" s="28" t="s">
        <v>1</v>
      </c>
      <c r="E656" s="28" t="s">
        <v>3</v>
      </c>
      <c r="F656" s="28">
        <v>123680</v>
      </c>
      <c r="H656">
        <f>VLOOKUP(A656&amp;B656,ticker_sector[],2,FALSE)</f>
        <v>6</v>
      </c>
      <c r="I656">
        <f>VLOOKUP(C656,year[],2,FALSE)</f>
        <v>6</v>
      </c>
      <c r="J656">
        <f>VLOOKUP(E656,showing[],2,FALSE)</f>
        <v>2</v>
      </c>
      <c r="K656">
        <f>Сектора[[#This Row],[Значение]]</f>
        <v>123680</v>
      </c>
      <c r="L656" t="str">
        <f t="shared" si="10"/>
        <v>INSERT INTO msfo.statements (id_company, id_year, id_showing, value) VALUES (6,6,2,123680);</v>
      </c>
    </row>
    <row r="657" spans="1:12">
      <c r="A657" s="28" t="s">
        <v>40</v>
      </c>
      <c r="B657" s="28" t="s">
        <v>32</v>
      </c>
      <c r="C657" s="28">
        <v>2017</v>
      </c>
      <c r="D657" s="28" t="s">
        <v>1</v>
      </c>
      <c r="E657" s="28" t="s">
        <v>3</v>
      </c>
      <c r="F657" s="28">
        <v>168026</v>
      </c>
      <c r="H657">
        <f>VLOOKUP(A657&amp;B657,ticker_sector[],2,FALSE)</f>
        <v>6</v>
      </c>
      <c r="I657">
        <f>VLOOKUP(C657,year[],2,FALSE)</f>
        <v>7</v>
      </c>
      <c r="J657">
        <f>VLOOKUP(E657,showing[],2,FALSE)</f>
        <v>2</v>
      </c>
      <c r="K657">
        <f>Сектора[[#This Row],[Значение]]</f>
        <v>168026</v>
      </c>
      <c r="L657" t="str">
        <f t="shared" si="10"/>
        <v>INSERT INTO msfo.statements (id_company, id_year, id_showing, value) VALUES (6,7,2,168026);</v>
      </c>
    </row>
    <row r="658" spans="1:12">
      <c r="A658" s="28" t="s">
        <v>40</v>
      </c>
      <c r="B658" s="28" t="s">
        <v>32</v>
      </c>
      <c r="C658" s="28">
        <v>2010</v>
      </c>
      <c r="D658" s="28" t="s">
        <v>1</v>
      </c>
      <c r="E658" s="28" t="s">
        <v>5</v>
      </c>
      <c r="F658" s="28">
        <v>510122.35220000002</v>
      </c>
      <c r="H658">
        <f>VLOOKUP(A658&amp;B658,ticker_sector[],2,FALSE)</f>
        <v>6</v>
      </c>
      <c r="I658">
        <f>VLOOKUP(C658,year[],2,FALSE)</f>
        <v>0</v>
      </c>
      <c r="J658">
        <f>VLOOKUP(E658,showing[],2,FALSE)</f>
        <v>3</v>
      </c>
      <c r="K658">
        <f>Сектора[[#This Row],[Значение]]</f>
        <v>510122.35220000002</v>
      </c>
      <c r="L658" t="str">
        <f t="shared" si="10"/>
        <v>INSERT INTO msfo.statements (id_company, id_year, id_showing, value) VALUES (6,0,3,510122,3522);</v>
      </c>
    </row>
    <row r="659" spans="1:12">
      <c r="A659" s="28" t="s">
        <v>40</v>
      </c>
      <c r="B659" s="28" t="s">
        <v>32</v>
      </c>
      <c r="C659" s="28">
        <v>2011</v>
      </c>
      <c r="D659" s="28" t="s">
        <v>1</v>
      </c>
      <c r="E659" s="28" t="s">
        <v>5</v>
      </c>
      <c r="F659" s="28">
        <v>524635.44949999999</v>
      </c>
      <c r="H659">
        <f>VLOOKUP(A659&amp;B659,ticker_sector[],2,FALSE)</f>
        <v>6</v>
      </c>
      <c r="I659">
        <f>VLOOKUP(C659,year[],2,FALSE)</f>
        <v>1</v>
      </c>
      <c r="J659">
        <f>VLOOKUP(E659,showing[],2,FALSE)</f>
        <v>3</v>
      </c>
      <c r="K659">
        <f>Сектора[[#This Row],[Значение]]</f>
        <v>524635.44949999999</v>
      </c>
      <c r="L659" t="str">
        <f t="shared" si="10"/>
        <v>INSERT INTO msfo.statements (id_company, id_year, id_showing, value) VALUES (6,1,3,524635,4495);</v>
      </c>
    </row>
    <row r="660" spans="1:12">
      <c r="A660" s="28" t="s">
        <v>40</v>
      </c>
      <c r="B660" s="28" t="s">
        <v>32</v>
      </c>
      <c r="C660" s="28">
        <v>2012</v>
      </c>
      <c r="D660" s="28" t="s">
        <v>1</v>
      </c>
      <c r="E660" s="28" t="s">
        <v>5</v>
      </c>
      <c r="F660" s="28">
        <v>494837</v>
      </c>
      <c r="H660">
        <f>VLOOKUP(A660&amp;B660,ticker_sector[],2,FALSE)</f>
        <v>6</v>
      </c>
      <c r="I660">
        <f>VLOOKUP(C660,year[],2,FALSE)</f>
        <v>2</v>
      </c>
      <c r="J660">
        <f>VLOOKUP(E660,showing[],2,FALSE)</f>
        <v>3</v>
      </c>
      <c r="K660">
        <f>Сектора[[#This Row],[Значение]]</f>
        <v>494837</v>
      </c>
      <c r="L660" t="str">
        <f t="shared" si="10"/>
        <v>INSERT INTO msfo.statements (id_company, id_year, id_showing, value) VALUES (6,2,3,494837);</v>
      </c>
    </row>
    <row r="661" spans="1:12">
      <c r="A661" s="28" t="s">
        <v>40</v>
      </c>
      <c r="B661" s="28" t="s">
        <v>32</v>
      </c>
      <c r="C661" s="28">
        <v>2013</v>
      </c>
      <c r="D661" s="28" t="s">
        <v>1</v>
      </c>
      <c r="E661" s="28" t="s">
        <v>5</v>
      </c>
      <c r="F661" s="28">
        <v>397570</v>
      </c>
      <c r="H661">
        <f>VLOOKUP(A661&amp;B661,ticker_sector[],2,FALSE)</f>
        <v>6</v>
      </c>
      <c r="I661">
        <f>VLOOKUP(C661,year[],2,FALSE)</f>
        <v>3</v>
      </c>
      <c r="J661">
        <f>VLOOKUP(E661,showing[],2,FALSE)</f>
        <v>3</v>
      </c>
      <c r="K661">
        <f>Сектора[[#This Row],[Значение]]</f>
        <v>397570</v>
      </c>
      <c r="L661" t="str">
        <f t="shared" si="10"/>
        <v>INSERT INTO msfo.statements (id_company, id_year, id_showing, value) VALUES (6,3,3,397570);</v>
      </c>
    </row>
    <row r="662" spans="1:12">
      <c r="A662" s="28" t="s">
        <v>40</v>
      </c>
      <c r="B662" s="28" t="s">
        <v>32</v>
      </c>
      <c r="C662" s="28">
        <v>2014</v>
      </c>
      <c r="D662" s="28" t="s">
        <v>1</v>
      </c>
      <c r="E662" s="28" t="s">
        <v>5</v>
      </c>
      <c r="F662" s="28">
        <v>441995</v>
      </c>
      <c r="H662">
        <f>VLOOKUP(A662&amp;B662,ticker_sector[],2,FALSE)</f>
        <v>6</v>
      </c>
      <c r="I662">
        <f>VLOOKUP(C662,year[],2,FALSE)</f>
        <v>4</v>
      </c>
      <c r="J662">
        <f>VLOOKUP(E662,showing[],2,FALSE)</f>
        <v>3</v>
      </c>
      <c r="K662">
        <f>Сектора[[#This Row],[Значение]]</f>
        <v>441995</v>
      </c>
      <c r="L662" t="str">
        <f t="shared" si="10"/>
        <v>INSERT INTO msfo.statements (id_company, id_year, id_showing, value) VALUES (6,4,3,441995);</v>
      </c>
    </row>
    <row r="663" spans="1:12">
      <c r="A663" s="28" t="s">
        <v>40</v>
      </c>
      <c r="B663" s="28" t="s">
        <v>32</v>
      </c>
      <c r="C663" s="28">
        <v>2015</v>
      </c>
      <c r="D663" s="28" t="s">
        <v>1</v>
      </c>
      <c r="E663" s="28" t="s">
        <v>5</v>
      </c>
      <c r="F663" s="28">
        <v>448776</v>
      </c>
      <c r="H663">
        <f>VLOOKUP(A663&amp;B663,ticker_sector[],2,FALSE)</f>
        <v>6</v>
      </c>
      <c r="I663">
        <f>VLOOKUP(C663,year[],2,FALSE)</f>
        <v>5</v>
      </c>
      <c r="J663">
        <f>VLOOKUP(E663,showing[],2,FALSE)</f>
        <v>3</v>
      </c>
      <c r="K663">
        <f>Сектора[[#This Row],[Значение]]</f>
        <v>448776</v>
      </c>
      <c r="L663" t="str">
        <f t="shared" si="10"/>
        <v>INSERT INTO msfo.statements (id_company, id_year, id_showing, value) VALUES (6,5,3,448776);</v>
      </c>
    </row>
    <row r="664" spans="1:12">
      <c r="A664" s="28" t="s">
        <v>40</v>
      </c>
      <c r="B664" s="28" t="s">
        <v>32</v>
      </c>
      <c r="C664" s="28">
        <v>2016</v>
      </c>
      <c r="D664" s="28" t="s">
        <v>1</v>
      </c>
      <c r="E664" s="28" t="s">
        <v>5</v>
      </c>
      <c r="F664" s="28">
        <v>394304</v>
      </c>
      <c r="H664">
        <f>VLOOKUP(A664&amp;B664,ticker_sector[],2,FALSE)</f>
        <v>6</v>
      </c>
      <c r="I664">
        <f>VLOOKUP(C664,year[],2,FALSE)</f>
        <v>6</v>
      </c>
      <c r="J664">
        <f>VLOOKUP(E664,showing[],2,FALSE)</f>
        <v>3</v>
      </c>
      <c r="K664">
        <f>Сектора[[#This Row],[Значение]]</f>
        <v>394304</v>
      </c>
      <c r="L664" t="str">
        <f t="shared" si="10"/>
        <v>INSERT INTO msfo.statements (id_company, id_year, id_showing, value) VALUES (6,6,3,394304);</v>
      </c>
    </row>
    <row r="665" spans="1:12">
      <c r="A665" s="28" t="s">
        <v>40</v>
      </c>
      <c r="B665" s="28" t="s">
        <v>32</v>
      </c>
      <c r="C665" s="28">
        <v>2017</v>
      </c>
      <c r="D665" s="28" t="s">
        <v>1</v>
      </c>
      <c r="E665" s="28" t="s">
        <v>5</v>
      </c>
      <c r="F665" s="28">
        <v>456402</v>
      </c>
      <c r="H665">
        <f>VLOOKUP(A665&amp;B665,ticker_sector[],2,FALSE)</f>
        <v>6</v>
      </c>
      <c r="I665">
        <f>VLOOKUP(C665,year[],2,FALSE)</f>
        <v>7</v>
      </c>
      <c r="J665">
        <f>VLOOKUP(E665,showing[],2,FALSE)</f>
        <v>3</v>
      </c>
      <c r="K665">
        <f>Сектора[[#This Row],[Значение]]</f>
        <v>456402</v>
      </c>
      <c r="L665" t="str">
        <f t="shared" si="10"/>
        <v>INSERT INTO msfo.statements (id_company, id_year, id_showing, value) VALUES (6,7,3,456402);</v>
      </c>
    </row>
    <row r="666" spans="1:12">
      <c r="A666" s="28" t="s">
        <v>40</v>
      </c>
      <c r="B666" s="28" t="s">
        <v>32</v>
      </c>
      <c r="C666" s="28">
        <v>2010</v>
      </c>
      <c r="D666" s="28" t="s">
        <v>1</v>
      </c>
      <c r="E666" s="28" t="s">
        <v>6</v>
      </c>
      <c r="F666" s="28">
        <v>325676.15340000001</v>
      </c>
      <c r="H666">
        <f>VLOOKUP(A666&amp;B666,ticker_sector[],2,FALSE)</f>
        <v>6</v>
      </c>
      <c r="I666">
        <f>VLOOKUP(C666,year[],2,FALSE)</f>
        <v>0</v>
      </c>
      <c r="J666">
        <f>VLOOKUP(E666,showing[],2,FALSE)</f>
        <v>4</v>
      </c>
      <c r="K666">
        <f>Сектора[[#This Row],[Значение]]</f>
        <v>325676.15340000001</v>
      </c>
      <c r="L666" t="str">
        <f t="shared" si="10"/>
        <v>INSERT INTO msfo.statements (id_company, id_year, id_showing, value) VALUES (6,0,4,325676,1534);</v>
      </c>
    </row>
    <row r="667" spans="1:12">
      <c r="A667" s="28" t="s">
        <v>40</v>
      </c>
      <c r="B667" s="28" t="s">
        <v>32</v>
      </c>
      <c r="C667" s="28">
        <v>2011</v>
      </c>
      <c r="D667" s="28" t="s">
        <v>1</v>
      </c>
      <c r="E667" s="28" t="s">
        <v>6</v>
      </c>
      <c r="F667" s="28">
        <v>304188.75280000002</v>
      </c>
      <c r="H667">
        <f>VLOOKUP(A667&amp;B667,ticker_sector[],2,FALSE)</f>
        <v>6</v>
      </c>
      <c r="I667">
        <f>VLOOKUP(C667,year[],2,FALSE)</f>
        <v>1</v>
      </c>
      <c r="J667">
        <f>VLOOKUP(E667,showing[],2,FALSE)</f>
        <v>4</v>
      </c>
      <c r="K667">
        <f>Сектора[[#This Row],[Значение]]</f>
        <v>304188.75280000002</v>
      </c>
      <c r="L667" t="str">
        <f t="shared" si="10"/>
        <v>INSERT INTO msfo.statements (id_company, id_year, id_showing, value) VALUES (6,1,4,304188,7528);</v>
      </c>
    </row>
    <row r="668" spans="1:12">
      <c r="A668" s="28" t="s">
        <v>40</v>
      </c>
      <c r="B668" s="28" t="s">
        <v>32</v>
      </c>
      <c r="C668" s="28">
        <v>2012</v>
      </c>
      <c r="D668" s="28" t="s">
        <v>1</v>
      </c>
      <c r="E668" s="28" t="s">
        <v>6</v>
      </c>
      <c r="F668" s="28">
        <v>298248</v>
      </c>
      <c r="H668">
        <f>VLOOKUP(A668&amp;B668,ticker_sector[],2,FALSE)</f>
        <v>6</v>
      </c>
      <c r="I668">
        <f>VLOOKUP(C668,year[],2,FALSE)</f>
        <v>2</v>
      </c>
      <c r="J668">
        <f>VLOOKUP(E668,showing[],2,FALSE)</f>
        <v>4</v>
      </c>
      <c r="K668">
        <f>Сектора[[#This Row],[Значение]]</f>
        <v>298248</v>
      </c>
      <c r="L668" t="str">
        <f t="shared" si="10"/>
        <v>INSERT INTO msfo.statements (id_company, id_year, id_showing, value) VALUES (6,2,4,298248);</v>
      </c>
    </row>
    <row r="669" spans="1:12">
      <c r="A669" s="28" t="s">
        <v>40</v>
      </c>
      <c r="B669" s="28" t="s">
        <v>32</v>
      </c>
      <c r="C669" s="28">
        <v>2013</v>
      </c>
      <c r="D669" s="28" t="s">
        <v>1</v>
      </c>
      <c r="E669" s="28" t="s">
        <v>6</v>
      </c>
      <c r="F669" s="28">
        <v>224532</v>
      </c>
      <c r="H669">
        <f>VLOOKUP(A669&amp;B669,ticker_sector[],2,FALSE)</f>
        <v>6</v>
      </c>
      <c r="I669">
        <f>VLOOKUP(C669,year[],2,FALSE)</f>
        <v>3</v>
      </c>
      <c r="J669">
        <f>VLOOKUP(E669,showing[],2,FALSE)</f>
        <v>4</v>
      </c>
      <c r="K669">
        <f>Сектора[[#This Row],[Значение]]</f>
        <v>224532</v>
      </c>
      <c r="L669" t="str">
        <f t="shared" si="10"/>
        <v>INSERT INTO msfo.statements (id_company, id_year, id_showing, value) VALUES (6,3,4,224532);</v>
      </c>
    </row>
    <row r="670" spans="1:12">
      <c r="A670" s="28" t="s">
        <v>40</v>
      </c>
      <c r="B670" s="28" t="s">
        <v>32</v>
      </c>
      <c r="C670" s="28">
        <v>2014</v>
      </c>
      <c r="D670" s="28" t="s">
        <v>1</v>
      </c>
      <c r="E670" s="28" t="s">
        <v>6</v>
      </c>
      <c r="F670" s="28">
        <v>221741</v>
      </c>
      <c r="H670">
        <f>VLOOKUP(A670&amp;B670,ticker_sector[],2,FALSE)</f>
        <v>6</v>
      </c>
      <c r="I670">
        <f>VLOOKUP(C670,year[],2,FALSE)</f>
        <v>4</v>
      </c>
      <c r="J670">
        <f>VLOOKUP(E670,showing[],2,FALSE)</f>
        <v>4</v>
      </c>
      <c r="K670">
        <f>Сектора[[#This Row],[Значение]]</f>
        <v>221741</v>
      </c>
      <c r="L670" t="str">
        <f t="shared" si="10"/>
        <v>INSERT INTO msfo.statements (id_company, id_year, id_showing, value) VALUES (6,4,4,221741);</v>
      </c>
    </row>
    <row r="671" spans="1:12">
      <c r="A671" s="28" t="s">
        <v>40</v>
      </c>
      <c r="B671" s="28" t="s">
        <v>32</v>
      </c>
      <c r="C671" s="28">
        <v>2015</v>
      </c>
      <c r="D671" s="28" t="s">
        <v>1</v>
      </c>
      <c r="E671" s="28" t="s">
        <v>6</v>
      </c>
      <c r="F671" s="28">
        <v>242007</v>
      </c>
      <c r="H671">
        <f>VLOOKUP(A671&amp;B671,ticker_sector[],2,FALSE)</f>
        <v>6</v>
      </c>
      <c r="I671">
        <f>VLOOKUP(C671,year[],2,FALSE)</f>
        <v>5</v>
      </c>
      <c r="J671">
        <f>VLOOKUP(E671,showing[],2,FALSE)</f>
        <v>4</v>
      </c>
      <c r="K671">
        <f>Сектора[[#This Row],[Значение]]</f>
        <v>242007</v>
      </c>
      <c r="L671" t="str">
        <f t="shared" si="10"/>
        <v>INSERT INTO msfo.statements (id_company, id_year, id_showing, value) VALUES (6,5,4,242007);</v>
      </c>
    </row>
    <row r="672" spans="1:12">
      <c r="A672" s="28" t="s">
        <v>40</v>
      </c>
      <c r="B672" s="28" t="s">
        <v>32</v>
      </c>
      <c r="C672" s="28">
        <v>2016</v>
      </c>
      <c r="D672" s="28" t="s">
        <v>1</v>
      </c>
      <c r="E672" s="28" t="s">
        <v>6</v>
      </c>
      <c r="F672" s="28">
        <v>285727</v>
      </c>
      <c r="H672">
        <f>VLOOKUP(A672&amp;B672,ticker_sector[],2,FALSE)</f>
        <v>6</v>
      </c>
      <c r="I672">
        <f>VLOOKUP(C672,year[],2,FALSE)</f>
        <v>6</v>
      </c>
      <c r="J672">
        <f>VLOOKUP(E672,showing[],2,FALSE)</f>
        <v>4</v>
      </c>
      <c r="K672">
        <f>Сектора[[#This Row],[Значение]]</f>
        <v>285727</v>
      </c>
      <c r="L672" t="str">
        <f t="shared" si="10"/>
        <v>INSERT INTO msfo.statements (id_company, id_year, id_showing, value) VALUES (6,6,4,285727);</v>
      </c>
    </row>
    <row r="673" spans="1:12">
      <c r="A673" s="28" t="s">
        <v>40</v>
      </c>
      <c r="B673" s="28" t="s">
        <v>32</v>
      </c>
      <c r="C673" s="28">
        <v>2017</v>
      </c>
      <c r="D673" s="28" t="s">
        <v>1</v>
      </c>
      <c r="E673" s="28" t="s">
        <v>6</v>
      </c>
      <c r="F673" s="28">
        <v>316610</v>
      </c>
      <c r="H673">
        <f>VLOOKUP(A673&amp;B673,ticker_sector[],2,FALSE)</f>
        <v>6</v>
      </c>
      <c r="I673">
        <f>VLOOKUP(C673,year[],2,FALSE)</f>
        <v>7</v>
      </c>
      <c r="J673">
        <f>VLOOKUP(E673,showing[],2,FALSE)</f>
        <v>4</v>
      </c>
      <c r="K673">
        <f>Сектора[[#This Row],[Значение]]</f>
        <v>316610</v>
      </c>
      <c r="L673" t="str">
        <f t="shared" si="10"/>
        <v>INSERT INTO msfo.statements (id_company, id_year, id_showing, value) VALUES (6,7,4,316610);</v>
      </c>
    </row>
    <row r="674" spans="1:12">
      <c r="A674" s="28" t="s">
        <v>40</v>
      </c>
      <c r="B674" s="28" t="s">
        <v>32</v>
      </c>
      <c r="C674" s="28">
        <v>2010</v>
      </c>
      <c r="D674" s="28" t="s">
        <v>1</v>
      </c>
      <c r="E674" s="28" t="s">
        <v>8</v>
      </c>
      <c r="F674" s="28">
        <v>120932.3392</v>
      </c>
      <c r="H674">
        <f>VLOOKUP(A674&amp;B674,ticker_sector[],2,FALSE)</f>
        <v>6</v>
      </c>
      <c r="I674">
        <f>VLOOKUP(C674,year[],2,FALSE)</f>
        <v>0</v>
      </c>
      <c r="J674">
        <f>VLOOKUP(E674,showing[],2,FALSE)</f>
        <v>5</v>
      </c>
      <c r="K674">
        <f>Сектора[[#This Row],[Значение]]</f>
        <v>120932.3392</v>
      </c>
      <c r="L674" t="str">
        <f t="shared" si="10"/>
        <v>INSERT INTO msfo.statements (id_company, id_year, id_showing, value) VALUES (6,0,5,120932,3392);</v>
      </c>
    </row>
    <row r="675" spans="1:12">
      <c r="A675" s="28" t="s">
        <v>40</v>
      </c>
      <c r="B675" s="28" t="s">
        <v>32</v>
      </c>
      <c r="C675" s="28">
        <v>2011</v>
      </c>
      <c r="D675" s="28" t="s">
        <v>1</v>
      </c>
      <c r="E675" s="28" t="s">
        <v>8</v>
      </c>
      <c r="F675" s="28">
        <v>138314.44560000001</v>
      </c>
      <c r="H675">
        <f>VLOOKUP(A675&amp;B675,ticker_sector[],2,FALSE)</f>
        <v>6</v>
      </c>
      <c r="I675">
        <f>VLOOKUP(C675,year[],2,FALSE)</f>
        <v>1</v>
      </c>
      <c r="J675">
        <f>VLOOKUP(E675,showing[],2,FALSE)</f>
        <v>5</v>
      </c>
      <c r="K675">
        <f>Сектора[[#This Row],[Значение]]</f>
        <v>138314.44560000001</v>
      </c>
      <c r="L675" t="str">
        <f t="shared" si="10"/>
        <v>INSERT INTO msfo.statements (id_company, id_year, id_showing, value) VALUES (6,1,5,138314,4456);</v>
      </c>
    </row>
    <row r="676" spans="1:12">
      <c r="A676" s="28" t="s">
        <v>40</v>
      </c>
      <c r="B676" s="28" t="s">
        <v>32</v>
      </c>
      <c r="C676" s="28">
        <v>2012</v>
      </c>
      <c r="D676" s="28" t="s">
        <v>1</v>
      </c>
      <c r="E676" s="28" t="s">
        <v>8</v>
      </c>
      <c r="F676" s="28">
        <v>108521</v>
      </c>
      <c r="H676">
        <f>VLOOKUP(A676&amp;B676,ticker_sector[],2,FALSE)</f>
        <v>6</v>
      </c>
      <c r="I676">
        <f>VLOOKUP(C676,year[],2,FALSE)</f>
        <v>2</v>
      </c>
      <c r="J676">
        <f>VLOOKUP(E676,showing[],2,FALSE)</f>
        <v>5</v>
      </c>
      <c r="K676">
        <f>Сектора[[#This Row],[Значение]]</f>
        <v>108521</v>
      </c>
      <c r="L676" t="str">
        <f t="shared" si="10"/>
        <v>INSERT INTO msfo.statements (id_company, id_year, id_showing, value) VALUES (6,2,5,108521);</v>
      </c>
    </row>
    <row r="677" spans="1:12">
      <c r="A677" s="28" t="s">
        <v>40</v>
      </c>
      <c r="B677" s="28" t="s">
        <v>32</v>
      </c>
      <c r="C677" s="28">
        <v>2013</v>
      </c>
      <c r="D677" s="28" t="s">
        <v>1</v>
      </c>
      <c r="E677" s="28" t="s">
        <v>8</v>
      </c>
      <c r="F677" s="28">
        <v>105454</v>
      </c>
      <c r="H677">
        <f>VLOOKUP(A677&amp;B677,ticker_sector[],2,FALSE)</f>
        <v>6</v>
      </c>
      <c r="I677">
        <f>VLOOKUP(C677,year[],2,FALSE)</f>
        <v>3</v>
      </c>
      <c r="J677">
        <f>VLOOKUP(E677,showing[],2,FALSE)</f>
        <v>5</v>
      </c>
      <c r="K677">
        <f>Сектора[[#This Row],[Значение]]</f>
        <v>105454</v>
      </c>
      <c r="L677" t="str">
        <f t="shared" si="10"/>
        <v>INSERT INTO msfo.statements (id_company, id_year, id_showing, value) VALUES (6,3,5,105454);</v>
      </c>
    </row>
    <row r="678" spans="1:12">
      <c r="A678" s="28" t="s">
        <v>40</v>
      </c>
      <c r="B678" s="28" t="s">
        <v>32</v>
      </c>
      <c r="C678" s="28">
        <v>2014</v>
      </c>
      <c r="D678" s="28" t="s">
        <v>1</v>
      </c>
      <c r="E678" s="28" t="s">
        <v>8</v>
      </c>
      <c r="F678" s="28">
        <v>129788</v>
      </c>
      <c r="H678">
        <f>VLOOKUP(A678&amp;B678,ticker_sector[],2,FALSE)</f>
        <v>6</v>
      </c>
      <c r="I678">
        <f>VLOOKUP(C678,year[],2,FALSE)</f>
        <v>4</v>
      </c>
      <c r="J678">
        <f>VLOOKUP(E678,showing[],2,FALSE)</f>
        <v>5</v>
      </c>
      <c r="K678">
        <f>Сектора[[#This Row],[Значение]]</f>
        <v>129788</v>
      </c>
      <c r="L678" t="str">
        <f t="shared" si="10"/>
        <v>INSERT INTO msfo.statements (id_company, id_year, id_showing, value) VALUES (6,4,5,129788);</v>
      </c>
    </row>
    <row r="679" spans="1:12">
      <c r="A679" s="28" t="s">
        <v>40</v>
      </c>
      <c r="B679" s="28" t="s">
        <v>32</v>
      </c>
      <c r="C679" s="28">
        <v>2015</v>
      </c>
      <c r="D679" s="28" t="s">
        <v>1</v>
      </c>
      <c r="E679" s="28" t="s">
        <v>8</v>
      </c>
      <c r="F679" s="28">
        <v>103202</v>
      </c>
      <c r="H679">
        <f>VLOOKUP(A679&amp;B679,ticker_sector[],2,FALSE)</f>
        <v>6</v>
      </c>
      <c r="I679">
        <f>VLOOKUP(C679,year[],2,FALSE)</f>
        <v>5</v>
      </c>
      <c r="J679">
        <f>VLOOKUP(E679,showing[],2,FALSE)</f>
        <v>5</v>
      </c>
      <c r="K679">
        <f>Сектора[[#This Row],[Значение]]</f>
        <v>103202</v>
      </c>
      <c r="L679" t="str">
        <f t="shared" si="10"/>
        <v>INSERT INTO msfo.statements (id_company, id_year, id_showing, value) VALUES (6,5,5,103202);</v>
      </c>
    </row>
    <row r="680" spans="1:12">
      <c r="A680" s="28" t="s">
        <v>40</v>
      </c>
      <c r="B680" s="28" t="s">
        <v>32</v>
      </c>
      <c r="C680" s="28">
        <v>2016</v>
      </c>
      <c r="D680" s="28" t="s">
        <v>1</v>
      </c>
      <c r="E680" s="28" t="s">
        <v>8</v>
      </c>
      <c r="F680" s="28">
        <v>43855</v>
      </c>
      <c r="H680">
        <f>VLOOKUP(A680&amp;B680,ticker_sector[],2,FALSE)</f>
        <v>6</v>
      </c>
      <c r="I680">
        <f>VLOOKUP(C680,year[],2,FALSE)</f>
        <v>6</v>
      </c>
      <c r="J680">
        <f>VLOOKUP(E680,showing[],2,FALSE)</f>
        <v>5</v>
      </c>
      <c r="K680">
        <f>Сектора[[#This Row],[Значение]]</f>
        <v>43855</v>
      </c>
      <c r="L680" t="str">
        <f t="shared" si="10"/>
        <v>INSERT INTO msfo.statements (id_company, id_year, id_showing, value) VALUES (6,6,5,43855);</v>
      </c>
    </row>
    <row r="681" spans="1:12">
      <c r="A681" s="28" t="s">
        <v>40</v>
      </c>
      <c r="B681" s="28" t="s">
        <v>32</v>
      </c>
      <c r="C681" s="28">
        <v>2017</v>
      </c>
      <c r="D681" s="28" t="s">
        <v>1</v>
      </c>
      <c r="E681" s="28" t="s">
        <v>8</v>
      </c>
      <c r="F681" s="28">
        <v>48659</v>
      </c>
      <c r="H681">
        <f>VLOOKUP(A681&amp;B681,ticker_sector[],2,FALSE)</f>
        <v>6</v>
      </c>
      <c r="I681">
        <f>VLOOKUP(C681,year[],2,FALSE)</f>
        <v>7</v>
      </c>
      <c r="J681">
        <f>VLOOKUP(E681,showing[],2,FALSE)</f>
        <v>5</v>
      </c>
      <c r="K681">
        <f>Сектора[[#This Row],[Значение]]</f>
        <v>48659</v>
      </c>
      <c r="L681" t="str">
        <f t="shared" si="10"/>
        <v>INSERT INTO msfo.statements (id_company, id_year, id_showing, value) VALUES (6,7,5,48659);</v>
      </c>
    </row>
    <row r="682" spans="1:12">
      <c r="A682" s="28" t="s">
        <v>40</v>
      </c>
      <c r="B682" s="28" t="s">
        <v>32</v>
      </c>
      <c r="C682" s="28">
        <v>2010</v>
      </c>
      <c r="D682" s="28" t="s">
        <v>1</v>
      </c>
      <c r="E682" s="28" t="s">
        <v>9</v>
      </c>
      <c r="F682" s="28">
        <v>63513.859600000003</v>
      </c>
      <c r="H682">
        <f>VLOOKUP(A682&amp;B682,ticker_sector[],2,FALSE)</f>
        <v>6</v>
      </c>
      <c r="I682">
        <f>VLOOKUP(C682,year[],2,FALSE)</f>
        <v>0</v>
      </c>
      <c r="J682">
        <f>VLOOKUP(E682,showing[],2,FALSE)</f>
        <v>6</v>
      </c>
      <c r="K682">
        <f>Сектора[[#This Row],[Значение]]</f>
        <v>63513.859600000003</v>
      </c>
      <c r="L682" t="str">
        <f t="shared" si="10"/>
        <v>INSERT INTO msfo.statements (id_company, id_year, id_showing, value) VALUES (6,0,6,63513,8596);</v>
      </c>
    </row>
    <row r="683" spans="1:12">
      <c r="A683" s="28" t="s">
        <v>40</v>
      </c>
      <c r="B683" s="28" t="s">
        <v>32</v>
      </c>
      <c r="C683" s="28">
        <v>2011</v>
      </c>
      <c r="D683" s="28" t="s">
        <v>1</v>
      </c>
      <c r="E683" s="28" t="s">
        <v>9</v>
      </c>
      <c r="F683" s="28">
        <v>82132.251100000009</v>
      </c>
      <c r="H683">
        <f>VLOOKUP(A683&amp;B683,ticker_sector[],2,FALSE)</f>
        <v>6</v>
      </c>
      <c r="I683">
        <f>VLOOKUP(C683,year[],2,FALSE)</f>
        <v>1</v>
      </c>
      <c r="J683">
        <f>VLOOKUP(E683,showing[],2,FALSE)</f>
        <v>6</v>
      </c>
      <c r="K683">
        <f>Сектора[[#This Row],[Значение]]</f>
        <v>82132.251100000009</v>
      </c>
      <c r="L683" t="str">
        <f t="shared" si="10"/>
        <v>INSERT INTO msfo.statements (id_company, id_year, id_showing, value) VALUES (6,1,6,82132,2511);</v>
      </c>
    </row>
    <row r="684" spans="1:12">
      <c r="A684" s="28" t="s">
        <v>40</v>
      </c>
      <c r="B684" s="28" t="s">
        <v>32</v>
      </c>
      <c r="C684" s="28">
        <v>2012</v>
      </c>
      <c r="D684" s="28" t="s">
        <v>1</v>
      </c>
      <c r="E684" s="28" t="s">
        <v>9</v>
      </c>
      <c r="F684" s="28">
        <v>88068</v>
      </c>
      <c r="H684">
        <f>VLOOKUP(A684&amp;B684,ticker_sector[],2,FALSE)</f>
        <v>6</v>
      </c>
      <c r="I684">
        <f>VLOOKUP(C684,year[],2,FALSE)</f>
        <v>2</v>
      </c>
      <c r="J684">
        <f>VLOOKUP(E684,showing[],2,FALSE)</f>
        <v>6</v>
      </c>
      <c r="K684">
        <f>Сектора[[#This Row],[Значение]]</f>
        <v>88068</v>
      </c>
      <c r="L684" t="str">
        <f t="shared" si="10"/>
        <v>INSERT INTO msfo.statements (id_company, id_year, id_showing, value) VALUES (6,2,6,88068);</v>
      </c>
    </row>
    <row r="685" spans="1:12">
      <c r="A685" s="28" t="s">
        <v>40</v>
      </c>
      <c r="B685" s="28" t="s">
        <v>32</v>
      </c>
      <c r="C685" s="28">
        <v>2013</v>
      </c>
      <c r="D685" s="28" t="s">
        <v>1</v>
      </c>
      <c r="E685" s="28" t="s">
        <v>9</v>
      </c>
      <c r="F685" s="28">
        <v>67584</v>
      </c>
      <c r="H685">
        <f>VLOOKUP(A685&amp;B685,ticker_sector[],2,FALSE)</f>
        <v>6</v>
      </c>
      <c r="I685">
        <f>VLOOKUP(C685,year[],2,FALSE)</f>
        <v>3</v>
      </c>
      <c r="J685">
        <f>VLOOKUP(E685,showing[],2,FALSE)</f>
        <v>6</v>
      </c>
      <c r="K685">
        <f>Сектора[[#This Row],[Значение]]</f>
        <v>67584</v>
      </c>
      <c r="L685" t="str">
        <f t="shared" si="10"/>
        <v>INSERT INTO msfo.statements (id_company, id_year, id_showing, value) VALUES (6,3,6,67584);</v>
      </c>
    </row>
    <row r="686" spans="1:12">
      <c r="A686" s="28" t="s">
        <v>40</v>
      </c>
      <c r="B686" s="28" t="s">
        <v>32</v>
      </c>
      <c r="C686" s="28">
        <v>2014</v>
      </c>
      <c r="D686" s="28" t="s">
        <v>1</v>
      </c>
      <c r="E686" s="28" t="s">
        <v>9</v>
      </c>
      <c r="F686" s="28">
        <v>90466</v>
      </c>
      <c r="H686">
        <f>VLOOKUP(A686&amp;B686,ticker_sector[],2,FALSE)</f>
        <v>6</v>
      </c>
      <c r="I686">
        <f>VLOOKUP(C686,year[],2,FALSE)</f>
        <v>4</v>
      </c>
      <c r="J686">
        <f>VLOOKUP(E686,showing[],2,FALSE)</f>
        <v>6</v>
      </c>
      <c r="K686">
        <f>Сектора[[#This Row],[Значение]]</f>
        <v>90466</v>
      </c>
      <c r="L686" t="str">
        <f t="shared" si="10"/>
        <v>INSERT INTO msfo.statements (id_company, id_year, id_showing, value) VALUES (6,4,6,90466);</v>
      </c>
    </row>
    <row r="687" spans="1:12">
      <c r="A687" s="28" t="s">
        <v>40</v>
      </c>
      <c r="B687" s="28" t="s">
        <v>32</v>
      </c>
      <c r="C687" s="28">
        <v>2015</v>
      </c>
      <c r="D687" s="28" t="s">
        <v>1</v>
      </c>
      <c r="E687" s="28" t="s">
        <v>9</v>
      </c>
      <c r="F687" s="28">
        <v>103567</v>
      </c>
      <c r="H687">
        <f>VLOOKUP(A687&amp;B687,ticker_sector[],2,FALSE)</f>
        <v>6</v>
      </c>
      <c r="I687">
        <f>VLOOKUP(C687,year[],2,FALSE)</f>
        <v>5</v>
      </c>
      <c r="J687">
        <f>VLOOKUP(E687,showing[],2,FALSE)</f>
        <v>6</v>
      </c>
      <c r="K687">
        <f>Сектора[[#This Row],[Значение]]</f>
        <v>103567</v>
      </c>
      <c r="L687" t="str">
        <f t="shared" si="10"/>
        <v>INSERT INTO msfo.statements (id_company, id_year, id_showing, value) VALUES (6,5,6,103567);</v>
      </c>
    </row>
    <row r="688" spans="1:12">
      <c r="A688" s="28" t="s">
        <v>40</v>
      </c>
      <c r="B688" s="28" t="s">
        <v>32</v>
      </c>
      <c r="C688" s="28">
        <v>2016</v>
      </c>
      <c r="D688" s="28" t="s">
        <v>1</v>
      </c>
      <c r="E688" s="28" t="s">
        <v>9</v>
      </c>
      <c r="F688" s="28">
        <v>64722</v>
      </c>
      <c r="H688">
        <f>VLOOKUP(A688&amp;B688,ticker_sector[],2,FALSE)</f>
        <v>6</v>
      </c>
      <c r="I688">
        <f>VLOOKUP(C688,year[],2,FALSE)</f>
        <v>6</v>
      </c>
      <c r="J688">
        <f>VLOOKUP(E688,showing[],2,FALSE)</f>
        <v>6</v>
      </c>
      <c r="K688">
        <f>Сектора[[#This Row],[Значение]]</f>
        <v>64722</v>
      </c>
      <c r="L688" t="str">
        <f t="shared" si="10"/>
        <v>INSERT INTO msfo.statements (id_company, id_year, id_showing, value) VALUES (6,6,6,64722);</v>
      </c>
    </row>
    <row r="689" spans="1:12">
      <c r="A689" s="28" t="s">
        <v>40</v>
      </c>
      <c r="B689" s="28" t="s">
        <v>32</v>
      </c>
      <c r="C689" s="28">
        <v>2017</v>
      </c>
      <c r="D689" s="28" t="s">
        <v>1</v>
      </c>
      <c r="E689" s="28" t="s">
        <v>9</v>
      </c>
      <c r="F689" s="28">
        <v>91133</v>
      </c>
      <c r="H689">
        <f>VLOOKUP(A689&amp;B689,ticker_sector[],2,FALSE)</f>
        <v>6</v>
      </c>
      <c r="I689">
        <f>VLOOKUP(C689,year[],2,FALSE)</f>
        <v>7</v>
      </c>
      <c r="J689">
        <f>VLOOKUP(E689,showing[],2,FALSE)</f>
        <v>6</v>
      </c>
      <c r="K689">
        <f>Сектора[[#This Row],[Значение]]</f>
        <v>91133</v>
      </c>
      <c r="L689" t="str">
        <f t="shared" si="10"/>
        <v>INSERT INTO msfo.statements (id_company, id_year, id_showing, value) VALUES (6,7,6,91133);</v>
      </c>
    </row>
    <row r="690" spans="1:12">
      <c r="A690" s="28" t="s">
        <v>40</v>
      </c>
      <c r="B690" s="28" t="s">
        <v>32</v>
      </c>
      <c r="C690" s="28">
        <v>2010</v>
      </c>
      <c r="D690" s="28" t="s">
        <v>1</v>
      </c>
      <c r="E690" s="28" t="s">
        <v>10</v>
      </c>
      <c r="F690" s="28">
        <v>510122.35220000002</v>
      </c>
      <c r="H690">
        <f>VLOOKUP(A690&amp;B690,ticker_sector[],2,FALSE)</f>
        <v>6</v>
      </c>
      <c r="I690">
        <f>VLOOKUP(C690,year[],2,FALSE)</f>
        <v>0</v>
      </c>
      <c r="J690">
        <f>VLOOKUP(E690,showing[],2,FALSE)</f>
        <v>7</v>
      </c>
      <c r="K690">
        <f>Сектора[[#This Row],[Значение]]</f>
        <v>510122.35220000002</v>
      </c>
      <c r="L690" t="str">
        <f t="shared" si="10"/>
        <v>INSERT INTO msfo.statements (id_company, id_year, id_showing, value) VALUES (6,0,7,510122,3522);</v>
      </c>
    </row>
    <row r="691" spans="1:12">
      <c r="A691" s="28" t="s">
        <v>40</v>
      </c>
      <c r="B691" s="28" t="s">
        <v>32</v>
      </c>
      <c r="C691" s="28">
        <v>2011</v>
      </c>
      <c r="D691" s="28" t="s">
        <v>1</v>
      </c>
      <c r="E691" s="28" t="s">
        <v>10</v>
      </c>
      <c r="F691" s="28">
        <v>524635.4495000001</v>
      </c>
      <c r="H691">
        <f>VLOOKUP(A691&amp;B691,ticker_sector[],2,FALSE)</f>
        <v>6</v>
      </c>
      <c r="I691">
        <f>VLOOKUP(C691,year[],2,FALSE)</f>
        <v>1</v>
      </c>
      <c r="J691">
        <f>VLOOKUP(E691,showing[],2,FALSE)</f>
        <v>7</v>
      </c>
      <c r="K691">
        <f>Сектора[[#This Row],[Значение]]</f>
        <v>524635.4495000001</v>
      </c>
      <c r="L691" t="str">
        <f t="shared" si="10"/>
        <v>INSERT INTO msfo.statements (id_company, id_year, id_showing, value) VALUES (6,1,7,524635,4495);</v>
      </c>
    </row>
    <row r="692" spans="1:12">
      <c r="A692" s="28" t="s">
        <v>40</v>
      </c>
      <c r="B692" s="28" t="s">
        <v>32</v>
      </c>
      <c r="C692" s="28">
        <v>2012</v>
      </c>
      <c r="D692" s="28" t="s">
        <v>1</v>
      </c>
      <c r="E692" s="28" t="s">
        <v>10</v>
      </c>
      <c r="F692" s="28">
        <v>494837</v>
      </c>
      <c r="H692">
        <f>VLOOKUP(A692&amp;B692,ticker_sector[],2,FALSE)</f>
        <v>6</v>
      </c>
      <c r="I692">
        <f>VLOOKUP(C692,year[],2,FALSE)</f>
        <v>2</v>
      </c>
      <c r="J692">
        <f>VLOOKUP(E692,showing[],2,FALSE)</f>
        <v>7</v>
      </c>
      <c r="K692">
        <f>Сектора[[#This Row],[Значение]]</f>
        <v>494837</v>
      </c>
      <c r="L692" t="str">
        <f t="shared" si="10"/>
        <v>INSERT INTO msfo.statements (id_company, id_year, id_showing, value) VALUES (6,2,7,494837);</v>
      </c>
    </row>
    <row r="693" spans="1:12">
      <c r="A693" s="28" t="s">
        <v>40</v>
      </c>
      <c r="B693" s="28" t="s">
        <v>32</v>
      </c>
      <c r="C693" s="28">
        <v>2013</v>
      </c>
      <c r="D693" s="28" t="s">
        <v>1</v>
      </c>
      <c r="E693" s="28" t="s">
        <v>10</v>
      </c>
      <c r="F693" s="28">
        <v>397570</v>
      </c>
      <c r="H693">
        <f>VLOOKUP(A693&amp;B693,ticker_sector[],2,FALSE)</f>
        <v>6</v>
      </c>
      <c r="I693">
        <f>VLOOKUP(C693,year[],2,FALSE)</f>
        <v>3</v>
      </c>
      <c r="J693">
        <f>VLOOKUP(E693,showing[],2,FALSE)</f>
        <v>7</v>
      </c>
      <c r="K693">
        <f>Сектора[[#This Row],[Значение]]</f>
        <v>397570</v>
      </c>
      <c r="L693" t="str">
        <f t="shared" si="10"/>
        <v>INSERT INTO msfo.statements (id_company, id_year, id_showing, value) VALUES (6,3,7,397570);</v>
      </c>
    </row>
    <row r="694" spans="1:12">
      <c r="A694" s="28" t="s">
        <v>40</v>
      </c>
      <c r="B694" s="28" t="s">
        <v>32</v>
      </c>
      <c r="C694" s="28">
        <v>2014</v>
      </c>
      <c r="D694" s="28" t="s">
        <v>1</v>
      </c>
      <c r="E694" s="28" t="s">
        <v>10</v>
      </c>
      <c r="F694" s="28">
        <v>441995</v>
      </c>
      <c r="H694">
        <f>VLOOKUP(A694&amp;B694,ticker_sector[],2,FALSE)</f>
        <v>6</v>
      </c>
      <c r="I694">
        <f>VLOOKUP(C694,year[],2,FALSE)</f>
        <v>4</v>
      </c>
      <c r="J694">
        <f>VLOOKUP(E694,showing[],2,FALSE)</f>
        <v>7</v>
      </c>
      <c r="K694">
        <f>Сектора[[#This Row],[Значение]]</f>
        <v>441995</v>
      </c>
      <c r="L694" t="str">
        <f t="shared" si="10"/>
        <v>INSERT INTO msfo.statements (id_company, id_year, id_showing, value) VALUES (6,4,7,441995);</v>
      </c>
    </row>
    <row r="695" spans="1:12">
      <c r="A695" s="28" t="s">
        <v>40</v>
      </c>
      <c r="B695" s="28" t="s">
        <v>32</v>
      </c>
      <c r="C695" s="28">
        <v>2015</v>
      </c>
      <c r="D695" s="28" t="s">
        <v>1</v>
      </c>
      <c r="E695" s="28" t="s">
        <v>10</v>
      </c>
      <c r="F695" s="28">
        <v>448776</v>
      </c>
      <c r="H695">
        <f>VLOOKUP(A695&amp;B695,ticker_sector[],2,FALSE)</f>
        <v>6</v>
      </c>
      <c r="I695">
        <f>VLOOKUP(C695,year[],2,FALSE)</f>
        <v>5</v>
      </c>
      <c r="J695">
        <f>VLOOKUP(E695,showing[],2,FALSE)</f>
        <v>7</v>
      </c>
      <c r="K695">
        <f>Сектора[[#This Row],[Значение]]</f>
        <v>448776</v>
      </c>
      <c r="L695" t="str">
        <f t="shared" si="10"/>
        <v>INSERT INTO msfo.statements (id_company, id_year, id_showing, value) VALUES (6,5,7,448776);</v>
      </c>
    </row>
    <row r="696" spans="1:12">
      <c r="A696" s="28" t="s">
        <v>40</v>
      </c>
      <c r="B696" s="28" t="s">
        <v>32</v>
      </c>
      <c r="C696" s="28">
        <v>2016</v>
      </c>
      <c r="D696" s="28" t="s">
        <v>1</v>
      </c>
      <c r="E696" s="28" t="s">
        <v>10</v>
      </c>
      <c r="F696" s="28">
        <v>394304</v>
      </c>
      <c r="H696">
        <f>VLOOKUP(A696&amp;B696,ticker_sector[],2,FALSE)</f>
        <v>6</v>
      </c>
      <c r="I696">
        <f>VLOOKUP(C696,year[],2,FALSE)</f>
        <v>6</v>
      </c>
      <c r="J696">
        <f>VLOOKUP(E696,showing[],2,FALSE)</f>
        <v>7</v>
      </c>
      <c r="K696">
        <f>Сектора[[#This Row],[Значение]]</f>
        <v>394304</v>
      </c>
      <c r="L696" t="str">
        <f t="shared" si="10"/>
        <v>INSERT INTO msfo.statements (id_company, id_year, id_showing, value) VALUES (6,6,7,394304);</v>
      </c>
    </row>
    <row r="697" spans="1:12">
      <c r="A697" s="28" t="s">
        <v>40</v>
      </c>
      <c r="B697" s="28" t="s">
        <v>32</v>
      </c>
      <c r="C697" s="28">
        <v>2017</v>
      </c>
      <c r="D697" s="28" t="s">
        <v>1</v>
      </c>
      <c r="E697" s="28" t="s">
        <v>10</v>
      </c>
      <c r="F697" s="28">
        <v>456402</v>
      </c>
      <c r="H697">
        <f>VLOOKUP(A697&amp;B697,ticker_sector[],2,FALSE)</f>
        <v>6</v>
      </c>
      <c r="I697">
        <f>VLOOKUP(C697,year[],2,FALSE)</f>
        <v>7</v>
      </c>
      <c r="J697">
        <f>VLOOKUP(E697,showing[],2,FALSE)</f>
        <v>7</v>
      </c>
      <c r="K697">
        <f>Сектора[[#This Row],[Значение]]</f>
        <v>456402</v>
      </c>
      <c r="L697" t="str">
        <f t="shared" si="10"/>
        <v>INSERT INTO msfo.statements (id_company, id_year, id_showing, value) VALUES (6,7,7,456402);</v>
      </c>
    </row>
    <row r="698" spans="1:12">
      <c r="A698" s="28" t="s">
        <v>40</v>
      </c>
      <c r="B698" s="28" t="s">
        <v>32</v>
      </c>
      <c r="C698" s="28">
        <v>2010</v>
      </c>
      <c r="D698" s="28" t="s">
        <v>1</v>
      </c>
      <c r="E698" s="28" t="s">
        <v>11</v>
      </c>
      <c r="F698" s="28">
        <v>0.36157246982913133</v>
      </c>
      <c r="H698">
        <f>VLOOKUP(A698&amp;B698,ticker_sector[],2,FALSE)</f>
        <v>6</v>
      </c>
      <c r="I698">
        <f>VLOOKUP(C698,year[],2,FALSE)</f>
        <v>0</v>
      </c>
      <c r="J698">
        <f>VLOOKUP(E698,showing[],2,FALSE)</f>
        <v>8</v>
      </c>
      <c r="K698">
        <f>Сектора[[#This Row],[Значение]]</f>
        <v>0.36157246982913133</v>
      </c>
      <c r="L698" t="str">
        <f t="shared" si="10"/>
        <v>INSERT INTO msfo.statements (id_company, id_year, id_showing, value) VALUES (6,0,8,0,361572469829131);</v>
      </c>
    </row>
    <row r="699" spans="1:12">
      <c r="A699" s="28" t="s">
        <v>40</v>
      </c>
      <c r="B699" s="28" t="s">
        <v>32</v>
      </c>
      <c r="C699" s="28">
        <v>2011</v>
      </c>
      <c r="D699" s="28" t="s">
        <v>1</v>
      </c>
      <c r="E699" s="28" t="s">
        <v>11</v>
      </c>
      <c r="F699" s="28">
        <v>0.4201902424056459</v>
      </c>
      <c r="H699">
        <f>VLOOKUP(A699&amp;B699,ticker_sector[],2,FALSE)</f>
        <v>6</v>
      </c>
      <c r="I699">
        <f>VLOOKUP(C699,year[],2,FALSE)</f>
        <v>1</v>
      </c>
      <c r="J699">
        <f>VLOOKUP(E699,showing[],2,FALSE)</f>
        <v>8</v>
      </c>
      <c r="K699">
        <f>Сектора[[#This Row],[Значение]]</f>
        <v>0.4201902424056459</v>
      </c>
      <c r="L699" t="str">
        <f t="shared" si="10"/>
        <v>INSERT INTO msfo.statements (id_company, id_year, id_showing, value) VALUES (6,1,8,0,420190242405646);</v>
      </c>
    </row>
    <row r="700" spans="1:12">
      <c r="A700" s="28" t="s">
        <v>40</v>
      </c>
      <c r="B700" s="28" t="s">
        <v>32</v>
      </c>
      <c r="C700" s="28">
        <v>2012</v>
      </c>
      <c r="D700" s="28" t="s">
        <v>1</v>
      </c>
      <c r="E700" s="28" t="s">
        <v>11</v>
      </c>
      <c r="F700" s="28">
        <v>0.39728031654868168</v>
      </c>
      <c r="H700">
        <f>VLOOKUP(A700&amp;B700,ticker_sector[],2,FALSE)</f>
        <v>6</v>
      </c>
      <c r="I700">
        <f>VLOOKUP(C700,year[],2,FALSE)</f>
        <v>2</v>
      </c>
      <c r="J700">
        <f>VLOOKUP(E700,showing[],2,FALSE)</f>
        <v>8</v>
      </c>
      <c r="K700">
        <f>Сектора[[#This Row],[Значение]]</f>
        <v>0.39728031654868168</v>
      </c>
      <c r="L700" t="str">
        <f t="shared" si="10"/>
        <v>INSERT INTO msfo.statements (id_company, id_year, id_showing, value) VALUES (6,2,8,0,397280316548682);</v>
      </c>
    </row>
    <row r="701" spans="1:12">
      <c r="A701" s="28" t="s">
        <v>40</v>
      </c>
      <c r="B701" s="28" t="s">
        <v>32</v>
      </c>
      <c r="C701" s="28">
        <v>2013</v>
      </c>
      <c r="D701" s="28" t="s">
        <v>1</v>
      </c>
      <c r="E701" s="28" t="s">
        <v>11</v>
      </c>
      <c r="F701" s="28">
        <v>0.4352390773951757</v>
      </c>
      <c r="H701">
        <f>VLOOKUP(A701&amp;B701,ticker_sector[],2,FALSE)</f>
        <v>6</v>
      </c>
      <c r="I701">
        <f>VLOOKUP(C701,year[],2,FALSE)</f>
        <v>3</v>
      </c>
      <c r="J701">
        <f>VLOOKUP(E701,showing[],2,FALSE)</f>
        <v>8</v>
      </c>
      <c r="K701">
        <f>Сектора[[#This Row],[Значение]]</f>
        <v>0.4352390773951757</v>
      </c>
      <c r="L701" t="str">
        <f t="shared" si="10"/>
        <v>INSERT INTO msfo.statements (id_company, id_year, id_showing, value) VALUES (6,3,8,0,435239077395176);</v>
      </c>
    </row>
    <row r="702" spans="1:12">
      <c r="A702" s="28" t="s">
        <v>40</v>
      </c>
      <c r="B702" s="28" t="s">
        <v>32</v>
      </c>
      <c r="C702" s="28">
        <v>2014</v>
      </c>
      <c r="D702" s="28" t="s">
        <v>1</v>
      </c>
      <c r="E702" s="28" t="s">
        <v>11</v>
      </c>
      <c r="F702" s="28">
        <v>0.49831785427436964</v>
      </c>
      <c r="H702">
        <f>VLOOKUP(A702&amp;B702,ticker_sector[],2,FALSE)</f>
        <v>6</v>
      </c>
      <c r="I702">
        <f>VLOOKUP(C702,year[],2,FALSE)</f>
        <v>4</v>
      </c>
      <c r="J702">
        <f>VLOOKUP(E702,showing[],2,FALSE)</f>
        <v>8</v>
      </c>
      <c r="K702">
        <f>Сектора[[#This Row],[Значение]]</f>
        <v>0.49831785427436964</v>
      </c>
      <c r="L702" t="str">
        <f t="shared" si="10"/>
        <v>INSERT INTO msfo.statements (id_company, id_year, id_showing, value) VALUES (6,4,8,0,49831785427437);</v>
      </c>
    </row>
    <row r="703" spans="1:12">
      <c r="A703" s="28" t="s">
        <v>40</v>
      </c>
      <c r="B703" s="28" t="s">
        <v>32</v>
      </c>
      <c r="C703" s="28">
        <v>2015</v>
      </c>
      <c r="D703" s="28" t="s">
        <v>1</v>
      </c>
      <c r="E703" s="28" t="s">
        <v>11</v>
      </c>
      <c r="F703" s="28">
        <v>0.4607398791379218</v>
      </c>
      <c r="H703">
        <f>VLOOKUP(A703&amp;B703,ticker_sector[],2,FALSE)</f>
        <v>6</v>
      </c>
      <c r="I703">
        <f>VLOOKUP(C703,year[],2,FALSE)</f>
        <v>5</v>
      </c>
      <c r="J703">
        <f>VLOOKUP(E703,showing[],2,FALSE)</f>
        <v>8</v>
      </c>
      <c r="K703">
        <f>Сектора[[#This Row],[Значение]]</f>
        <v>0.4607398791379218</v>
      </c>
      <c r="L703" t="str">
        <f t="shared" si="10"/>
        <v>INSERT INTO msfo.statements (id_company, id_year, id_showing, value) VALUES (6,5,8,0,460739879137922);</v>
      </c>
    </row>
    <row r="704" spans="1:12">
      <c r="A704" s="28" t="s">
        <v>40</v>
      </c>
      <c r="B704" s="28" t="s">
        <v>32</v>
      </c>
      <c r="C704" s="28">
        <v>2016</v>
      </c>
      <c r="D704" s="28" t="s">
        <v>1</v>
      </c>
      <c r="E704" s="28" t="s">
        <v>11</v>
      </c>
      <c r="F704" s="28">
        <v>0.27536367878591139</v>
      </c>
      <c r="H704">
        <f>VLOOKUP(A704&amp;B704,ticker_sector[],2,FALSE)</f>
        <v>6</v>
      </c>
      <c r="I704">
        <f>VLOOKUP(C704,year[],2,FALSE)</f>
        <v>6</v>
      </c>
      <c r="J704">
        <f>VLOOKUP(E704,showing[],2,FALSE)</f>
        <v>8</v>
      </c>
      <c r="K704">
        <f>Сектора[[#This Row],[Значение]]</f>
        <v>0.27536367878591139</v>
      </c>
      <c r="L704" t="str">
        <f t="shared" si="10"/>
        <v>INSERT INTO msfo.statements (id_company, id_year, id_showing, value) VALUES (6,6,8,0,275363678785911);</v>
      </c>
    </row>
    <row r="705" spans="1:12">
      <c r="A705" s="28" t="s">
        <v>40</v>
      </c>
      <c r="B705" s="28" t="s">
        <v>32</v>
      </c>
      <c r="C705" s="28">
        <v>2017</v>
      </c>
      <c r="D705" s="28" t="s">
        <v>1</v>
      </c>
      <c r="E705" s="28" t="s">
        <v>11</v>
      </c>
      <c r="F705" s="28">
        <v>0.30629138347334151</v>
      </c>
      <c r="H705">
        <f>VLOOKUP(A705&amp;B705,ticker_sector[],2,FALSE)</f>
        <v>6</v>
      </c>
      <c r="I705">
        <f>VLOOKUP(C705,year[],2,FALSE)</f>
        <v>7</v>
      </c>
      <c r="J705">
        <f>VLOOKUP(E705,showing[],2,FALSE)</f>
        <v>8</v>
      </c>
      <c r="K705">
        <f>Сектора[[#This Row],[Значение]]</f>
        <v>0.30629138347334151</v>
      </c>
      <c r="L705" t="str">
        <f t="shared" si="10"/>
        <v>INSERT INTO msfo.statements (id_company, id_year, id_showing, value) VALUES (6,7,8,0,306291383473342);</v>
      </c>
    </row>
    <row r="706" spans="1:12">
      <c r="A706" s="28" t="s">
        <v>40</v>
      </c>
      <c r="B706" s="28" t="s">
        <v>32</v>
      </c>
      <c r="C706" s="28">
        <v>2010</v>
      </c>
      <c r="D706" s="28" t="s">
        <v>4</v>
      </c>
      <c r="E706" s="28" t="s">
        <v>12</v>
      </c>
      <c r="F706" s="28">
        <v>235251.1911</v>
      </c>
      <c r="H706">
        <f>VLOOKUP(A706&amp;B706,ticker_sector[],2,FALSE)</f>
        <v>6</v>
      </c>
      <c r="I706">
        <f>VLOOKUP(C706,year[],2,FALSE)</f>
        <v>0</v>
      </c>
      <c r="J706">
        <f>VLOOKUP(E706,showing[],2,FALSE)</f>
        <v>9</v>
      </c>
      <c r="K706">
        <f>Сектора[[#This Row],[Значение]]</f>
        <v>235251.1911</v>
      </c>
      <c r="L706" t="str">
        <f t="shared" si="10"/>
        <v>INSERT INTO msfo.statements (id_company, id_year, id_showing, value) VALUES (6,0,9,235251,1911);</v>
      </c>
    </row>
    <row r="707" spans="1:12">
      <c r="A707" s="28" t="s">
        <v>40</v>
      </c>
      <c r="B707" s="28" t="s">
        <v>32</v>
      </c>
      <c r="C707" s="28">
        <v>2011</v>
      </c>
      <c r="D707" s="28" t="s">
        <v>4</v>
      </c>
      <c r="E707" s="28" t="s">
        <v>12</v>
      </c>
      <c r="F707" s="28">
        <v>273310</v>
      </c>
      <c r="H707">
        <f>VLOOKUP(A707&amp;B707,ticker_sector[],2,FALSE)</f>
        <v>6</v>
      </c>
      <c r="I707">
        <f>VLOOKUP(C707,year[],2,FALSE)</f>
        <v>1</v>
      </c>
      <c r="J707">
        <f>VLOOKUP(E707,showing[],2,FALSE)</f>
        <v>9</v>
      </c>
      <c r="K707">
        <f>Сектора[[#This Row],[Значение]]</f>
        <v>273310</v>
      </c>
      <c r="L707" t="str">
        <f t="shared" ref="L707:L770" si="11">"INSERT INTO msfo.statements (id_company, id_year, id_showing, value) VALUES ("&amp;H707&amp; ","&amp;I707&amp; ","&amp;J707&amp; ","&amp;K707&amp;");"</f>
        <v>INSERT INTO msfo.statements (id_company, id_year, id_showing, value) VALUES (6,1,9,273310);</v>
      </c>
    </row>
    <row r="708" spans="1:12">
      <c r="A708" s="28" t="s">
        <v>40</v>
      </c>
      <c r="B708" s="28" t="s">
        <v>32</v>
      </c>
      <c r="C708" s="28">
        <v>2012</v>
      </c>
      <c r="D708" s="28" t="s">
        <v>4</v>
      </c>
      <c r="E708" s="28" t="s">
        <v>12</v>
      </c>
      <c r="F708" s="28">
        <v>289885</v>
      </c>
      <c r="H708">
        <f>VLOOKUP(A708&amp;B708,ticker_sector[],2,FALSE)</f>
        <v>6</v>
      </c>
      <c r="I708">
        <f>VLOOKUP(C708,year[],2,FALSE)</f>
        <v>2</v>
      </c>
      <c r="J708">
        <f>VLOOKUP(E708,showing[],2,FALSE)</f>
        <v>9</v>
      </c>
      <c r="K708">
        <f>Сектора[[#This Row],[Значение]]</f>
        <v>289885</v>
      </c>
      <c r="L708" t="str">
        <f t="shared" si="11"/>
        <v>INSERT INTO msfo.statements (id_company, id_year, id_showing, value) VALUES (6,2,9,289885);</v>
      </c>
    </row>
    <row r="709" spans="1:12">
      <c r="A709" s="28" t="s">
        <v>40</v>
      </c>
      <c r="B709" s="28" t="s">
        <v>32</v>
      </c>
      <c r="C709" s="28">
        <v>2013</v>
      </c>
      <c r="D709" s="28" t="s">
        <v>4</v>
      </c>
      <c r="E709" s="28" t="s">
        <v>12</v>
      </c>
      <c r="F709" s="28">
        <v>260485</v>
      </c>
      <c r="H709">
        <f>VLOOKUP(A709&amp;B709,ticker_sector[],2,FALSE)</f>
        <v>6</v>
      </c>
      <c r="I709">
        <f>VLOOKUP(C709,year[],2,FALSE)</f>
        <v>3</v>
      </c>
      <c r="J709">
        <f>VLOOKUP(E709,showing[],2,FALSE)</f>
        <v>9</v>
      </c>
      <c r="K709">
        <f>Сектора[[#This Row],[Значение]]</f>
        <v>260485</v>
      </c>
      <c r="L709" t="str">
        <f t="shared" si="11"/>
        <v>INSERT INTO msfo.statements (id_company, id_year, id_showing, value) VALUES (6,3,9,260485);</v>
      </c>
    </row>
    <row r="710" spans="1:12">
      <c r="A710" s="28" t="s">
        <v>40</v>
      </c>
      <c r="B710" s="28" t="s">
        <v>32</v>
      </c>
      <c r="C710" s="28">
        <v>2014</v>
      </c>
      <c r="D710" s="28" t="s">
        <v>4</v>
      </c>
      <c r="E710" s="28" t="s">
        <v>12</v>
      </c>
      <c r="F710" s="28">
        <v>302767</v>
      </c>
      <c r="H710">
        <f>VLOOKUP(A710&amp;B710,ticker_sector[],2,FALSE)</f>
        <v>6</v>
      </c>
      <c r="I710">
        <f>VLOOKUP(C710,year[],2,FALSE)</f>
        <v>4</v>
      </c>
      <c r="J710">
        <f>VLOOKUP(E710,showing[],2,FALSE)</f>
        <v>9</v>
      </c>
      <c r="K710">
        <f>Сектора[[#This Row],[Значение]]</f>
        <v>302767</v>
      </c>
      <c r="L710" t="str">
        <f t="shared" si="11"/>
        <v>INSERT INTO msfo.statements (id_company, id_year, id_showing, value) VALUES (6,4,9,302767);</v>
      </c>
    </row>
    <row r="711" spans="1:12">
      <c r="A711" s="28" t="s">
        <v>40</v>
      </c>
      <c r="B711" s="28" t="s">
        <v>32</v>
      </c>
      <c r="C711" s="28">
        <v>2015</v>
      </c>
      <c r="D711" s="28" t="s">
        <v>4</v>
      </c>
      <c r="E711" s="28" t="s">
        <v>12</v>
      </c>
      <c r="F711" s="28">
        <v>354144</v>
      </c>
      <c r="H711">
        <f>VLOOKUP(A711&amp;B711,ticker_sector[],2,FALSE)</f>
        <v>6</v>
      </c>
      <c r="I711">
        <f>VLOOKUP(C711,year[],2,FALSE)</f>
        <v>5</v>
      </c>
      <c r="J711">
        <f>VLOOKUP(E711,showing[],2,FALSE)</f>
        <v>9</v>
      </c>
      <c r="K711">
        <f>Сектора[[#This Row],[Значение]]</f>
        <v>354144</v>
      </c>
      <c r="L711" t="str">
        <f t="shared" si="11"/>
        <v>INSERT INTO msfo.statements (id_company, id_year, id_showing, value) VALUES (6,5,9,354144);</v>
      </c>
    </row>
    <row r="712" spans="1:12">
      <c r="A712" s="28" t="s">
        <v>40</v>
      </c>
      <c r="B712" s="28" t="s">
        <v>32</v>
      </c>
      <c r="C712" s="28">
        <v>2016</v>
      </c>
      <c r="D712" s="28" t="s">
        <v>4</v>
      </c>
      <c r="E712" s="28" t="s">
        <v>12</v>
      </c>
      <c r="F712" s="28">
        <v>373699</v>
      </c>
      <c r="H712">
        <f>VLOOKUP(A712&amp;B712,ticker_sector[],2,FALSE)</f>
        <v>6</v>
      </c>
      <c r="I712">
        <f>VLOOKUP(C712,year[],2,FALSE)</f>
        <v>6</v>
      </c>
      <c r="J712">
        <f>VLOOKUP(E712,showing[],2,FALSE)</f>
        <v>9</v>
      </c>
      <c r="K712">
        <f>Сектора[[#This Row],[Значение]]</f>
        <v>373699</v>
      </c>
      <c r="L712" t="str">
        <f t="shared" si="11"/>
        <v>INSERT INTO msfo.statements (id_company, id_year, id_showing, value) VALUES (6,6,9,373699);</v>
      </c>
    </row>
    <row r="713" spans="1:12">
      <c r="A713" s="28" t="s">
        <v>40</v>
      </c>
      <c r="B713" s="28" t="s">
        <v>32</v>
      </c>
      <c r="C713" s="28">
        <v>2017</v>
      </c>
      <c r="D713" s="28" t="s">
        <v>4</v>
      </c>
      <c r="E713" s="28" t="s">
        <v>12</v>
      </c>
      <c r="F713" s="28">
        <v>439972</v>
      </c>
      <c r="H713">
        <f>VLOOKUP(A713&amp;B713,ticker_sector[],2,FALSE)</f>
        <v>6</v>
      </c>
      <c r="I713">
        <f>VLOOKUP(C713,year[],2,FALSE)</f>
        <v>7</v>
      </c>
      <c r="J713">
        <f>VLOOKUP(E713,showing[],2,FALSE)</f>
        <v>9</v>
      </c>
      <c r="K713">
        <f>Сектора[[#This Row],[Значение]]</f>
        <v>439972</v>
      </c>
      <c r="L713" t="str">
        <f t="shared" si="11"/>
        <v>INSERT INTO msfo.statements (id_company, id_year, id_showing, value) VALUES (6,7,9,439972);</v>
      </c>
    </row>
    <row r="714" spans="1:12">
      <c r="A714" s="28" t="s">
        <v>40</v>
      </c>
      <c r="B714" s="28" t="s">
        <v>32</v>
      </c>
      <c r="C714" s="28">
        <v>2010</v>
      </c>
      <c r="D714" s="28" t="s">
        <v>4</v>
      </c>
      <c r="E714" s="28" t="s">
        <v>13</v>
      </c>
      <c r="F714" s="28">
        <v>7741.1325999999999</v>
      </c>
      <c r="H714">
        <f>VLOOKUP(A714&amp;B714,ticker_sector[],2,FALSE)</f>
        <v>6</v>
      </c>
      <c r="I714">
        <f>VLOOKUP(C714,year[],2,FALSE)</f>
        <v>0</v>
      </c>
      <c r="J714">
        <f>VLOOKUP(E714,showing[],2,FALSE)</f>
        <v>10</v>
      </c>
      <c r="K714">
        <f>Сектора[[#This Row],[Значение]]</f>
        <v>7741.1325999999999</v>
      </c>
      <c r="L714" t="str">
        <f t="shared" si="11"/>
        <v>INSERT INTO msfo.statements (id_company, id_year, id_showing, value) VALUES (6,0,10,7741,1326);</v>
      </c>
    </row>
    <row r="715" spans="1:12">
      <c r="A715" s="28" t="s">
        <v>40</v>
      </c>
      <c r="B715" s="28" t="s">
        <v>32</v>
      </c>
      <c r="C715" s="28">
        <v>2011</v>
      </c>
      <c r="D715" s="28" t="s">
        <v>4</v>
      </c>
      <c r="E715" s="28" t="s">
        <v>13</v>
      </c>
      <c r="F715" s="28">
        <v>-3500</v>
      </c>
      <c r="H715">
        <f>VLOOKUP(A715&amp;B715,ticker_sector[],2,FALSE)</f>
        <v>6</v>
      </c>
      <c r="I715">
        <f>VLOOKUP(C715,year[],2,FALSE)</f>
        <v>1</v>
      </c>
      <c r="J715">
        <f>VLOOKUP(E715,showing[],2,FALSE)</f>
        <v>10</v>
      </c>
      <c r="K715">
        <f>Сектора[[#This Row],[Значение]]</f>
        <v>-3500</v>
      </c>
      <c r="L715" t="str">
        <f t="shared" si="11"/>
        <v>INSERT INTO msfo.statements (id_company, id_year, id_showing, value) VALUES (6,1,10,-3500);</v>
      </c>
    </row>
    <row r="716" spans="1:12">
      <c r="A716" s="28" t="s">
        <v>40</v>
      </c>
      <c r="B716" s="28" t="s">
        <v>32</v>
      </c>
      <c r="C716" s="28">
        <v>2012</v>
      </c>
      <c r="D716" s="28" t="s">
        <v>4</v>
      </c>
      <c r="E716" s="28" t="s">
        <v>13</v>
      </c>
      <c r="F716" s="28">
        <v>-2852</v>
      </c>
      <c r="H716">
        <f>VLOOKUP(A716&amp;B716,ticker_sector[],2,FALSE)</f>
        <v>6</v>
      </c>
      <c r="I716">
        <f>VLOOKUP(C716,year[],2,FALSE)</f>
        <v>2</v>
      </c>
      <c r="J716">
        <f>VLOOKUP(E716,showing[],2,FALSE)</f>
        <v>10</v>
      </c>
      <c r="K716">
        <f>Сектора[[#This Row],[Значение]]</f>
        <v>-2852</v>
      </c>
      <c r="L716" t="str">
        <f t="shared" si="11"/>
        <v>INSERT INTO msfo.statements (id_company, id_year, id_showing, value) VALUES (6,2,10,-2852);</v>
      </c>
    </row>
    <row r="717" spans="1:12">
      <c r="A717" s="28" t="s">
        <v>40</v>
      </c>
      <c r="B717" s="28" t="s">
        <v>32</v>
      </c>
      <c r="C717" s="28">
        <v>2013</v>
      </c>
      <c r="D717" s="28" t="s">
        <v>4</v>
      </c>
      <c r="E717" s="28" t="s">
        <v>13</v>
      </c>
      <c r="F717" s="28">
        <v>-78443</v>
      </c>
      <c r="H717">
        <f>VLOOKUP(A717&amp;B717,ticker_sector[],2,FALSE)</f>
        <v>6</v>
      </c>
      <c r="I717">
        <f>VLOOKUP(C717,year[],2,FALSE)</f>
        <v>3</v>
      </c>
      <c r="J717">
        <f>VLOOKUP(E717,showing[],2,FALSE)</f>
        <v>10</v>
      </c>
      <c r="K717">
        <f>Сектора[[#This Row],[Значение]]</f>
        <v>-78443</v>
      </c>
      <c r="L717" t="str">
        <f t="shared" si="11"/>
        <v>INSERT INTO msfo.statements (id_company, id_year, id_showing, value) VALUES (6,3,10,-78443);</v>
      </c>
    </row>
    <row r="718" spans="1:12">
      <c r="A718" s="28" t="s">
        <v>40</v>
      </c>
      <c r="B718" s="28" t="s">
        <v>32</v>
      </c>
      <c r="C718" s="28">
        <v>2014</v>
      </c>
      <c r="D718" s="28" t="s">
        <v>4</v>
      </c>
      <c r="E718" s="28" t="s">
        <v>13</v>
      </c>
      <c r="F718" s="28">
        <v>-3381</v>
      </c>
      <c r="H718">
        <f>VLOOKUP(A718&amp;B718,ticker_sector[],2,FALSE)</f>
        <v>6</v>
      </c>
      <c r="I718">
        <f>VLOOKUP(C718,year[],2,FALSE)</f>
        <v>4</v>
      </c>
      <c r="J718">
        <f>VLOOKUP(E718,showing[],2,FALSE)</f>
        <v>10</v>
      </c>
      <c r="K718">
        <f>Сектора[[#This Row],[Значение]]</f>
        <v>-3381</v>
      </c>
      <c r="L718" t="str">
        <f t="shared" si="11"/>
        <v>INSERT INTO msfo.statements (id_company, id_year, id_showing, value) VALUES (6,4,10,-3381);</v>
      </c>
    </row>
    <row r="719" spans="1:12">
      <c r="A719" s="28" t="s">
        <v>40</v>
      </c>
      <c r="B719" s="28" t="s">
        <v>32</v>
      </c>
      <c r="C719" s="28">
        <v>2015</v>
      </c>
      <c r="D719" s="28" t="s">
        <v>4</v>
      </c>
      <c r="E719" s="28" t="s">
        <v>13</v>
      </c>
      <c r="F719" s="28">
        <v>22319</v>
      </c>
      <c r="H719">
        <f>VLOOKUP(A719&amp;B719,ticker_sector[],2,FALSE)</f>
        <v>6</v>
      </c>
      <c r="I719">
        <f>VLOOKUP(C719,year[],2,FALSE)</f>
        <v>5</v>
      </c>
      <c r="J719">
        <f>VLOOKUP(E719,showing[],2,FALSE)</f>
        <v>10</v>
      </c>
      <c r="K719">
        <f>Сектора[[#This Row],[Значение]]</f>
        <v>22319</v>
      </c>
      <c r="L719" t="str">
        <f t="shared" si="11"/>
        <v>INSERT INTO msfo.statements (id_company, id_year, id_showing, value) VALUES (6,5,10,22319);</v>
      </c>
    </row>
    <row r="720" spans="1:12">
      <c r="A720" s="28" t="s">
        <v>40</v>
      </c>
      <c r="B720" s="28" t="s">
        <v>32</v>
      </c>
      <c r="C720" s="28">
        <v>2016</v>
      </c>
      <c r="D720" s="28" t="s">
        <v>4</v>
      </c>
      <c r="E720" s="28" t="s">
        <v>13</v>
      </c>
      <c r="F720" s="28">
        <v>73432</v>
      </c>
      <c r="H720">
        <f>VLOOKUP(A720&amp;B720,ticker_sector[],2,FALSE)</f>
        <v>6</v>
      </c>
      <c r="I720">
        <f>VLOOKUP(C720,year[],2,FALSE)</f>
        <v>6</v>
      </c>
      <c r="J720">
        <f>VLOOKUP(E720,showing[],2,FALSE)</f>
        <v>10</v>
      </c>
      <c r="K720">
        <f>Сектора[[#This Row],[Значение]]</f>
        <v>73432</v>
      </c>
      <c r="L720" t="str">
        <f t="shared" si="11"/>
        <v>INSERT INTO msfo.statements (id_company, id_year, id_showing, value) VALUES (6,6,10,73432);</v>
      </c>
    </row>
    <row r="721" spans="1:12">
      <c r="A721" s="28" t="s">
        <v>40</v>
      </c>
      <c r="B721" s="28" t="s">
        <v>32</v>
      </c>
      <c r="C721" s="28">
        <v>2017</v>
      </c>
      <c r="D721" s="28" t="s">
        <v>4</v>
      </c>
      <c r="E721" s="28" t="s">
        <v>13</v>
      </c>
      <c r="F721" s="28">
        <v>69242</v>
      </c>
      <c r="H721">
        <f>VLOOKUP(A721&amp;B721,ticker_sector[],2,FALSE)</f>
        <v>6</v>
      </c>
      <c r="I721">
        <f>VLOOKUP(C721,year[],2,FALSE)</f>
        <v>7</v>
      </c>
      <c r="J721">
        <f>VLOOKUP(E721,showing[],2,FALSE)</f>
        <v>10</v>
      </c>
      <c r="K721">
        <f>Сектора[[#This Row],[Значение]]</f>
        <v>69242</v>
      </c>
      <c r="L721" t="str">
        <f t="shared" si="11"/>
        <v>INSERT INTO msfo.statements (id_company, id_year, id_showing, value) VALUES (6,7,10,69242);</v>
      </c>
    </row>
    <row r="722" spans="1:12">
      <c r="A722" s="28" t="s">
        <v>40</v>
      </c>
      <c r="B722" s="28" t="s">
        <v>32</v>
      </c>
      <c r="C722" s="28">
        <v>2010</v>
      </c>
      <c r="D722" s="28" t="s">
        <v>4</v>
      </c>
      <c r="E722" s="28" t="s">
        <v>14</v>
      </c>
      <c r="F722" s="28">
        <v>7719</v>
      </c>
      <c r="H722">
        <f>VLOOKUP(A722&amp;B722,ticker_sector[],2,FALSE)</f>
        <v>6</v>
      </c>
      <c r="I722">
        <f>VLOOKUP(C722,year[],2,FALSE)</f>
        <v>0</v>
      </c>
      <c r="J722">
        <f>VLOOKUP(E722,showing[],2,FALSE)</f>
        <v>11</v>
      </c>
      <c r="K722">
        <f>Сектора[[#This Row],[Значение]]</f>
        <v>7719</v>
      </c>
      <c r="L722" t="str">
        <f t="shared" si="11"/>
        <v>INSERT INTO msfo.statements (id_company, id_year, id_showing, value) VALUES (6,0,11,7719);</v>
      </c>
    </row>
    <row r="723" spans="1:12">
      <c r="A723" s="28" t="s">
        <v>40</v>
      </c>
      <c r="B723" s="28" t="s">
        <v>32</v>
      </c>
      <c r="C723" s="28">
        <v>2011</v>
      </c>
      <c r="D723" s="28" t="s">
        <v>4</v>
      </c>
      <c r="E723" s="28" t="s">
        <v>14</v>
      </c>
      <c r="F723" s="28">
        <v>8488.9163594348374</v>
      </c>
      <c r="H723">
        <f>VLOOKUP(A723&amp;B723,ticker_sector[],2,FALSE)</f>
        <v>6</v>
      </c>
      <c r="I723">
        <f>VLOOKUP(C723,year[],2,FALSE)</f>
        <v>1</v>
      </c>
      <c r="J723">
        <f>VLOOKUP(E723,showing[],2,FALSE)</f>
        <v>11</v>
      </c>
      <c r="K723">
        <f>Сектора[[#This Row],[Значение]]</f>
        <v>8488.9163594348374</v>
      </c>
      <c r="L723" t="str">
        <f t="shared" si="11"/>
        <v>INSERT INTO msfo.statements (id_company, id_year, id_showing, value) VALUES (6,1,11,8488,91635943484);</v>
      </c>
    </row>
    <row r="724" spans="1:12">
      <c r="A724" s="28" t="s">
        <v>40</v>
      </c>
      <c r="B724" s="28" t="s">
        <v>32</v>
      </c>
      <c r="C724" s="28">
        <v>2012</v>
      </c>
      <c r="D724" s="28" t="s">
        <v>4</v>
      </c>
      <c r="E724" s="28" t="s">
        <v>14</v>
      </c>
      <c r="F724" s="28">
        <v>9544.2617877238445</v>
      </c>
      <c r="H724">
        <f>VLOOKUP(A724&amp;B724,ticker_sector[],2,FALSE)</f>
        <v>6</v>
      </c>
      <c r="I724">
        <f>VLOOKUP(C724,year[],2,FALSE)</f>
        <v>2</v>
      </c>
      <c r="J724">
        <f>VLOOKUP(E724,showing[],2,FALSE)</f>
        <v>11</v>
      </c>
      <c r="K724">
        <f>Сектора[[#This Row],[Значение]]</f>
        <v>9544.2617877238445</v>
      </c>
      <c r="L724" t="str">
        <f t="shared" si="11"/>
        <v>INSERT INTO msfo.statements (id_company, id_year, id_showing, value) VALUES (6,2,11,9544,26178772384);</v>
      </c>
    </row>
    <row r="725" spans="1:12">
      <c r="A725" s="28" t="s">
        <v>40</v>
      </c>
      <c r="B725" s="28" t="s">
        <v>32</v>
      </c>
      <c r="C725" s="28">
        <v>2013</v>
      </c>
      <c r="D725" s="28" t="s">
        <v>4</v>
      </c>
      <c r="E725" s="28" t="s">
        <v>14</v>
      </c>
      <c r="F725" s="28">
        <v>7958.7952042824145</v>
      </c>
      <c r="H725">
        <f>VLOOKUP(A725&amp;B725,ticker_sector[],2,FALSE)</f>
        <v>6</v>
      </c>
      <c r="I725">
        <f>VLOOKUP(C725,year[],2,FALSE)</f>
        <v>3</v>
      </c>
      <c r="J725">
        <f>VLOOKUP(E725,showing[],2,FALSE)</f>
        <v>11</v>
      </c>
      <c r="K725">
        <f>Сектора[[#This Row],[Значение]]</f>
        <v>7958.7952042824145</v>
      </c>
      <c r="L725" t="str">
        <f t="shared" si="11"/>
        <v>INSERT INTO msfo.statements (id_company, id_year, id_showing, value) VALUES (6,3,11,7958,79520428241);</v>
      </c>
    </row>
    <row r="726" spans="1:12">
      <c r="A726" s="28" t="s">
        <v>40</v>
      </c>
      <c r="B726" s="28" t="s">
        <v>32</v>
      </c>
      <c r="C726" s="28">
        <v>2014</v>
      </c>
      <c r="D726" s="28" t="s">
        <v>4</v>
      </c>
      <c r="E726" s="28" t="s">
        <v>14</v>
      </c>
      <c r="F726" s="28">
        <v>5381.7207741421726</v>
      </c>
      <c r="H726">
        <f>VLOOKUP(A726&amp;B726,ticker_sector[],2,FALSE)</f>
        <v>6</v>
      </c>
      <c r="I726">
        <f>VLOOKUP(C726,year[],2,FALSE)</f>
        <v>4</v>
      </c>
      <c r="J726">
        <f>VLOOKUP(E726,showing[],2,FALSE)</f>
        <v>11</v>
      </c>
      <c r="K726">
        <f>Сектора[[#This Row],[Значение]]</f>
        <v>5381.7207741421726</v>
      </c>
      <c r="L726" t="str">
        <f t="shared" si="11"/>
        <v>INSERT INTO msfo.statements (id_company, id_year, id_showing, value) VALUES (6,4,11,5381,72077414217);</v>
      </c>
    </row>
    <row r="727" spans="1:12">
      <c r="A727" s="28" t="s">
        <v>40</v>
      </c>
      <c r="B727" s="28" t="s">
        <v>32</v>
      </c>
      <c r="C727" s="28">
        <v>2015</v>
      </c>
      <c r="D727" s="28" t="s">
        <v>4</v>
      </c>
      <c r="E727" s="28" t="s">
        <v>14</v>
      </c>
      <c r="F727" s="28">
        <v>4859.0955055177701</v>
      </c>
      <c r="H727">
        <f>VLOOKUP(A727&amp;B727,ticker_sector[],2,FALSE)</f>
        <v>6</v>
      </c>
      <c r="I727">
        <f>VLOOKUP(C727,year[],2,FALSE)</f>
        <v>5</v>
      </c>
      <c r="J727">
        <f>VLOOKUP(E727,showing[],2,FALSE)</f>
        <v>11</v>
      </c>
      <c r="K727">
        <f>Сектора[[#This Row],[Значение]]</f>
        <v>4859.0955055177701</v>
      </c>
      <c r="L727" t="str">
        <f t="shared" si="11"/>
        <v>INSERT INTO msfo.statements (id_company, id_year, id_showing, value) VALUES (6,5,11,4859,09550551777);</v>
      </c>
    </row>
    <row r="728" spans="1:12">
      <c r="A728" s="28" t="s">
        <v>40</v>
      </c>
      <c r="B728" s="28" t="s">
        <v>32</v>
      </c>
      <c r="C728" s="28">
        <v>2016</v>
      </c>
      <c r="D728" s="28" t="s">
        <v>4</v>
      </c>
      <c r="E728" s="28" t="s">
        <v>14</v>
      </c>
      <c r="F728" s="28">
        <v>6160.8654580105476</v>
      </c>
      <c r="H728">
        <f>VLOOKUP(A728&amp;B728,ticker_sector[],2,FALSE)</f>
        <v>6</v>
      </c>
      <c r="I728">
        <f>VLOOKUP(C728,year[],2,FALSE)</f>
        <v>6</v>
      </c>
      <c r="J728">
        <f>VLOOKUP(E728,showing[],2,FALSE)</f>
        <v>11</v>
      </c>
      <c r="K728">
        <f>Сектора[[#This Row],[Значение]]</f>
        <v>6160.8654580105476</v>
      </c>
      <c r="L728" t="str">
        <f t="shared" si="11"/>
        <v>INSERT INTO msfo.statements (id_company, id_year, id_showing, value) VALUES (6,6,11,6160,86545801055);</v>
      </c>
    </row>
    <row r="729" spans="1:12">
      <c r="A729" s="28" t="s">
        <v>40</v>
      </c>
      <c r="B729" s="28" t="s">
        <v>32</v>
      </c>
      <c r="C729" s="28">
        <v>2017</v>
      </c>
      <c r="D729" s="28" t="s">
        <v>4</v>
      </c>
      <c r="E729" s="28" t="s">
        <v>14</v>
      </c>
      <c r="F729" s="28">
        <v>7638.3762556380016</v>
      </c>
      <c r="H729">
        <f>VLOOKUP(A729&amp;B729,ticker_sector[],2,FALSE)</f>
        <v>6</v>
      </c>
      <c r="I729">
        <f>VLOOKUP(C729,year[],2,FALSE)</f>
        <v>7</v>
      </c>
      <c r="J729">
        <f>VLOOKUP(E729,showing[],2,FALSE)</f>
        <v>11</v>
      </c>
      <c r="K729">
        <f>Сектора[[#This Row],[Значение]]</f>
        <v>7638.3762556380016</v>
      </c>
      <c r="L729" t="str">
        <f t="shared" si="11"/>
        <v>INSERT INTO msfo.statements (id_company, id_year, id_showing, value) VALUES (6,7,11,7638,376255638);</v>
      </c>
    </row>
    <row r="730" spans="1:12">
      <c r="A730" s="28" t="s">
        <v>40</v>
      </c>
      <c r="B730" s="28" t="s">
        <v>32</v>
      </c>
      <c r="C730" s="28">
        <v>2010</v>
      </c>
      <c r="D730" s="28" t="s">
        <v>4</v>
      </c>
      <c r="E730" s="28" t="s">
        <v>15</v>
      </c>
      <c r="F730" s="28">
        <v>254</v>
      </c>
      <c r="H730">
        <f>VLOOKUP(A730&amp;B730,ticker_sector[],2,FALSE)</f>
        <v>6</v>
      </c>
      <c r="I730">
        <f>VLOOKUP(C730,year[],2,FALSE)</f>
        <v>0</v>
      </c>
      <c r="J730">
        <f>VLOOKUP(E730,showing[],2,FALSE)</f>
        <v>12</v>
      </c>
      <c r="K730">
        <f>Сектора[[#This Row],[Значение]]</f>
        <v>254</v>
      </c>
      <c r="L730" t="str">
        <f t="shared" si="11"/>
        <v>INSERT INTO msfo.statements (id_company, id_year, id_showing, value) VALUES (6,0,12,254);</v>
      </c>
    </row>
    <row r="731" spans="1:12">
      <c r="A731" s="28" t="s">
        <v>40</v>
      </c>
      <c r="B731" s="28" t="s">
        <v>32</v>
      </c>
      <c r="C731" s="28">
        <v>2011</v>
      </c>
      <c r="D731" s="28" t="s">
        <v>4</v>
      </c>
      <c r="E731" s="28" t="s">
        <v>15</v>
      </c>
      <c r="F731" s="28">
        <v>-108.70881876997524</v>
      </c>
      <c r="H731">
        <f>VLOOKUP(A731&amp;B731,ticker_sector[],2,FALSE)</f>
        <v>6</v>
      </c>
      <c r="I731">
        <f>VLOOKUP(C731,year[],2,FALSE)</f>
        <v>1</v>
      </c>
      <c r="J731">
        <f>VLOOKUP(E731,showing[],2,FALSE)</f>
        <v>12</v>
      </c>
      <c r="K731">
        <f>Сектора[[#This Row],[Значение]]</f>
        <v>-108.70881876997524</v>
      </c>
      <c r="L731" t="str">
        <f t="shared" si="11"/>
        <v>INSERT INTO msfo.statements (id_company, id_year, id_showing, value) VALUES (6,1,12,-108,708818769975);</v>
      </c>
    </row>
    <row r="732" spans="1:12">
      <c r="A732" s="28" t="s">
        <v>40</v>
      </c>
      <c r="B732" s="28" t="s">
        <v>32</v>
      </c>
      <c r="C732" s="28">
        <v>2012</v>
      </c>
      <c r="D732" s="28" t="s">
        <v>4</v>
      </c>
      <c r="E732" s="28" t="s">
        <v>15</v>
      </c>
      <c r="F732" s="28">
        <v>-93.90011424733396</v>
      </c>
      <c r="H732">
        <f>VLOOKUP(A732&amp;B732,ticker_sector[],2,FALSE)</f>
        <v>6</v>
      </c>
      <c r="I732">
        <f>VLOOKUP(C732,year[],2,FALSE)</f>
        <v>2</v>
      </c>
      <c r="J732">
        <f>VLOOKUP(E732,showing[],2,FALSE)</f>
        <v>12</v>
      </c>
      <c r="K732">
        <f>Сектора[[#This Row],[Значение]]</f>
        <v>-93.90011424733396</v>
      </c>
      <c r="L732" t="str">
        <f t="shared" si="11"/>
        <v>INSERT INTO msfo.statements (id_company, id_year, id_showing, value) VALUES (6,2,12,-93,900114247334);</v>
      </c>
    </row>
    <row r="733" spans="1:12">
      <c r="A733" s="28" t="s">
        <v>40</v>
      </c>
      <c r="B733" s="28" t="s">
        <v>32</v>
      </c>
      <c r="C733" s="28">
        <v>2013</v>
      </c>
      <c r="D733" s="28" t="s">
        <v>4</v>
      </c>
      <c r="E733" s="28" t="s">
        <v>15</v>
      </c>
      <c r="F733" s="28">
        <v>-2396.7283037776665</v>
      </c>
      <c r="H733">
        <f>VLOOKUP(A733&amp;B733,ticker_sector[],2,FALSE)</f>
        <v>6</v>
      </c>
      <c r="I733">
        <f>VLOOKUP(C733,year[],2,FALSE)</f>
        <v>3</v>
      </c>
      <c r="J733">
        <f>VLOOKUP(E733,showing[],2,FALSE)</f>
        <v>12</v>
      </c>
      <c r="K733">
        <f>Сектора[[#This Row],[Значение]]</f>
        <v>-2396.7283037776665</v>
      </c>
      <c r="L733" t="str">
        <f t="shared" si="11"/>
        <v>INSERT INTO msfo.statements (id_company, id_year, id_showing, value) VALUES (6,3,12,-2396,72830377767);</v>
      </c>
    </row>
    <row r="734" spans="1:12">
      <c r="A734" s="28" t="s">
        <v>40</v>
      </c>
      <c r="B734" s="28" t="s">
        <v>32</v>
      </c>
      <c r="C734" s="28">
        <v>2014</v>
      </c>
      <c r="D734" s="28" t="s">
        <v>4</v>
      </c>
      <c r="E734" s="28" t="s">
        <v>15</v>
      </c>
      <c r="F734" s="28">
        <v>-60.097692077983019</v>
      </c>
      <c r="H734">
        <f>VLOOKUP(A734&amp;B734,ticker_sector[],2,FALSE)</f>
        <v>6</v>
      </c>
      <c r="I734">
        <f>VLOOKUP(C734,year[],2,FALSE)</f>
        <v>4</v>
      </c>
      <c r="J734">
        <f>VLOOKUP(E734,showing[],2,FALSE)</f>
        <v>12</v>
      </c>
      <c r="K734">
        <f>Сектора[[#This Row],[Значение]]</f>
        <v>-60.097692077983019</v>
      </c>
      <c r="L734" t="str">
        <f t="shared" si="11"/>
        <v>INSERT INTO msfo.statements (id_company, id_year, id_showing, value) VALUES (6,4,12,-60,097692077983);</v>
      </c>
    </row>
    <row r="735" spans="1:12">
      <c r="A735" s="28" t="s">
        <v>40</v>
      </c>
      <c r="B735" s="28" t="s">
        <v>32</v>
      </c>
      <c r="C735" s="28">
        <v>2015</v>
      </c>
      <c r="D735" s="28" t="s">
        <v>4</v>
      </c>
      <c r="E735" s="28" t="s">
        <v>15</v>
      </c>
      <c r="F735" s="28">
        <v>306.23179437644325</v>
      </c>
      <c r="H735">
        <f>VLOOKUP(A735&amp;B735,ticker_sector[],2,FALSE)</f>
        <v>6</v>
      </c>
      <c r="I735">
        <f>VLOOKUP(C735,year[],2,FALSE)</f>
        <v>5</v>
      </c>
      <c r="J735">
        <f>VLOOKUP(E735,showing[],2,FALSE)</f>
        <v>12</v>
      </c>
      <c r="K735">
        <f>Сектора[[#This Row],[Значение]]</f>
        <v>306.23179437644325</v>
      </c>
      <c r="L735" t="str">
        <f t="shared" si="11"/>
        <v>INSERT INTO msfo.statements (id_company, id_year, id_showing, value) VALUES (6,5,12,306,231794376443);</v>
      </c>
    </row>
    <row r="736" spans="1:12">
      <c r="A736" s="28" t="s">
        <v>40</v>
      </c>
      <c r="B736" s="28" t="s">
        <v>32</v>
      </c>
      <c r="C736" s="28">
        <v>2016</v>
      </c>
      <c r="D736" s="28" t="s">
        <v>4</v>
      </c>
      <c r="E736" s="28" t="s">
        <v>15</v>
      </c>
      <c r="F736" s="28">
        <v>1210.6124777230621</v>
      </c>
      <c r="H736">
        <f>VLOOKUP(A736&amp;B736,ticker_sector[],2,FALSE)</f>
        <v>6</v>
      </c>
      <c r="I736">
        <f>VLOOKUP(C736,year[],2,FALSE)</f>
        <v>6</v>
      </c>
      <c r="J736">
        <f>VLOOKUP(E736,showing[],2,FALSE)</f>
        <v>12</v>
      </c>
      <c r="K736">
        <f>Сектора[[#This Row],[Значение]]</f>
        <v>1210.6124777230621</v>
      </c>
      <c r="L736" t="str">
        <f t="shared" si="11"/>
        <v>INSERT INTO msfo.statements (id_company, id_year, id_showing, value) VALUES (6,6,12,1210,61247772306);</v>
      </c>
    </row>
    <row r="737" spans="1:12">
      <c r="A737" s="28" t="s">
        <v>40</v>
      </c>
      <c r="B737" s="28" t="s">
        <v>32</v>
      </c>
      <c r="C737" s="28">
        <v>2017</v>
      </c>
      <c r="D737" s="28" t="s">
        <v>4</v>
      </c>
      <c r="E737" s="28" t="s">
        <v>15</v>
      </c>
      <c r="F737" s="28">
        <v>1202.1138815490224</v>
      </c>
      <c r="H737">
        <f>VLOOKUP(A737&amp;B737,ticker_sector[],2,FALSE)</f>
        <v>6</v>
      </c>
      <c r="I737">
        <f>VLOOKUP(C737,year[],2,FALSE)</f>
        <v>7</v>
      </c>
      <c r="J737">
        <f>VLOOKUP(E737,showing[],2,FALSE)</f>
        <v>12</v>
      </c>
      <c r="K737">
        <f>Сектора[[#This Row],[Значение]]</f>
        <v>1202.1138815490224</v>
      </c>
      <c r="L737" t="str">
        <f t="shared" si="11"/>
        <v>INSERT INTO msfo.statements (id_company, id_year, id_showing, value) VALUES (6,7,12,1202,11388154902);</v>
      </c>
    </row>
    <row r="738" spans="1:12">
      <c r="A738" s="28" t="s">
        <v>40</v>
      </c>
      <c r="B738" s="28" t="s">
        <v>32</v>
      </c>
      <c r="C738" s="28">
        <v>2010</v>
      </c>
      <c r="D738" s="28" t="s">
        <v>7</v>
      </c>
      <c r="E738" s="28" t="s">
        <v>16</v>
      </c>
      <c r="F738" s="28">
        <v>36480.849300000002</v>
      </c>
      <c r="H738">
        <f>VLOOKUP(A738&amp;B738,ticker_sector[],2,FALSE)</f>
        <v>6</v>
      </c>
      <c r="I738">
        <f>VLOOKUP(C738,year[],2,FALSE)</f>
        <v>0</v>
      </c>
      <c r="J738">
        <f>VLOOKUP(E738,showing[],2,FALSE)</f>
        <v>13</v>
      </c>
      <c r="K738">
        <f>Сектора[[#This Row],[Значение]]</f>
        <v>36480.849300000002</v>
      </c>
      <c r="L738" t="str">
        <f t="shared" si="11"/>
        <v>INSERT INTO msfo.statements (id_company, id_year, id_showing, value) VALUES (6,0,13,36480,8493);</v>
      </c>
    </row>
    <row r="739" spans="1:12">
      <c r="A739" s="28" t="s">
        <v>40</v>
      </c>
      <c r="B739" s="28" t="s">
        <v>32</v>
      </c>
      <c r="C739" s="28">
        <v>2011</v>
      </c>
      <c r="D739" s="28" t="s">
        <v>7</v>
      </c>
      <c r="E739" s="28" t="s">
        <v>16</v>
      </c>
      <c r="F739" s="28">
        <v>27808</v>
      </c>
      <c r="H739">
        <f>VLOOKUP(A739&amp;B739,ticker_sector[],2,FALSE)</f>
        <v>6</v>
      </c>
      <c r="I739">
        <f>VLOOKUP(C739,year[],2,FALSE)</f>
        <v>1</v>
      </c>
      <c r="J739">
        <f>VLOOKUP(E739,showing[],2,FALSE)</f>
        <v>13</v>
      </c>
      <c r="K739">
        <f>Сектора[[#This Row],[Значение]]</f>
        <v>27808</v>
      </c>
      <c r="L739" t="str">
        <f t="shared" si="11"/>
        <v>INSERT INTO msfo.statements (id_company, id_year, id_showing, value) VALUES (6,1,13,27808);</v>
      </c>
    </row>
    <row r="740" spans="1:12">
      <c r="A740" s="28" t="s">
        <v>40</v>
      </c>
      <c r="B740" s="28" t="s">
        <v>32</v>
      </c>
      <c r="C740" s="28">
        <v>2012</v>
      </c>
      <c r="D740" s="28" t="s">
        <v>7</v>
      </c>
      <c r="E740" s="28" t="s">
        <v>16</v>
      </c>
      <c r="F740" s="28">
        <v>28943</v>
      </c>
      <c r="H740">
        <f>VLOOKUP(A740&amp;B740,ticker_sector[],2,FALSE)</f>
        <v>6</v>
      </c>
      <c r="I740">
        <f>VLOOKUP(C740,year[],2,FALSE)</f>
        <v>2</v>
      </c>
      <c r="J740">
        <f>VLOOKUP(E740,showing[],2,FALSE)</f>
        <v>13</v>
      </c>
      <c r="K740">
        <f>Сектора[[#This Row],[Значение]]</f>
        <v>28943</v>
      </c>
      <c r="L740" t="str">
        <f t="shared" si="11"/>
        <v>INSERT INTO msfo.statements (id_company, id_year, id_showing, value) VALUES (6,2,13,28943);</v>
      </c>
    </row>
    <row r="741" spans="1:12">
      <c r="A741" s="28" t="s">
        <v>40</v>
      </c>
      <c r="B741" s="28" t="s">
        <v>32</v>
      </c>
      <c r="C741" s="28">
        <v>2013</v>
      </c>
      <c r="D741" s="28" t="s">
        <v>7</v>
      </c>
      <c r="E741" s="28" t="s">
        <v>16</v>
      </c>
      <c r="F741" s="28">
        <v>27490</v>
      </c>
      <c r="H741">
        <f>VLOOKUP(A741&amp;B741,ticker_sector[],2,FALSE)</f>
        <v>6</v>
      </c>
      <c r="I741">
        <f>VLOOKUP(C741,year[],2,FALSE)</f>
        <v>3</v>
      </c>
      <c r="J741">
        <f>VLOOKUP(E741,showing[],2,FALSE)</f>
        <v>13</v>
      </c>
      <c r="K741">
        <f>Сектора[[#This Row],[Значение]]</f>
        <v>27490</v>
      </c>
      <c r="L741" t="str">
        <f t="shared" si="11"/>
        <v>INSERT INTO msfo.statements (id_company, id_year, id_showing, value) VALUES (6,3,13,27490);</v>
      </c>
    </row>
    <row r="742" spans="1:12">
      <c r="A742" s="28" t="s">
        <v>40</v>
      </c>
      <c r="B742" s="28" t="s">
        <v>32</v>
      </c>
      <c r="C742" s="28">
        <v>2014</v>
      </c>
      <c r="D742" s="28" t="s">
        <v>7</v>
      </c>
      <c r="E742" s="28" t="s">
        <v>16</v>
      </c>
      <c r="F742" s="28">
        <v>51766</v>
      </c>
      <c r="H742">
        <f>VLOOKUP(A742&amp;B742,ticker_sector[],2,FALSE)</f>
        <v>6</v>
      </c>
      <c r="I742">
        <f>VLOOKUP(C742,year[],2,FALSE)</f>
        <v>4</v>
      </c>
      <c r="J742">
        <f>VLOOKUP(E742,showing[],2,FALSE)</f>
        <v>13</v>
      </c>
      <c r="K742">
        <f>Сектора[[#This Row],[Значение]]</f>
        <v>51766</v>
      </c>
      <c r="L742" t="str">
        <f t="shared" si="11"/>
        <v>INSERT INTO msfo.statements (id_company, id_year, id_showing, value) VALUES (6,4,13,51766);</v>
      </c>
    </row>
    <row r="743" spans="1:12">
      <c r="A743" s="28" t="s">
        <v>40</v>
      </c>
      <c r="B743" s="28" t="s">
        <v>32</v>
      </c>
      <c r="C743" s="28">
        <v>2015</v>
      </c>
      <c r="D743" s="28" t="s">
        <v>7</v>
      </c>
      <c r="E743" s="28" t="s">
        <v>16</v>
      </c>
      <c r="F743" s="28">
        <v>83302</v>
      </c>
      <c r="H743">
        <f>VLOOKUP(A743&amp;B743,ticker_sector[],2,FALSE)</f>
        <v>6</v>
      </c>
      <c r="I743">
        <f>VLOOKUP(C743,year[],2,FALSE)</f>
        <v>5</v>
      </c>
      <c r="J743">
        <f>VLOOKUP(E743,showing[],2,FALSE)</f>
        <v>13</v>
      </c>
      <c r="K743">
        <f>Сектора[[#This Row],[Значение]]</f>
        <v>83302</v>
      </c>
      <c r="L743" t="str">
        <f t="shared" si="11"/>
        <v>INSERT INTO msfo.statements (id_company, id_year, id_showing, value) VALUES (6,5,13,83302);</v>
      </c>
    </row>
    <row r="744" spans="1:12">
      <c r="A744" s="28" t="s">
        <v>40</v>
      </c>
      <c r="B744" s="28" t="s">
        <v>32</v>
      </c>
      <c r="C744" s="28">
        <v>2016</v>
      </c>
      <c r="D744" s="28" t="s">
        <v>7</v>
      </c>
      <c r="E744" s="28" t="s">
        <v>16</v>
      </c>
      <c r="F744" s="28">
        <v>83214</v>
      </c>
      <c r="H744">
        <f>VLOOKUP(A744&amp;B744,ticker_sector[],2,FALSE)</f>
        <v>6</v>
      </c>
      <c r="I744">
        <f>VLOOKUP(C744,year[],2,FALSE)</f>
        <v>6</v>
      </c>
      <c r="J744">
        <f>VLOOKUP(E744,showing[],2,FALSE)</f>
        <v>13</v>
      </c>
      <c r="K744">
        <f>Сектора[[#This Row],[Значение]]</f>
        <v>83214</v>
      </c>
      <c r="L744" t="str">
        <f t="shared" si="11"/>
        <v>INSERT INTO msfo.statements (id_company, id_year, id_showing, value) VALUES (6,6,13,83214);</v>
      </c>
    </row>
    <row r="745" spans="1:12">
      <c r="A745" s="28" t="s">
        <v>40</v>
      </c>
      <c r="B745" s="28" t="s">
        <v>32</v>
      </c>
      <c r="C745" s="28">
        <v>2017</v>
      </c>
      <c r="D745" s="28" t="s">
        <v>7</v>
      </c>
      <c r="E745" s="28" t="s">
        <v>16</v>
      </c>
      <c r="F745" s="28">
        <v>83873</v>
      </c>
      <c r="H745">
        <f>VLOOKUP(A745&amp;B745,ticker_sector[],2,FALSE)</f>
        <v>6</v>
      </c>
      <c r="I745">
        <f>VLOOKUP(C745,year[],2,FALSE)</f>
        <v>7</v>
      </c>
      <c r="J745">
        <f>VLOOKUP(E745,showing[],2,FALSE)</f>
        <v>13</v>
      </c>
      <c r="K745">
        <f>Сектора[[#This Row],[Значение]]</f>
        <v>83873</v>
      </c>
      <c r="L745" t="str">
        <f t="shared" si="11"/>
        <v>INSERT INTO msfo.statements (id_company, id_year, id_showing, value) VALUES (6,7,13,83873);</v>
      </c>
    </row>
    <row r="746" spans="1:12">
      <c r="A746" s="28" t="s">
        <v>40</v>
      </c>
      <c r="B746" s="28" t="s">
        <v>32</v>
      </c>
      <c r="C746" s="28">
        <v>2010</v>
      </c>
      <c r="D746" s="28" t="s">
        <v>7</v>
      </c>
      <c r="E746" s="28" t="s">
        <v>17</v>
      </c>
      <c r="F746" s="28">
        <v>1197</v>
      </c>
      <c r="H746">
        <f>VLOOKUP(A746&amp;B746,ticker_sector[],2,FALSE)</f>
        <v>6</v>
      </c>
      <c r="I746">
        <f>VLOOKUP(C746,year[],2,FALSE)</f>
        <v>0</v>
      </c>
      <c r="J746">
        <f>VLOOKUP(E746,showing[],2,FALSE)</f>
        <v>14</v>
      </c>
      <c r="K746">
        <f>Сектора[[#This Row],[Значение]]</f>
        <v>1197</v>
      </c>
      <c r="L746" t="str">
        <f t="shared" si="11"/>
        <v>INSERT INTO msfo.statements (id_company, id_year, id_showing, value) VALUES (6,0,14,1197);</v>
      </c>
    </row>
    <row r="747" spans="1:12">
      <c r="A747" s="28" t="s">
        <v>40</v>
      </c>
      <c r="B747" s="28" t="s">
        <v>32</v>
      </c>
      <c r="C747" s="28">
        <v>2011</v>
      </c>
      <c r="D747" s="28" t="s">
        <v>7</v>
      </c>
      <c r="E747" s="28" t="s">
        <v>17</v>
      </c>
      <c r="F747" s="28">
        <v>863.70709495870619</v>
      </c>
      <c r="H747">
        <f>VLOOKUP(A747&amp;B747,ticker_sector[],2,FALSE)</f>
        <v>6</v>
      </c>
      <c r="I747">
        <f>VLOOKUP(C747,year[],2,FALSE)</f>
        <v>1</v>
      </c>
      <c r="J747">
        <f>VLOOKUP(E747,showing[],2,FALSE)</f>
        <v>14</v>
      </c>
      <c r="K747">
        <f>Сектора[[#This Row],[Значение]]</f>
        <v>863.70709495870619</v>
      </c>
      <c r="L747" t="str">
        <f t="shared" si="11"/>
        <v>INSERT INTO msfo.statements (id_company, id_year, id_showing, value) VALUES (6,1,14,863,707094958706);</v>
      </c>
    </row>
    <row r="748" spans="1:12">
      <c r="A748" s="28" t="s">
        <v>40</v>
      </c>
      <c r="B748" s="28" t="s">
        <v>32</v>
      </c>
      <c r="C748" s="28">
        <v>2012</v>
      </c>
      <c r="D748" s="28" t="s">
        <v>7</v>
      </c>
      <c r="E748" s="28" t="s">
        <v>17</v>
      </c>
      <c r="F748" s="28">
        <v>952.92812295251997</v>
      </c>
      <c r="H748">
        <f>VLOOKUP(A748&amp;B748,ticker_sector[],2,FALSE)</f>
        <v>6</v>
      </c>
      <c r="I748">
        <f>VLOOKUP(C748,year[],2,FALSE)</f>
        <v>2</v>
      </c>
      <c r="J748">
        <f>VLOOKUP(E748,showing[],2,FALSE)</f>
        <v>14</v>
      </c>
      <c r="K748">
        <f>Сектора[[#This Row],[Значение]]</f>
        <v>952.92812295251997</v>
      </c>
      <c r="L748" t="str">
        <f t="shared" si="11"/>
        <v>INSERT INTO msfo.statements (id_company, id_year, id_showing, value) VALUES (6,2,14,952,92812295252);</v>
      </c>
    </row>
    <row r="749" spans="1:12">
      <c r="A749" s="28" t="s">
        <v>40</v>
      </c>
      <c r="B749" s="28" t="s">
        <v>32</v>
      </c>
      <c r="C749" s="28">
        <v>2013</v>
      </c>
      <c r="D749" s="28" t="s">
        <v>7</v>
      </c>
      <c r="E749" s="28" t="s">
        <v>17</v>
      </c>
      <c r="F749" s="28">
        <v>839.92276010412718</v>
      </c>
      <c r="H749">
        <f>VLOOKUP(A749&amp;B749,ticker_sector[],2,FALSE)</f>
        <v>6</v>
      </c>
      <c r="I749">
        <f>VLOOKUP(C749,year[],2,FALSE)</f>
        <v>3</v>
      </c>
      <c r="J749">
        <f>VLOOKUP(E749,showing[],2,FALSE)</f>
        <v>14</v>
      </c>
      <c r="K749">
        <f>Сектора[[#This Row],[Значение]]</f>
        <v>839.92276010412718</v>
      </c>
      <c r="L749" t="str">
        <f t="shared" si="11"/>
        <v>INSERT INTO msfo.statements (id_company, id_year, id_showing, value) VALUES (6,3,14,839,922760104127);</v>
      </c>
    </row>
    <row r="750" spans="1:12">
      <c r="A750" s="28" t="s">
        <v>40</v>
      </c>
      <c r="B750" s="28" t="s">
        <v>32</v>
      </c>
      <c r="C750" s="28">
        <v>2014</v>
      </c>
      <c r="D750" s="28" t="s">
        <v>7</v>
      </c>
      <c r="E750" s="28" t="s">
        <v>17</v>
      </c>
      <c r="F750" s="28">
        <v>920.14703582042853</v>
      </c>
      <c r="H750">
        <f>VLOOKUP(A750&amp;B750,ticker_sector[],2,FALSE)</f>
        <v>6</v>
      </c>
      <c r="I750">
        <f>VLOOKUP(C750,year[],2,FALSE)</f>
        <v>4</v>
      </c>
      <c r="J750">
        <f>VLOOKUP(E750,showing[],2,FALSE)</f>
        <v>14</v>
      </c>
      <c r="K750">
        <f>Сектора[[#This Row],[Значение]]</f>
        <v>920.14703582042853</v>
      </c>
      <c r="L750" t="str">
        <f t="shared" si="11"/>
        <v>INSERT INTO msfo.statements (id_company, id_year, id_showing, value) VALUES (6,4,14,920,147035820429);</v>
      </c>
    </row>
    <row r="751" spans="1:12">
      <c r="A751" s="28" t="s">
        <v>40</v>
      </c>
      <c r="B751" s="28" t="s">
        <v>32</v>
      </c>
      <c r="C751" s="28">
        <v>2015</v>
      </c>
      <c r="D751" s="28" t="s">
        <v>7</v>
      </c>
      <c r="E751" s="28" t="s">
        <v>17</v>
      </c>
      <c r="F751" s="28">
        <v>1142.9598519264516</v>
      </c>
      <c r="H751">
        <f>VLOOKUP(A751&amp;B751,ticker_sector[],2,FALSE)</f>
        <v>6</v>
      </c>
      <c r="I751">
        <f>VLOOKUP(C751,year[],2,FALSE)</f>
        <v>5</v>
      </c>
      <c r="J751">
        <f>VLOOKUP(E751,showing[],2,FALSE)</f>
        <v>14</v>
      </c>
      <c r="K751">
        <f>Сектора[[#This Row],[Значение]]</f>
        <v>1142.9598519264516</v>
      </c>
      <c r="L751" t="str">
        <f t="shared" si="11"/>
        <v>INSERT INTO msfo.statements (id_company, id_year, id_showing, value) VALUES (6,5,14,1142,95985192645);</v>
      </c>
    </row>
    <row r="752" spans="1:12">
      <c r="A752" s="28" t="s">
        <v>40</v>
      </c>
      <c r="B752" s="28" t="s">
        <v>32</v>
      </c>
      <c r="C752" s="28">
        <v>2016</v>
      </c>
      <c r="D752" s="28" t="s">
        <v>7</v>
      </c>
      <c r="E752" s="28" t="s">
        <v>17</v>
      </c>
      <c r="F752" s="28">
        <v>1371.8801982956597</v>
      </c>
      <c r="H752">
        <f>VLOOKUP(A752&amp;B752,ticker_sector[],2,FALSE)</f>
        <v>6</v>
      </c>
      <c r="I752">
        <f>VLOOKUP(C752,year[],2,FALSE)</f>
        <v>6</v>
      </c>
      <c r="J752">
        <f>VLOOKUP(E752,showing[],2,FALSE)</f>
        <v>14</v>
      </c>
      <c r="K752">
        <f>Сектора[[#This Row],[Значение]]</f>
        <v>1371.8801982956597</v>
      </c>
      <c r="L752" t="str">
        <f t="shared" si="11"/>
        <v>INSERT INTO msfo.statements (id_company, id_year, id_showing, value) VALUES (6,6,14,1371,88019829566);</v>
      </c>
    </row>
    <row r="753" spans="1:12">
      <c r="A753" s="28" t="s">
        <v>40</v>
      </c>
      <c r="B753" s="28" t="s">
        <v>32</v>
      </c>
      <c r="C753" s="28">
        <v>2017</v>
      </c>
      <c r="D753" s="28" t="s">
        <v>7</v>
      </c>
      <c r="E753" s="28" t="s">
        <v>17</v>
      </c>
      <c r="F753" s="28">
        <v>1456.1234162381381</v>
      </c>
      <c r="H753">
        <f>VLOOKUP(A753&amp;B753,ticker_sector[],2,FALSE)</f>
        <v>6</v>
      </c>
      <c r="I753">
        <f>VLOOKUP(C753,year[],2,FALSE)</f>
        <v>7</v>
      </c>
      <c r="J753">
        <f>VLOOKUP(E753,showing[],2,FALSE)</f>
        <v>14</v>
      </c>
      <c r="K753">
        <f>Сектора[[#This Row],[Значение]]</f>
        <v>1456.1234162381381</v>
      </c>
      <c r="L753" t="str">
        <f t="shared" si="11"/>
        <v>INSERT INTO msfo.statements (id_company, id_year, id_showing, value) VALUES (6,7,14,1456,12341623814);</v>
      </c>
    </row>
    <row r="754" spans="1:12">
      <c r="A754" s="28" t="s">
        <v>40</v>
      </c>
      <c r="B754" s="28" t="s">
        <v>32</v>
      </c>
      <c r="C754" s="28">
        <v>2010</v>
      </c>
      <c r="D754" s="28" t="s">
        <v>20</v>
      </c>
      <c r="E754" s="28" t="s">
        <v>18</v>
      </c>
      <c r="F754" s="28">
        <v>11118.083000000001</v>
      </c>
      <c r="H754">
        <f>VLOOKUP(A754&amp;B754,ticker_sector[],2,FALSE)</f>
        <v>6</v>
      </c>
      <c r="I754">
        <f>VLOOKUP(C754,year[],2,FALSE)</f>
        <v>0</v>
      </c>
      <c r="J754">
        <f>VLOOKUP(E754,showing[],2,FALSE)</f>
        <v>15</v>
      </c>
      <c r="K754">
        <f>Сектора[[#This Row],[Значение]]</f>
        <v>11118.083000000001</v>
      </c>
      <c r="L754" t="str">
        <f t="shared" si="11"/>
        <v>INSERT INTO msfo.statements (id_company, id_year, id_showing, value) VALUES (6,0,15,11118,083);</v>
      </c>
    </row>
    <row r="755" spans="1:12">
      <c r="A755" s="28" t="s">
        <v>40</v>
      </c>
      <c r="B755" s="28" t="s">
        <v>32</v>
      </c>
      <c r="C755" s="28">
        <v>2011</v>
      </c>
      <c r="D755" s="28" t="s">
        <v>20</v>
      </c>
      <c r="E755" s="28" t="s">
        <v>18</v>
      </c>
      <c r="F755" s="28">
        <v>11007.133</v>
      </c>
      <c r="H755">
        <f>VLOOKUP(A755&amp;B755,ticker_sector[],2,FALSE)</f>
        <v>6</v>
      </c>
      <c r="I755">
        <f>VLOOKUP(C755,year[],2,FALSE)</f>
        <v>1</v>
      </c>
      <c r="J755">
        <f>VLOOKUP(E755,showing[],2,FALSE)</f>
        <v>15</v>
      </c>
      <c r="K755">
        <f>Сектора[[#This Row],[Значение]]</f>
        <v>11007.133</v>
      </c>
      <c r="L755" t="str">
        <f t="shared" si="11"/>
        <v>INSERT INTO msfo.statements (id_company, id_year, id_showing, value) VALUES (6,1,15,11007,133);</v>
      </c>
    </row>
    <row r="756" spans="1:12">
      <c r="A756" s="28" t="s">
        <v>40</v>
      </c>
      <c r="B756" s="28" t="s">
        <v>32</v>
      </c>
      <c r="C756" s="28">
        <v>2012</v>
      </c>
      <c r="D756" s="28" t="s">
        <v>20</v>
      </c>
      <c r="E756" s="28" t="s">
        <v>18</v>
      </c>
      <c r="F756" s="28">
        <v>11007.916999999999</v>
      </c>
      <c r="H756">
        <f>VLOOKUP(A756&amp;B756,ticker_sector[],2,FALSE)</f>
        <v>6</v>
      </c>
      <c r="I756">
        <f>VLOOKUP(C756,year[],2,FALSE)</f>
        <v>2</v>
      </c>
      <c r="J756">
        <f>VLOOKUP(E756,showing[],2,FALSE)</f>
        <v>15</v>
      </c>
      <c r="K756">
        <f>Сектора[[#This Row],[Значение]]</f>
        <v>11007.916999999999</v>
      </c>
      <c r="L756" t="str">
        <f t="shared" si="11"/>
        <v>INSERT INTO msfo.statements (id_company, id_year, id_showing, value) VALUES (6,2,15,11007,917);</v>
      </c>
    </row>
    <row r="757" spans="1:12">
      <c r="A757" s="28" t="s">
        <v>40</v>
      </c>
      <c r="B757" s="28" t="s">
        <v>32</v>
      </c>
      <c r="C757" s="28">
        <v>2013</v>
      </c>
      <c r="D757" s="28" t="s">
        <v>20</v>
      </c>
      <c r="E757" s="28" t="s">
        <v>18</v>
      </c>
      <c r="F757" s="28">
        <v>11017.397000000001</v>
      </c>
      <c r="H757">
        <f>VLOOKUP(A757&amp;B757,ticker_sector[],2,FALSE)</f>
        <v>6</v>
      </c>
      <c r="I757">
        <f>VLOOKUP(C757,year[],2,FALSE)</f>
        <v>3</v>
      </c>
      <c r="J757">
        <f>VLOOKUP(E757,showing[],2,FALSE)</f>
        <v>15</v>
      </c>
      <c r="K757">
        <f>Сектора[[#This Row],[Значение]]</f>
        <v>11017.397000000001</v>
      </c>
      <c r="L757" t="str">
        <f t="shared" si="11"/>
        <v>INSERT INTO msfo.statements (id_company, id_year, id_showing, value) VALUES (6,3,15,11017,397);</v>
      </c>
    </row>
    <row r="758" spans="1:12">
      <c r="A758" s="28" t="s">
        <v>40</v>
      </c>
      <c r="B758" s="28" t="s">
        <v>32</v>
      </c>
      <c r="C758" s="28">
        <v>2014</v>
      </c>
      <c r="D758" s="28" t="s">
        <v>20</v>
      </c>
      <c r="E758" s="28" t="s">
        <v>18</v>
      </c>
      <c r="F758" s="28">
        <v>11154.352000000001</v>
      </c>
      <c r="H758">
        <f>VLOOKUP(A758&amp;B758,ticker_sector[],2,FALSE)</f>
        <v>6</v>
      </c>
      <c r="I758">
        <f>VLOOKUP(C758,year[],2,FALSE)</f>
        <v>4</v>
      </c>
      <c r="J758">
        <f>VLOOKUP(E758,showing[],2,FALSE)</f>
        <v>15</v>
      </c>
      <c r="K758">
        <f>Сектора[[#This Row],[Значение]]</f>
        <v>11154.352000000001</v>
      </c>
      <c r="L758" t="str">
        <f t="shared" si="11"/>
        <v>INSERT INTO msfo.statements (id_company, id_year, id_showing, value) VALUES (6,4,15,11154,352);</v>
      </c>
    </row>
    <row r="759" spans="1:12">
      <c r="A759" s="28" t="s">
        <v>40</v>
      </c>
      <c r="B759" s="28" t="s">
        <v>32</v>
      </c>
      <c r="C759" s="28">
        <v>2015</v>
      </c>
      <c r="D759" s="28" t="s">
        <v>20</v>
      </c>
      <c r="E759" s="28" t="s">
        <v>18</v>
      </c>
      <c r="F759" s="28">
        <v>11162.183000000001</v>
      </c>
      <c r="H759">
        <f>VLOOKUP(A759&amp;B759,ticker_sector[],2,FALSE)</f>
        <v>6</v>
      </c>
      <c r="I759">
        <f>VLOOKUP(C759,year[],2,FALSE)</f>
        <v>5</v>
      </c>
      <c r="J759">
        <f>VLOOKUP(E759,showing[],2,FALSE)</f>
        <v>15</v>
      </c>
      <c r="K759">
        <f>Сектора[[#This Row],[Значение]]</f>
        <v>11162.183000000001</v>
      </c>
      <c r="L759" t="str">
        <f t="shared" si="11"/>
        <v>INSERT INTO msfo.statements (id_company, id_year, id_showing, value) VALUES (6,5,15,11162,183);</v>
      </c>
    </row>
    <row r="760" spans="1:12">
      <c r="A760" s="28" t="s">
        <v>40</v>
      </c>
      <c r="B760" s="28" t="s">
        <v>32</v>
      </c>
      <c r="C760" s="28">
        <v>2016</v>
      </c>
      <c r="D760" s="28" t="s">
        <v>20</v>
      </c>
      <c r="E760" s="28" t="s">
        <v>18</v>
      </c>
      <c r="F760" s="28">
        <v>11173.898999999999</v>
      </c>
      <c r="H760">
        <f>VLOOKUP(A760&amp;B760,ticker_sector[],2,FALSE)</f>
        <v>6</v>
      </c>
      <c r="I760">
        <f>VLOOKUP(C760,year[],2,FALSE)</f>
        <v>6</v>
      </c>
      <c r="J760">
        <f>VLOOKUP(E760,showing[],2,FALSE)</f>
        <v>15</v>
      </c>
      <c r="K760">
        <f>Сектора[[#This Row],[Значение]]</f>
        <v>11173.898999999999</v>
      </c>
      <c r="L760" t="str">
        <f t="shared" si="11"/>
        <v>INSERT INTO msfo.statements (id_company, id_year, id_showing, value) VALUES (6,6,15,11173,899);</v>
      </c>
    </row>
    <row r="761" spans="1:12">
      <c r="A761" s="28" t="s">
        <v>40</v>
      </c>
      <c r="B761" s="28" t="s">
        <v>32</v>
      </c>
      <c r="C761" s="28">
        <v>2017</v>
      </c>
      <c r="D761" s="28" t="s">
        <v>20</v>
      </c>
      <c r="E761" s="28" t="s">
        <v>18</v>
      </c>
      <c r="F761" s="28">
        <v>11174.33</v>
      </c>
      <c r="H761">
        <f>VLOOKUP(A761&amp;B761,ticker_sector[],2,FALSE)</f>
        <v>6</v>
      </c>
      <c r="I761">
        <f>VLOOKUP(C761,year[],2,FALSE)</f>
        <v>7</v>
      </c>
      <c r="J761">
        <f>VLOOKUP(E761,showing[],2,FALSE)</f>
        <v>15</v>
      </c>
      <c r="K761">
        <f>Сектора[[#This Row],[Значение]]</f>
        <v>11174.33</v>
      </c>
      <c r="L761" t="str">
        <f t="shared" si="11"/>
        <v>INSERT INTO msfo.statements (id_company, id_year, id_showing, value) VALUES (6,7,15,11174,33);</v>
      </c>
    </row>
    <row r="762" spans="1:12">
      <c r="A762" s="28" t="s">
        <v>40</v>
      </c>
      <c r="B762" s="28" t="s">
        <v>32</v>
      </c>
      <c r="C762" s="28">
        <v>2010</v>
      </c>
      <c r="D762" s="28" t="s">
        <v>20</v>
      </c>
      <c r="E762" s="28" t="s">
        <v>19</v>
      </c>
      <c r="F762" s="28">
        <v>32.9</v>
      </c>
      <c r="H762">
        <f>VLOOKUP(A762&amp;B762,ticker_sector[],2,FALSE)</f>
        <v>6</v>
      </c>
      <c r="I762">
        <f>VLOOKUP(C762,year[],2,FALSE)</f>
        <v>0</v>
      </c>
      <c r="J762">
        <f>VLOOKUP(E762,showing[],2,FALSE)</f>
        <v>16</v>
      </c>
      <c r="K762">
        <f>Сектора[[#This Row],[Значение]]</f>
        <v>32.9</v>
      </c>
      <c r="L762" t="str">
        <f t="shared" si="11"/>
        <v>INSERT INTO msfo.statements (id_company, id_year, id_showing, value) VALUES (6,0,16,32,9);</v>
      </c>
    </row>
    <row r="763" spans="1:12">
      <c r="A763" s="28" t="s">
        <v>40</v>
      </c>
      <c r="B763" s="28" t="s">
        <v>32</v>
      </c>
      <c r="C763" s="28">
        <v>2011</v>
      </c>
      <c r="D763" s="28" t="s">
        <v>20</v>
      </c>
      <c r="E763" s="28" t="s">
        <v>19</v>
      </c>
      <c r="F763" s="28">
        <v>12.365</v>
      </c>
      <c r="H763">
        <f>VLOOKUP(A763&amp;B763,ticker_sector[],2,FALSE)</f>
        <v>6</v>
      </c>
      <c r="I763">
        <f>VLOOKUP(C763,year[],2,FALSE)</f>
        <v>1</v>
      </c>
      <c r="J763">
        <f>VLOOKUP(E763,showing[],2,FALSE)</f>
        <v>16</v>
      </c>
      <c r="K763">
        <f>Сектора[[#This Row],[Значение]]</f>
        <v>12.365</v>
      </c>
      <c r="L763" t="str">
        <f t="shared" si="11"/>
        <v>INSERT INTO msfo.statements (id_company, id_year, id_showing, value) VALUES (6,1,16,12,365);</v>
      </c>
    </row>
    <row r="764" spans="1:12">
      <c r="A764" s="28" t="s">
        <v>40</v>
      </c>
      <c r="B764" s="28" t="s">
        <v>32</v>
      </c>
      <c r="C764" s="28">
        <v>2012</v>
      </c>
      <c r="D764" s="28" t="s">
        <v>20</v>
      </c>
      <c r="E764" s="28" t="s">
        <v>19</v>
      </c>
      <c r="F764" s="28">
        <v>10.42</v>
      </c>
      <c r="H764">
        <f>VLOOKUP(A764&amp;B764,ticker_sector[],2,FALSE)</f>
        <v>6</v>
      </c>
      <c r="I764">
        <f>VLOOKUP(C764,year[],2,FALSE)</f>
        <v>2</v>
      </c>
      <c r="J764">
        <f>VLOOKUP(E764,showing[],2,FALSE)</f>
        <v>16</v>
      </c>
      <c r="K764">
        <f>Сектора[[#This Row],[Значение]]</f>
        <v>10.42</v>
      </c>
      <c r="L764" t="str">
        <f t="shared" si="11"/>
        <v>INSERT INTO msfo.statements (id_company, id_year, id_showing, value) VALUES (6,2,16,10,42);</v>
      </c>
    </row>
    <row r="765" spans="1:12">
      <c r="A765" s="28" t="s">
        <v>40</v>
      </c>
      <c r="B765" s="28" t="s">
        <v>32</v>
      </c>
      <c r="C765" s="28">
        <v>2013</v>
      </c>
      <c r="D765" s="28" t="s">
        <v>20</v>
      </c>
      <c r="E765" s="28" t="s">
        <v>19</v>
      </c>
      <c r="F765" s="28">
        <v>7.3949999999999996</v>
      </c>
      <c r="H765">
        <f>VLOOKUP(A765&amp;B765,ticker_sector[],2,FALSE)</f>
        <v>6</v>
      </c>
      <c r="I765">
        <f>VLOOKUP(C765,year[],2,FALSE)</f>
        <v>3</v>
      </c>
      <c r="J765">
        <f>VLOOKUP(E765,showing[],2,FALSE)</f>
        <v>16</v>
      </c>
      <c r="K765">
        <f>Сектора[[#This Row],[Значение]]</f>
        <v>7.3949999999999996</v>
      </c>
      <c r="L765" t="str">
        <f t="shared" si="11"/>
        <v>INSERT INTO msfo.statements (id_company, id_year, id_showing, value) VALUES (6,3,16,7,395);</v>
      </c>
    </row>
    <row r="766" spans="1:12">
      <c r="A766" s="28" t="s">
        <v>40</v>
      </c>
      <c r="B766" s="28" t="s">
        <v>32</v>
      </c>
      <c r="C766" s="28">
        <v>2014</v>
      </c>
      <c r="D766" s="28" t="s">
        <v>20</v>
      </c>
      <c r="E766" s="28" t="s">
        <v>19</v>
      </c>
      <c r="F766" s="28">
        <v>10.82</v>
      </c>
      <c r="H766">
        <f>VLOOKUP(A766&amp;B766,ticker_sector[],2,FALSE)</f>
        <v>6</v>
      </c>
      <c r="I766">
        <f>VLOOKUP(C766,year[],2,FALSE)</f>
        <v>4</v>
      </c>
      <c r="J766">
        <f>VLOOKUP(E766,showing[],2,FALSE)</f>
        <v>16</v>
      </c>
      <c r="K766">
        <f>Сектора[[#This Row],[Значение]]</f>
        <v>10.82</v>
      </c>
      <c r="L766" t="str">
        <f t="shared" si="11"/>
        <v>INSERT INTO msfo.statements (id_company, id_year, id_showing, value) VALUES (6,4,16,10,82);</v>
      </c>
    </row>
    <row r="767" spans="1:12">
      <c r="A767" s="28" t="s">
        <v>40</v>
      </c>
      <c r="B767" s="28" t="s">
        <v>32</v>
      </c>
      <c r="C767" s="28">
        <v>2015</v>
      </c>
      <c r="D767" s="28" t="s">
        <v>20</v>
      </c>
      <c r="E767" s="28" t="s">
        <v>19</v>
      </c>
      <c r="F767" s="28">
        <v>18.875</v>
      </c>
      <c r="H767">
        <f>VLOOKUP(A767&amp;B767,ticker_sector[],2,FALSE)</f>
        <v>6</v>
      </c>
      <c r="I767">
        <f>VLOOKUP(C767,year[],2,FALSE)</f>
        <v>5</v>
      </c>
      <c r="J767">
        <f>VLOOKUP(E767,showing[],2,FALSE)</f>
        <v>16</v>
      </c>
      <c r="K767">
        <f>Сектора[[#This Row],[Значение]]</f>
        <v>18.875</v>
      </c>
      <c r="L767" t="str">
        <f t="shared" si="11"/>
        <v>INSERT INTO msfo.statements (id_company, id_year, id_showing, value) VALUES (6,5,16,18,875);</v>
      </c>
    </row>
    <row r="768" spans="1:12">
      <c r="A768" s="28" t="s">
        <v>40</v>
      </c>
      <c r="B768" s="28" t="s">
        <v>32</v>
      </c>
      <c r="C768" s="28">
        <v>2016</v>
      </c>
      <c r="D768" s="28" t="s">
        <v>20</v>
      </c>
      <c r="E768" s="28" t="s">
        <v>19</v>
      </c>
      <c r="F768" s="28">
        <v>33.265000000000001</v>
      </c>
      <c r="H768">
        <f>VLOOKUP(A768&amp;B768,ticker_sector[],2,FALSE)</f>
        <v>6</v>
      </c>
      <c r="I768">
        <f>VLOOKUP(C768,year[],2,FALSE)</f>
        <v>6</v>
      </c>
      <c r="J768">
        <f>VLOOKUP(E768,showing[],2,FALSE)</f>
        <v>16</v>
      </c>
      <c r="K768">
        <f>Сектора[[#This Row],[Значение]]</f>
        <v>33.265000000000001</v>
      </c>
      <c r="L768" t="str">
        <f t="shared" si="11"/>
        <v>INSERT INTO msfo.statements (id_company, id_year, id_showing, value) VALUES (6,6,16,33,265);</v>
      </c>
    </row>
    <row r="769" spans="1:12">
      <c r="A769" s="28" t="s">
        <v>40</v>
      </c>
      <c r="B769" s="28" t="s">
        <v>32</v>
      </c>
      <c r="C769" s="28">
        <v>2017</v>
      </c>
      <c r="D769" s="28" t="s">
        <v>20</v>
      </c>
      <c r="E769" s="28" t="s">
        <v>19</v>
      </c>
      <c r="F769" s="28">
        <v>41.86</v>
      </c>
      <c r="H769">
        <f>VLOOKUP(A769&amp;B769,ticker_sector[],2,FALSE)</f>
        <v>6</v>
      </c>
      <c r="I769">
        <f>VLOOKUP(C769,year[],2,FALSE)</f>
        <v>7</v>
      </c>
      <c r="J769">
        <f>VLOOKUP(E769,showing[],2,FALSE)</f>
        <v>16</v>
      </c>
      <c r="K769">
        <f>Сектора[[#This Row],[Значение]]</f>
        <v>41.86</v>
      </c>
      <c r="L769" t="str">
        <f t="shared" si="11"/>
        <v>INSERT INTO msfo.statements (id_company, id_year, id_showing, value) VALUES (6,7,16,41,86);</v>
      </c>
    </row>
    <row r="770" spans="1:12">
      <c r="A770" s="28" t="s">
        <v>41</v>
      </c>
      <c r="B770" s="28" t="s">
        <v>32</v>
      </c>
      <c r="C770" s="28">
        <v>2010</v>
      </c>
      <c r="D770" s="28" t="s">
        <v>1</v>
      </c>
      <c r="E770" s="28" t="s">
        <v>2</v>
      </c>
      <c r="F770" s="28">
        <v>353140.65565019997</v>
      </c>
      <c r="H770">
        <f>VLOOKUP(A770&amp;B770,ticker_sector[],2,FALSE)</f>
        <v>7</v>
      </c>
      <c r="I770">
        <f>VLOOKUP(C770,year[],2,FALSE)</f>
        <v>0</v>
      </c>
      <c r="J770">
        <f>VLOOKUP(E770,showing[],2,FALSE)</f>
        <v>1</v>
      </c>
      <c r="K770">
        <f>Сектора[[#This Row],[Значение]]</f>
        <v>353140.65565019997</v>
      </c>
      <c r="L770" t="str">
        <f t="shared" si="11"/>
        <v>INSERT INTO msfo.statements (id_company, id_year, id_showing, value) VALUES (7,0,1,353140,6556502);</v>
      </c>
    </row>
    <row r="771" spans="1:12">
      <c r="A771" s="28" t="s">
        <v>41</v>
      </c>
      <c r="B771" s="28" t="s">
        <v>32</v>
      </c>
      <c r="C771" s="28">
        <v>2011</v>
      </c>
      <c r="D771" s="28" t="s">
        <v>1</v>
      </c>
      <c r="E771" s="28" t="s">
        <v>2</v>
      </c>
      <c r="F771" s="28">
        <v>486651.48879909999</v>
      </c>
      <c r="H771">
        <f>VLOOKUP(A771&amp;B771,ticker_sector[],2,FALSE)</f>
        <v>7</v>
      </c>
      <c r="I771">
        <f>VLOOKUP(C771,year[],2,FALSE)</f>
        <v>1</v>
      </c>
      <c r="J771">
        <f>VLOOKUP(E771,showing[],2,FALSE)</f>
        <v>1</v>
      </c>
      <c r="K771">
        <f>Сектора[[#This Row],[Значение]]</f>
        <v>486651.48879909999</v>
      </c>
      <c r="L771" t="str">
        <f t="shared" ref="L771:L834" si="12">"INSERT INTO msfo.statements (id_company, id_year, id_showing, value) VALUES ("&amp;H771&amp; ","&amp;I771&amp; ","&amp;J771&amp; ","&amp;K771&amp;");"</f>
        <v>INSERT INTO msfo.statements (id_company, id_year, id_showing, value) VALUES (7,1,1,486651,4887991);</v>
      </c>
    </row>
    <row r="772" spans="1:12">
      <c r="A772" s="28" t="s">
        <v>41</v>
      </c>
      <c r="B772" s="28" t="s">
        <v>32</v>
      </c>
      <c r="C772" s="28">
        <v>2012</v>
      </c>
      <c r="D772" s="28" t="s">
        <v>1</v>
      </c>
      <c r="E772" s="28" t="s">
        <v>2</v>
      </c>
      <c r="F772" s="28">
        <v>410568.31784519996</v>
      </c>
      <c r="H772">
        <f>VLOOKUP(A772&amp;B772,ticker_sector[],2,FALSE)</f>
        <v>7</v>
      </c>
      <c r="I772">
        <f>VLOOKUP(C772,year[],2,FALSE)</f>
        <v>2</v>
      </c>
      <c r="J772">
        <f>VLOOKUP(E772,showing[],2,FALSE)</f>
        <v>1</v>
      </c>
      <c r="K772">
        <f>Сектора[[#This Row],[Значение]]</f>
        <v>410568.31784519996</v>
      </c>
      <c r="L772" t="str">
        <f t="shared" si="12"/>
        <v>INSERT INTO msfo.statements (id_company, id_year, id_showing, value) VALUES (7,2,1,410568,3178452);</v>
      </c>
    </row>
    <row r="773" spans="1:12">
      <c r="A773" s="28" t="s">
        <v>41</v>
      </c>
      <c r="B773" s="28" t="s">
        <v>32</v>
      </c>
      <c r="C773" s="28">
        <v>2013</v>
      </c>
      <c r="D773" s="28" t="s">
        <v>1</v>
      </c>
      <c r="E773" s="28" t="s">
        <v>2</v>
      </c>
      <c r="F773" s="28">
        <v>359427.88506239996</v>
      </c>
      <c r="H773">
        <f>VLOOKUP(A773&amp;B773,ticker_sector[],2,FALSE)</f>
        <v>7</v>
      </c>
      <c r="I773">
        <f>VLOOKUP(C773,year[],2,FALSE)</f>
        <v>3</v>
      </c>
      <c r="J773">
        <f>VLOOKUP(E773,showing[],2,FALSE)</f>
        <v>1</v>
      </c>
      <c r="K773">
        <f>Сектора[[#This Row],[Значение]]</f>
        <v>359427.88506239996</v>
      </c>
      <c r="L773" t="str">
        <f t="shared" si="12"/>
        <v>INSERT INTO msfo.statements (id_company, id_year, id_showing, value) VALUES (7,3,1,359427,8850624);</v>
      </c>
    </row>
    <row r="774" spans="1:12">
      <c r="A774" s="28" t="s">
        <v>41</v>
      </c>
      <c r="B774" s="28" t="s">
        <v>32</v>
      </c>
      <c r="C774" s="28">
        <v>2014</v>
      </c>
      <c r="D774" s="28" t="s">
        <v>1</v>
      </c>
      <c r="E774" s="28" t="s">
        <v>2</v>
      </c>
      <c r="F774" s="28">
        <v>291486.35963040002</v>
      </c>
      <c r="H774">
        <f>VLOOKUP(A774&amp;B774,ticker_sector[],2,FALSE)</f>
        <v>7</v>
      </c>
      <c r="I774">
        <f>VLOOKUP(C774,year[],2,FALSE)</f>
        <v>4</v>
      </c>
      <c r="J774">
        <f>VLOOKUP(E774,showing[],2,FALSE)</f>
        <v>1</v>
      </c>
      <c r="K774">
        <f>Сектора[[#This Row],[Значение]]</f>
        <v>291486.35963040002</v>
      </c>
      <c r="L774" t="str">
        <f t="shared" si="12"/>
        <v>INSERT INTO msfo.statements (id_company, id_year, id_showing, value) VALUES (7,4,1,291486,3596304);</v>
      </c>
    </row>
    <row r="775" spans="1:12">
      <c r="A775" s="28" t="s">
        <v>41</v>
      </c>
      <c r="B775" s="28" t="s">
        <v>32</v>
      </c>
      <c r="C775" s="28">
        <v>2015</v>
      </c>
      <c r="D775" s="28" t="s">
        <v>1</v>
      </c>
      <c r="E775" s="28" t="s">
        <v>2</v>
      </c>
      <c r="F775" s="28">
        <v>278952</v>
      </c>
      <c r="H775">
        <f>VLOOKUP(A775&amp;B775,ticker_sector[],2,FALSE)</f>
        <v>7</v>
      </c>
      <c r="I775">
        <f>VLOOKUP(C775,year[],2,FALSE)</f>
        <v>5</v>
      </c>
      <c r="J775">
        <f>VLOOKUP(E775,showing[],2,FALSE)</f>
        <v>1</v>
      </c>
      <c r="K775">
        <f>Сектора[[#This Row],[Значение]]</f>
        <v>278952</v>
      </c>
      <c r="L775" t="str">
        <f t="shared" si="12"/>
        <v>INSERT INTO msfo.statements (id_company, id_year, id_showing, value) VALUES (7,5,1,278952);</v>
      </c>
    </row>
    <row r="776" spans="1:12">
      <c r="A776" s="28" t="s">
        <v>41</v>
      </c>
      <c r="B776" s="28" t="s">
        <v>32</v>
      </c>
      <c r="C776" s="28">
        <v>2016</v>
      </c>
      <c r="D776" s="28" t="s">
        <v>1</v>
      </c>
      <c r="E776" s="28" t="s">
        <v>2</v>
      </c>
      <c r="F776" s="28">
        <v>261700</v>
      </c>
      <c r="H776">
        <f>VLOOKUP(A776&amp;B776,ticker_sector[],2,FALSE)</f>
        <v>7</v>
      </c>
      <c r="I776">
        <f>VLOOKUP(C776,year[],2,FALSE)</f>
        <v>6</v>
      </c>
      <c r="J776">
        <f>VLOOKUP(E776,showing[],2,FALSE)</f>
        <v>1</v>
      </c>
      <c r="K776">
        <f>Сектора[[#This Row],[Значение]]</f>
        <v>261700</v>
      </c>
      <c r="L776" t="str">
        <f t="shared" si="12"/>
        <v>INSERT INTO msfo.statements (id_company, id_year, id_showing, value) VALUES (7,6,1,261700);</v>
      </c>
    </row>
    <row r="777" spans="1:12">
      <c r="A777" s="28" t="s">
        <v>41</v>
      </c>
      <c r="B777" s="28" t="s">
        <v>32</v>
      </c>
      <c r="C777" s="28">
        <v>2017</v>
      </c>
      <c r="D777" s="28" t="s">
        <v>1</v>
      </c>
      <c r="E777" s="28" t="s">
        <v>2</v>
      </c>
      <c r="F777" s="28">
        <v>251665</v>
      </c>
      <c r="H777">
        <f>VLOOKUP(A777&amp;B777,ticker_sector[],2,FALSE)</f>
        <v>7</v>
      </c>
      <c r="I777">
        <f>VLOOKUP(C777,year[],2,FALSE)</f>
        <v>7</v>
      </c>
      <c r="J777">
        <f>VLOOKUP(E777,showing[],2,FALSE)</f>
        <v>1</v>
      </c>
      <c r="K777">
        <f>Сектора[[#This Row],[Значение]]</f>
        <v>251665</v>
      </c>
      <c r="L777" t="str">
        <f t="shared" si="12"/>
        <v>INSERT INTO msfo.statements (id_company, id_year, id_showing, value) VALUES (7,7,1,251665);</v>
      </c>
    </row>
    <row r="778" spans="1:12">
      <c r="A778" s="28" t="s">
        <v>41</v>
      </c>
      <c r="B778" s="28" t="s">
        <v>32</v>
      </c>
      <c r="C778" s="28">
        <v>2010</v>
      </c>
      <c r="D778" s="28" t="s">
        <v>1</v>
      </c>
      <c r="E778" s="28" t="s">
        <v>3</v>
      </c>
      <c r="F778" s="28">
        <v>127728.87076140002</v>
      </c>
      <c r="H778">
        <f>VLOOKUP(A778&amp;B778,ticker_sector[],2,FALSE)</f>
        <v>7</v>
      </c>
      <c r="I778">
        <f>VLOOKUP(C778,year[],2,FALSE)</f>
        <v>0</v>
      </c>
      <c r="J778">
        <f>VLOOKUP(E778,showing[],2,FALSE)</f>
        <v>2</v>
      </c>
      <c r="K778">
        <f>Сектора[[#This Row],[Значение]]</f>
        <v>127728.87076140002</v>
      </c>
      <c r="L778" t="str">
        <f t="shared" si="12"/>
        <v>INSERT INTO msfo.statements (id_company, id_year, id_showing, value) VALUES (7,0,2,127728,8707614);</v>
      </c>
    </row>
    <row r="779" spans="1:12">
      <c r="A779" s="28" t="s">
        <v>41</v>
      </c>
      <c r="B779" s="28" t="s">
        <v>32</v>
      </c>
      <c r="C779" s="28">
        <v>2011</v>
      </c>
      <c r="D779" s="28" t="s">
        <v>1</v>
      </c>
      <c r="E779" s="28" t="s">
        <v>3</v>
      </c>
      <c r="F779" s="28">
        <v>134934.04827660002</v>
      </c>
      <c r="H779">
        <f>VLOOKUP(A779&amp;B779,ticker_sector[],2,FALSE)</f>
        <v>7</v>
      </c>
      <c r="I779">
        <f>VLOOKUP(C779,year[],2,FALSE)</f>
        <v>1</v>
      </c>
      <c r="J779">
        <f>VLOOKUP(E779,showing[],2,FALSE)</f>
        <v>2</v>
      </c>
      <c r="K779">
        <f>Сектора[[#This Row],[Значение]]</f>
        <v>134934.04827660002</v>
      </c>
      <c r="L779" t="str">
        <f t="shared" si="12"/>
        <v>INSERT INTO msfo.statements (id_company, id_year, id_showing, value) VALUES (7,1,2,134934,0482766);</v>
      </c>
    </row>
    <row r="780" spans="1:12">
      <c r="A780" s="28" t="s">
        <v>41</v>
      </c>
      <c r="B780" s="28" t="s">
        <v>32</v>
      </c>
      <c r="C780" s="28">
        <v>2012</v>
      </c>
      <c r="D780" s="28" t="s">
        <v>1</v>
      </c>
      <c r="E780" s="28" t="s">
        <v>3</v>
      </c>
      <c r="F780" s="28">
        <v>126885.8115829</v>
      </c>
      <c r="H780">
        <f>VLOOKUP(A780&amp;B780,ticker_sector[],2,FALSE)</f>
        <v>7</v>
      </c>
      <c r="I780">
        <f>VLOOKUP(C780,year[],2,FALSE)</f>
        <v>2</v>
      </c>
      <c r="J780">
        <f>VLOOKUP(E780,showing[],2,FALSE)</f>
        <v>2</v>
      </c>
      <c r="K780">
        <f>Сектора[[#This Row],[Значение]]</f>
        <v>126885.8115829</v>
      </c>
      <c r="L780" t="str">
        <f t="shared" si="12"/>
        <v>INSERT INTO msfo.statements (id_company, id_year, id_showing, value) VALUES (7,2,2,126885,8115829);</v>
      </c>
    </row>
    <row r="781" spans="1:12">
      <c r="A781" s="28" t="s">
        <v>41</v>
      </c>
      <c r="B781" s="28" t="s">
        <v>32</v>
      </c>
      <c r="C781" s="28">
        <v>2013</v>
      </c>
      <c r="D781" s="28" t="s">
        <v>1</v>
      </c>
      <c r="E781" s="28" t="s">
        <v>3</v>
      </c>
      <c r="F781" s="28">
        <v>93364.5596296</v>
      </c>
      <c r="H781">
        <f>VLOOKUP(A781&amp;B781,ticker_sector[],2,FALSE)</f>
        <v>7</v>
      </c>
      <c r="I781">
        <f>VLOOKUP(C781,year[],2,FALSE)</f>
        <v>3</v>
      </c>
      <c r="J781">
        <f>VLOOKUP(E781,showing[],2,FALSE)</f>
        <v>2</v>
      </c>
      <c r="K781">
        <f>Сектора[[#This Row],[Значение]]</f>
        <v>93364.5596296</v>
      </c>
      <c r="L781" t="str">
        <f t="shared" si="12"/>
        <v>INSERT INTO msfo.statements (id_company, id_year, id_showing, value) VALUES (7,3,2,93364,5596296);</v>
      </c>
    </row>
    <row r="782" spans="1:12">
      <c r="A782" s="28" t="s">
        <v>41</v>
      </c>
      <c r="B782" s="28" t="s">
        <v>32</v>
      </c>
      <c r="C782" s="28">
        <v>2014</v>
      </c>
      <c r="D782" s="28" t="s">
        <v>1</v>
      </c>
      <c r="E782" s="28" t="s">
        <v>3</v>
      </c>
      <c r="F782" s="28">
        <v>86203.846185600007</v>
      </c>
      <c r="H782">
        <f>VLOOKUP(A782&amp;B782,ticker_sector[],2,FALSE)</f>
        <v>7</v>
      </c>
      <c r="I782">
        <f>VLOOKUP(C782,year[],2,FALSE)</f>
        <v>4</v>
      </c>
      <c r="J782">
        <f>VLOOKUP(E782,showing[],2,FALSE)</f>
        <v>2</v>
      </c>
      <c r="K782">
        <f>Сектора[[#This Row],[Значение]]</f>
        <v>86203.846185600007</v>
      </c>
      <c r="L782" t="str">
        <f t="shared" si="12"/>
        <v>INSERT INTO msfo.statements (id_company, id_year, id_showing, value) VALUES (7,4,2,86203,8461856);</v>
      </c>
    </row>
    <row r="783" spans="1:12">
      <c r="A783" s="28" t="s">
        <v>41</v>
      </c>
      <c r="B783" s="28" t="s">
        <v>32</v>
      </c>
      <c r="C783" s="28">
        <v>2015</v>
      </c>
      <c r="D783" s="28" t="s">
        <v>1</v>
      </c>
      <c r="E783" s="28" t="s">
        <v>3</v>
      </c>
      <c r="F783" s="28">
        <v>63120</v>
      </c>
      <c r="H783">
        <f>VLOOKUP(A783&amp;B783,ticker_sector[],2,FALSE)</f>
        <v>7</v>
      </c>
      <c r="I783">
        <f>VLOOKUP(C783,year[],2,FALSE)</f>
        <v>5</v>
      </c>
      <c r="J783">
        <f>VLOOKUP(E783,showing[],2,FALSE)</f>
        <v>2</v>
      </c>
      <c r="K783">
        <f>Сектора[[#This Row],[Значение]]</f>
        <v>63120</v>
      </c>
      <c r="L783" t="str">
        <f t="shared" si="12"/>
        <v>INSERT INTO msfo.statements (id_company, id_year, id_showing, value) VALUES (7,5,2,63120);</v>
      </c>
    </row>
    <row r="784" spans="1:12">
      <c r="A784" s="28" t="s">
        <v>41</v>
      </c>
      <c r="B784" s="28" t="s">
        <v>32</v>
      </c>
      <c r="C784" s="28">
        <v>2016</v>
      </c>
      <c r="D784" s="28" t="s">
        <v>1</v>
      </c>
      <c r="E784" s="28" t="s">
        <v>3</v>
      </c>
      <c r="F784" s="28">
        <v>63765</v>
      </c>
      <c r="H784">
        <f>VLOOKUP(A784&amp;B784,ticker_sector[],2,FALSE)</f>
        <v>7</v>
      </c>
      <c r="I784">
        <f>VLOOKUP(C784,year[],2,FALSE)</f>
        <v>6</v>
      </c>
      <c r="J784">
        <f>VLOOKUP(E784,showing[],2,FALSE)</f>
        <v>2</v>
      </c>
      <c r="K784">
        <f>Сектора[[#This Row],[Значение]]</f>
        <v>63765</v>
      </c>
      <c r="L784" t="str">
        <f t="shared" si="12"/>
        <v>INSERT INTO msfo.statements (id_company, id_year, id_showing, value) VALUES (7,6,2,63765);</v>
      </c>
    </row>
    <row r="785" spans="1:12">
      <c r="A785" s="28" t="s">
        <v>41</v>
      </c>
      <c r="B785" s="28" t="s">
        <v>32</v>
      </c>
      <c r="C785" s="28">
        <v>2017</v>
      </c>
      <c r="D785" s="28" t="s">
        <v>1</v>
      </c>
      <c r="E785" s="28" t="s">
        <v>3</v>
      </c>
      <c r="F785" s="28">
        <v>67462</v>
      </c>
      <c r="H785">
        <f>VLOOKUP(A785&amp;B785,ticker_sector[],2,FALSE)</f>
        <v>7</v>
      </c>
      <c r="I785">
        <f>VLOOKUP(C785,year[],2,FALSE)</f>
        <v>7</v>
      </c>
      <c r="J785">
        <f>VLOOKUP(E785,showing[],2,FALSE)</f>
        <v>2</v>
      </c>
      <c r="K785">
        <f>Сектора[[#This Row],[Значение]]</f>
        <v>67462</v>
      </c>
      <c r="L785" t="str">
        <f t="shared" si="12"/>
        <v>INSERT INTO msfo.statements (id_company, id_year, id_showing, value) VALUES (7,7,2,67462);</v>
      </c>
    </row>
    <row r="786" spans="1:12">
      <c r="A786" s="28" t="s">
        <v>41</v>
      </c>
      <c r="B786" s="28" t="s">
        <v>32</v>
      </c>
      <c r="C786" s="28">
        <v>2010</v>
      </c>
      <c r="D786" s="28" t="s">
        <v>1</v>
      </c>
      <c r="E786" s="28" t="s">
        <v>5</v>
      </c>
      <c r="F786" s="28">
        <v>480869.5264116</v>
      </c>
      <c r="H786">
        <f>VLOOKUP(A786&amp;B786,ticker_sector[],2,FALSE)</f>
        <v>7</v>
      </c>
      <c r="I786">
        <f>VLOOKUP(C786,year[],2,FALSE)</f>
        <v>0</v>
      </c>
      <c r="J786">
        <f>VLOOKUP(E786,showing[],2,FALSE)</f>
        <v>3</v>
      </c>
      <c r="K786">
        <f>Сектора[[#This Row],[Значение]]</f>
        <v>480869.5264116</v>
      </c>
      <c r="L786" t="str">
        <f t="shared" si="12"/>
        <v>INSERT INTO msfo.statements (id_company, id_year, id_showing, value) VALUES (7,0,3,480869,5264116);</v>
      </c>
    </row>
    <row r="787" spans="1:12">
      <c r="A787" s="28" t="s">
        <v>41</v>
      </c>
      <c r="B787" s="28" t="s">
        <v>32</v>
      </c>
      <c r="C787" s="28">
        <v>2011</v>
      </c>
      <c r="D787" s="28" t="s">
        <v>1</v>
      </c>
      <c r="E787" s="28" t="s">
        <v>5</v>
      </c>
      <c r="F787" s="28">
        <v>621585.53707570001</v>
      </c>
      <c r="H787">
        <f>VLOOKUP(A787&amp;B787,ticker_sector[],2,FALSE)</f>
        <v>7</v>
      </c>
      <c r="I787">
        <f>VLOOKUP(C787,year[],2,FALSE)</f>
        <v>1</v>
      </c>
      <c r="J787">
        <f>VLOOKUP(E787,showing[],2,FALSE)</f>
        <v>3</v>
      </c>
      <c r="K787">
        <f>Сектора[[#This Row],[Значение]]</f>
        <v>621585.53707570001</v>
      </c>
      <c r="L787" t="str">
        <f t="shared" si="12"/>
        <v>INSERT INTO msfo.statements (id_company, id_year, id_showing, value) VALUES (7,1,3,621585,5370757);</v>
      </c>
    </row>
    <row r="788" spans="1:12">
      <c r="A788" s="28" t="s">
        <v>41</v>
      </c>
      <c r="B788" s="28" t="s">
        <v>32</v>
      </c>
      <c r="C788" s="28">
        <v>2012</v>
      </c>
      <c r="D788" s="28" t="s">
        <v>1</v>
      </c>
      <c r="E788" s="28" t="s">
        <v>5</v>
      </c>
      <c r="F788" s="28">
        <v>537454.12942809996</v>
      </c>
      <c r="H788">
        <f>VLOOKUP(A788&amp;B788,ticker_sector[],2,FALSE)</f>
        <v>7</v>
      </c>
      <c r="I788">
        <f>VLOOKUP(C788,year[],2,FALSE)</f>
        <v>2</v>
      </c>
      <c r="J788">
        <f>VLOOKUP(E788,showing[],2,FALSE)</f>
        <v>3</v>
      </c>
      <c r="K788">
        <f>Сектора[[#This Row],[Значение]]</f>
        <v>537454.12942809996</v>
      </c>
      <c r="L788" t="str">
        <f t="shared" si="12"/>
        <v>INSERT INTO msfo.statements (id_company, id_year, id_showing, value) VALUES (7,2,3,537454,1294281);</v>
      </c>
    </row>
    <row r="789" spans="1:12">
      <c r="A789" s="28" t="s">
        <v>41</v>
      </c>
      <c r="B789" s="28" t="s">
        <v>32</v>
      </c>
      <c r="C789" s="28">
        <v>2013</v>
      </c>
      <c r="D789" s="28" t="s">
        <v>1</v>
      </c>
      <c r="E789" s="28" t="s">
        <v>5</v>
      </c>
      <c r="F789" s="28">
        <v>452792.44469199993</v>
      </c>
      <c r="H789">
        <f>VLOOKUP(A789&amp;B789,ticker_sector[],2,FALSE)</f>
        <v>7</v>
      </c>
      <c r="I789">
        <f>VLOOKUP(C789,year[],2,FALSE)</f>
        <v>3</v>
      </c>
      <c r="J789">
        <f>VLOOKUP(E789,showing[],2,FALSE)</f>
        <v>3</v>
      </c>
      <c r="K789">
        <f>Сектора[[#This Row],[Значение]]</f>
        <v>452792.44469199993</v>
      </c>
      <c r="L789" t="str">
        <f t="shared" si="12"/>
        <v>INSERT INTO msfo.statements (id_company, id_year, id_showing, value) VALUES (7,3,3,452792,444692);</v>
      </c>
    </row>
    <row r="790" spans="1:12">
      <c r="A790" s="28" t="s">
        <v>41</v>
      </c>
      <c r="B790" s="28" t="s">
        <v>32</v>
      </c>
      <c r="C790" s="28">
        <v>2014</v>
      </c>
      <c r="D790" s="28" t="s">
        <v>1</v>
      </c>
      <c r="E790" s="28" t="s">
        <v>5</v>
      </c>
      <c r="F790" s="28">
        <v>377690.205816</v>
      </c>
      <c r="H790">
        <f>VLOOKUP(A790&amp;B790,ticker_sector[],2,FALSE)</f>
        <v>7</v>
      </c>
      <c r="I790">
        <f>VLOOKUP(C790,year[],2,FALSE)</f>
        <v>4</v>
      </c>
      <c r="J790">
        <f>VLOOKUP(E790,showing[],2,FALSE)</f>
        <v>3</v>
      </c>
      <c r="K790">
        <f>Сектора[[#This Row],[Значение]]</f>
        <v>377690.205816</v>
      </c>
      <c r="L790" t="str">
        <f t="shared" si="12"/>
        <v>INSERT INTO msfo.statements (id_company, id_year, id_showing, value) VALUES (7,4,3,377690,205816);</v>
      </c>
    </row>
    <row r="791" spans="1:12">
      <c r="A791" s="28" t="s">
        <v>41</v>
      </c>
      <c r="B791" s="28" t="s">
        <v>32</v>
      </c>
      <c r="C791" s="28">
        <v>2015</v>
      </c>
      <c r="D791" s="28" t="s">
        <v>1</v>
      </c>
      <c r="E791" s="28" t="s">
        <v>5</v>
      </c>
      <c r="F791" s="28">
        <v>342072</v>
      </c>
      <c r="H791">
        <f>VLOOKUP(A791&amp;B791,ticker_sector[],2,FALSE)</f>
        <v>7</v>
      </c>
      <c r="I791">
        <f>VLOOKUP(C791,year[],2,FALSE)</f>
        <v>5</v>
      </c>
      <c r="J791">
        <f>VLOOKUP(E791,showing[],2,FALSE)</f>
        <v>3</v>
      </c>
      <c r="K791">
        <f>Сектора[[#This Row],[Значение]]</f>
        <v>342072</v>
      </c>
      <c r="L791" t="str">
        <f t="shared" si="12"/>
        <v>INSERT INTO msfo.statements (id_company, id_year, id_showing, value) VALUES (7,5,3,342072);</v>
      </c>
    </row>
    <row r="792" spans="1:12">
      <c r="A792" s="28" t="s">
        <v>41</v>
      </c>
      <c r="B792" s="28" t="s">
        <v>32</v>
      </c>
      <c r="C792" s="28">
        <v>2016</v>
      </c>
      <c r="D792" s="28" t="s">
        <v>1</v>
      </c>
      <c r="E792" s="28" t="s">
        <v>5</v>
      </c>
      <c r="F792" s="28">
        <v>325465</v>
      </c>
      <c r="H792">
        <f>VLOOKUP(A792&amp;B792,ticker_sector[],2,FALSE)</f>
        <v>7</v>
      </c>
      <c r="I792">
        <f>VLOOKUP(C792,year[],2,FALSE)</f>
        <v>6</v>
      </c>
      <c r="J792">
        <f>VLOOKUP(E792,showing[],2,FALSE)</f>
        <v>3</v>
      </c>
      <c r="K792">
        <f>Сектора[[#This Row],[Значение]]</f>
        <v>325465</v>
      </c>
      <c r="L792" t="str">
        <f t="shared" si="12"/>
        <v>INSERT INTO msfo.statements (id_company, id_year, id_showing, value) VALUES (7,6,3,325465);</v>
      </c>
    </row>
    <row r="793" spans="1:12">
      <c r="A793" s="28" t="s">
        <v>41</v>
      </c>
      <c r="B793" s="28" t="s">
        <v>32</v>
      </c>
      <c r="C793" s="28">
        <v>2017</v>
      </c>
      <c r="D793" s="28" t="s">
        <v>1</v>
      </c>
      <c r="E793" s="28" t="s">
        <v>5</v>
      </c>
      <c r="F793" s="28">
        <v>319127</v>
      </c>
      <c r="H793">
        <f>VLOOKUP(A793&amp;B793,ticker_sector[],2,FALSE)</f>
        <v>7</v>
      </c>
      <c r="I793">
        <f>VLOOKUP(C793,year[],2,FALSE)</f>
        <v>7</v>
      </c>
      <c r="J793">
        <f>VLOOKUP(E793,showing[],2,FALSE)</f>
        <v>3</v>
      </c>
      <c r="K793">
        <f>Сектора[[#This Row],[Значение]]</f>
        <v>319127</v>
      </c>
      <c r="L793" t="str">
        <f t="shared" si="12"/>
        <v>INSERT INTO msfo.statements (id_company, id_year, id_showing, value) VALUES (7,7,3,319127);</v>
      </c>
    </row>
    <row r="794" spans="1:12">
      <c r="A794" s="28" t="s">
        <v>41</v>
      </c>
      <c r="B794" s="28" t="s">
        <v>32</v>
      </c>
      <c r="C794" s="28">
        <v>2010</v>
      </c>
      <c r="D794" s="28" t="s">
        <v>1</v>
      </c>
      <c r="E794" s="28" t="s">
        <v>6</v>
      </c>
      <c r="F794" s="28">
        <v>150891.46714590001</v>
      </c>
      <c r="H794">
        <f>VLOOKUP(A794&amp;B794,ticker_sector[],2,FALSE)</f>
        <v>7</v>
      </c>
      <c r="I794">
        <f>VLOOKUP(C794,year[],2,FALSE)</f>
        <v>0</v>
      </c>
      <c r="J794">
        <f>VLOOKUP(E794,showing[],2,FALSE)</f>
        <v>4</v>
      </c>
      <c r="K794">
        <f>Сектора[[#This Row],[Значение]]</f>
        <v>150891.46714590001</v>
      </c>
      <c r="L794" t="str">
        <f t="shared" si="12"/>
        <v>INSERT INTO msfo.statements (id_company, id_year, id_showing, value) VALUES (7,0,4,150891,4671459);</v>
      </c>
    </row>
    <row r="795" spans="1:12">
      <c r="A795" s="28" t="s">
        <v>41</v>
      </c>
      <c r="B795" s="28" t="s">
        <v>32</v>
      </c>
      <c r="C795" s="28">
        <v>2011</v>
      </c>
      <c r="D795" s="28" t="s">
        <v>1</v>
      </c>
      <c r="E795" s="28" t="s">
        <v>6</v>
      </c>
      <c r="F795" s="28">
        <v>172742.57242860002</v>
      </c>
      <c r="H795">
        <f>VLOOKUP(A795&amp;B795,ticker_sector[],2,FALSE)</f>
        <v>7</v>
      </c>
      <c r="I795">
        <f>VLOOKUP(C795,year[],2,FALSE)</f>
        <v>1</v>
      </c>
      <c r="J795">
        <f>VLOOKUP(E795,showing[],2,FALSE)</f>
        <v>4</v>
      </c>
      <c r="K795">
        <f>Сектора[[#This Row],[Значение]]</f>
        <v>172742.57242860002</v>
      </c>
      <c r="L795" t="str">
        <f t="shared" si="12"/>
        <v>INSERT INTO msfo.statements (id_company, id_year, id_showing, value) VALUES (7,1,4,172742,5724286);</v>
      </c>
    </row>
    <row r="796" spans="1:12">
      <c r="A796" s="28" t="s">
        <v>41</v>
      </c>
      <c r="B796" s="28" t="s">
        <v>32</v>
      </c>
      <c r="C796" s="28">
        <v>2012</v>
      </c>
      <c r="D796" s="28" t="s">
        <v>1</v>
      </c>
      <c r="E796" s="28" t="s">
        <v>6</v>
      </c>
      <c r="F796" s="28">
        <v>107508.9401639</v>
      </c>
      <c r="H796">
        <f>VLOOKUP(A796&amp;B796,ticker_sector[],2,FALSE)</f>
        <v>7</v>
      </c>
      <c r="I796">
        <f>VLOOKUP(C796,year[],2,FALSE)</f>
        <v>2</v>
      </c>
      <c r="J796">
        <f>VLOOKUP(E796,showing[],2,FALSE)</f>
        <v>4</v>
      </c>
      <c r="K796">
        <f>Сектора[[#This Row],[Значение]]</f>
        <v>107508.9401639</v>
      </c>
      <c r="L796" t="str">
        <f t="shared" si="12"/>
        <v>INSERT INTO msfo.statements (id_company, id_year, id_showing, value) VALUES (7,2,4,107508,9401639);</v>
      </c>
    </row>
    <row r="797" spans="1:12">
      <c r="A797" s="28" t="s">
        <v>41</v>
      </c>
      <c r="B797" s="28" t="s">
        <v>32</v>
      </c>
      <c r="C797" s="28">
        <v>2013</v>
      </c>
      <c r="D797" s="28" t="s">
        <v>1</v>
      </c>
      <c r="E797" s="28" t="s">
        <v>6</v>
      </c>
      <c r="F797" s="28">
        <v>26570.219144000002</v>
      </c>
      <c r="H797">
        <f>VLOOKUP(A797&amp;B797,ticker_sector[],2,FALSE)</f>
        <v>7</v>
      </c>
      <c r="I797">
        <f>VLOOKUP(C797,year[],2,FALSE)</f>
        <v>3</v>
      </c>
      <c r="J797">
        <f>VLOOKUP(E797,showing[],2,FALSE)</f>
        <v>4</v>
      </c>
      <c r="K797">
        <f>Сектора[[#This Row],[Значение]]</f>
        <v>26570.219144000002</v>
      </c>
      <c r="L797" t="str">
        <f t="shared" si="12"/>
        <v>INSERT INTO msfo.statements (id_company, id_year, id_showing, value) VALUES (7,3,4,26570,219144);</v>
      </c>
    </row>
    <row r="798" spans="1:12">
      <c r="A798" s="28" t="s">
        <v>41</v>
      </c>
      <c r="B798" s="28" t="s">
        <v>32</v>
      </c>
      <c r="C798" s="28">
        <v>2014</v>
      </c>
      <c r="D798" s="28" t="s">
        <v>1</v>
      </c>
      <c r="E798" s="28" t="s">
        <v>6</v>
      </c>
      <c r="F798" s="28">
        <v>-148784.95898639999</v>
      </c>
      <c r="H798">
        <f>VLOOKUP(A798&amp;B798,ticker_sector[],2,FALSE)</f>
        <v>7</v>
      </c>
      <c r="I798">
        <f>VLOOKUP(C798,year[],2,FALSE)</f>
        <v>4</v>
      </c>
      <c r="J798">
        <f>VLOOKUP(E798,showing[],2,FALSE)</f>
        <v>4</v>
      </c>
      <c r="K798">
        <f>Сектора[[#This Row],[Значение]]</f>
        <v>-148784.95898639999</v>
      </c>
      <c r="L798" t="str">
        <f t="shared" si="12"/>
        <v>INSERT INTO msfo.statements (id_company, id_year, id_showing, value) VALUES (7,4,4,-148784,9589864);</v>
      </c>
    </row>
    <row r="799" spans="1:12">
      <c r="A799" s="28" t="s">
        <v>41</v>
      </c>
      <c r="B799" s="28" t="s">
        <v>32</v>
      </c>
      <c r="C799" s="28">
        <v>2015</v>
      </c>
      <c r="D799" s="28" t="s">
        <v>1</v>
      </c>
      <c r="E799" s="28" t="s">
        <v>6</v>
      </c>
      <c r="F799" s="28">
        <v>-261854</v>
      </c>
      <c r="H799">
        <f>VLOOKUP(A799&amp;B799,ticker_sector[],2,FALSE)</f>
        <v>7</v>
      </c>
      <c r="I799">
        <f>VLOOKUP(C799,year[],2,FALSE)</f>
        <v>5</v>
      </c>
      <c r="J799">
        <f>VLOOKUP(E799,showing[],2,FALSE)</f>
        <v>4</v>
      </c>
      <c r="K799">
        <f>Сектора[[#This Row],[Значение]]</f>
        <v>-261854</v>
      </c>
      <c r="L799" t="str">
        <f t="shared" si="12"/>
        <v>INSERT INTO msfo.statements (id_company, id_year, id_showing, value) VALUES (7,5,4,-261854);</v>
      </c>
    </row>
    <row r="800" spans="1:12">
      <c r="A800" s="28" t="s">
        <v>41</v>
      </c>
      <c r="B800" s="28" t="s">
        <v>32</v>
      </c>
      <c r="C800" s="28">
        <v>2016</v>
      </c>
      <c r="D800" s="28" t="s">
        <v>1</v>
      </c>
      <c r="E800" s="28" t="s">
        <v>6</v>
      </c>
      <c r="F800" s="28">
        <v>-252588</v>
      </c>
      <c r="H800">
        <f>VLOOKUP(A800&amp;B800,ticker_sector[],2,FALSE)</f>
        <v>7</v>
      </c>
      <c r="I800">
        <f>VLOOKUP(C800,year[],2,FALSE)</f>
        <v>6</v>
      </c>
      <c r="J800">
        <f>VLOOKUP(E800,showing[],2,FALSE)</f>
        <v>4</v>
      </c>
      <c r="K800">
        <f>Сектора[[#This Row],[Значение]]</f>
        <v>-252588</v>
      </c>
      <c r="L800" t="str">
        <f t="shared" si="12"/>
        <v>INSERT INTO msfo.statements (id_company, id_year, id_showing, value) VALUES (7,6,4,-252588);</v>
      </c>
    </row>
    <row r="801" spans="1:12">
      <c r="A801" s="28" t="s">
        <v>41</v>
      </c>
      <c r="B801" s="28" t="s">
        <v>32</v>
      </c>
      <c r="C801" s="28">
        <v>2017</v>
      </c>
      <c r="D801" s="28" t="s">
        <v>1</v>
      </c>
      <c r="E801" s="28" t="s">
        <v>6</v>
      </c>
      <c r="F801" s="28">
        <v>-244133</v>
      </c>
      <c r="H801">
        <f>VLOOKUP(A801&amp;B801,ticker_sector[],2,FALSE)</f>
        <v>7</v>
      </c>
      <c r="I801">
        <f>VLOOKUP(C801,year[],2,FALSE)</f>
        <v>7</v>
      </c>
      <c r="J801">
        <f>VLOOKUP(E801,showing[],2,FALSE)</f>
        <v>4</v>
      </c>
      <c r="K801">
        <f>Сектора[[#This Row],[Значение]]</f>
        <v>-244133</v>
      </c>
      <c r="L801" t="str">
        <f t="shared" si="12"/>
        <v>INSERT INTO msfo.statements (id_company, id_year, id_showing, value) VALUES (7,7,4,-244133);</v>
      </c>
    </row>
    <row r="802" spans="1:12">
      <c r="A802" s="28" t="s">
        <v>41</v>
      </c>
      <c r="B802" s="28" t="s">
        <v>32</v>
      </c>
      <c r="C802" s="28">
        <v>2010</v>
      </c>
      <c r="D802" s="28" t="s">
        <v>1</v>
      </c>
      <c r="E802" s="28" t="s">
        <v>8</v>
      </c>
      <c r="F802" s="28">
        <v>217226.36004060003</v>
      </c>
      <c r="H802">
        <f>VLOOKUP(A802&amp;B802,ticker_sector[],2,FALSE)</f>
        <v>7</v>
      </c>
      <c r="I802">
        <f>VLOOKUP(C802,year[],2,FALSE)</f>
        <v>0</v>
      </c>
      <c r="J802">
        <f>VLOOKUP(E802,showing[],2,FALSE)</f>
        <v>5</v>
      </c>
      <c r="K802">
        <f>Сектора[[#This Row],[Значение]]</f>
        <v>217226.36004060003</v>
      </c>
      <c r="L802" t="str">
        <f t="shared" si="12"/>
        <v>INSERT INTO msfo.statements (id_company, id_year, id_showing, value) VALUES (7,0,5,217226,3600406);</v>
      </c>
    </row>
    <row r="803" spans="1:12">
      <c r="A803" s="28" t="s">
        <v>41</v>
      </c>
      <c r="B803" s="28" t="s">
        <v>32</v>
      </c>
      <c r="C803" s="28">
        <v>2011</v>
      </c>
      <c r="D803" s="28" t="s">
        <v>1</v>
      </c>
      <c r="E803" s="28" t="s">
        <v>8</v>
      </c>
      <c r="F803" s="28">
        <v>296258.69238949998</v>
      </c>
      <c r="H803">
        <f>VLOOKUP(A803&amp;B803,ticker_sector[],2,FALSE)</f>
        <v>7</v>
      </c>
      <c r="I803">
        <f>VLOOKUP(C803,year[],2,FALSE)</f>
        <v>1</v>
      </c>
      <c r="J803">
        <f>VLOOKUP(E803,showing[],2,FALSE)</f>
        <v>5</v>
      </c>
      <c r="K803">
        <f>Сектора[[#This Row],[Значение]]</f>
        <v>296258.69238949998</v>
      </c>
      <c r="L803" t="str">
        <f t="shared" si="12"/>
        <v>INSERT INTO msfo.statements (id_company, id_year, id_showing, value) VALUES (7,1,5,296258,6923895);</v>
      </c>
    </row>
    <row r="804" spans="1:12">
      <c r="A804" s="28" t="s">
        <v>41</v>
      </c>
      <c r="B804" s="28" t="s">
        <v>32</v>
      </c>
      <c r="C804" s="28">
        <v>2012</v>
      </c>
      <c r="D804" s="28" t="s">
        <v>1</v>
      </c>
      <c r="E804" s="28" t="s">
        <v>8</v>
      </c>
      <c r="F804" s="28">
        <v>315849.5646329</v>
      </c>
      <c r="H804">
        <f>VLOOKUP(A804&amp;B804,ticker_sector[],2,FALSE)</f>
        <v>7</v>
      </c>
      <c r="I804">
        <f>VLOOKUP(C804,year[],2,FALSE)</f>
        <v>2</v>
      </c>
      <c r="J804">
        <f>VLOOKUP(E804,showing[],2,FALSE)</f>
        <v>5</v>
      </c>
      <c r="K804">
        <f>Сектора[[#This Row],[Значение]]</f>
        <v>315849.5646329</v>
      </c>
      <c r="L804" t="str">
        <f t="shared" si="12"/>
        <v>INSERT INTO msfo.statements (id_company, id_year, id_showing, value) VALUES (7,2,5,315849,5646329);</v>
      </c>
    </row>
    <row r="805" spans="1:12">
      <c r="A805" s="28" t="s">
        <v>41</v>
      </c>
      <c r="B805" s="28" t="s">
        <v>32</v>
      </c>
      <c r="C805" s="28">
        <v>2013</v>
      </c>
      <c r="D805" s="28" t="s">
        <v>1</v>
      </c>
      <c r="E805" s="28" t="s">
        <v>8</v>
      </c>
      <c r="F805" s="28">
        <v>308610.56539039995</v>
      </c>
      <c r="H805">
        <f>VLOOKUP(A805&amp;B805,ticker_sector[],2,FALSE)</f>
        <v>7</v>
      </c>
      <c r="I805">
        <f>VLOOKUP(C805,year[],2,FALSE)</f>
        <v>3</v>
      </c>
      <c r="J805">
        <f>VLOOKUP(E805,showing[],2,FALSE)</f>
        <v>5</v>
      </c>
      <c r="K805">
        <f>Сектора[[#This Row],[Значение]]</f>
        <v>308610.56539039995</v>
      </c>
      <c r="L805" t="str">
        <f t="shared" si="12"/>
        <v>INSERT INTO msfo.statements (id_company, id_year, id_showing, value) VALUES (7,3,5,308610,5653904);</v>
      </c>
    </row>
    <row r="806" spans="1:12">
      <c r="A806" s="28" t="s">
        <v>41</v>
      </c>
      <c r="B806" s="28" t="s">
        <v>32</v>
      </c>
      <c r="C806" s="28">
        <v>2014</v>
      </c>
      <c r="D806" s="28" t="s">
        <v>1</v>
      </c>
      <c r="E806" s="28" t="s">
        <v>8</v>
      </c>
      <c r="F806" s="28">
        <v>30075.290572800033</v>
      </c>
      <c r="H806">
        <f>VLOOKUP(A806&amp;B806,ticker_sector[],2,FALSE)</f>
        <v>7</v>
      </c>
      <c r="I806">
        <f>VLOOKUP(C806,year[],2,FALSE)</f>
        <v>4</v>
      </c>
      <c r="J806">
        <f>VLOOKUP(E806,showing[],2,FALSE)</f>
        <v>5</v>
      </c>
      <c r="K806">
        <f>Сектора[[#This Row],[Значение]]</f>
        <v>30075.290572800033</v>
      </c>
      <c r="L806" t="str">
        <f t="shared" si="12"/>
        <v>INSERT INTO msfo.statements (id_company, id_year, id_showing, value) VALUES (7,4,5,30075,2905728);</v>
      </c>
    </row>
    <row r="807" spans="1:12">
      <c r="A807" s="28" t="s">
        <v>41</v>
      </c>
      <c r="B807" s="28" t="s">
        <v>32</v>
      </c>
      <c r="C807" s="28">
        <v>2015</v>
      </c>
      <c r="D807" s="28" t="s">
        <v>1</v>
      </c>
      <c r="E807" s="28" t="s">
        <v>8</v>
      </c>
      <c r="F807" s="28">
        <v>23390</v>
      </c>
      <c r="H807">
        <f>VLOOKUP(A807&amp;B807,ticker_sector[],2,FALSE)</f>
        <v>7</v>
      </c>
      <c r="I807">
        <f>VLOOKUP(C807,year[],2,FALSE)</f>
        <v>5</v>
      </c>
      <c r="J807">
        <f>VLOOKUP(E807,showing[],2,FALSE)</f>
        <v>5</v>
      </c>
      <c r="K807">
        <f>Сектора[[#This Row],[Значение]]</f>
        <v>23390</v>
      </c>
      <c r="L807" t="str">
        <f t="shared" si="12"/>
        <v>INSERT INTO msfo.statements (id_company, id_year, id_showing, value) VALUES (7,5,5,23390);</v>
      </c>
    </row>
    <row r="808" spans="1:12">
      <c r="A808" s="28" t="s">
        <v>41</v>
      </c>
      <c r="B808" s="28" t="s">
        <v>32</v>
      </c>
      <c r="C808" s="28">
        <v>2016</v>
      </c>
      <c r="D808" s="28" t="s">
        <v>1</v>
      </c>
      <c r="E808" s="28" t="s">
        <v>8</v>
      </c>
      <c r="F808" s="28">
        <v>72707</v>
      </c>
      <c r="H808">
        <f>VLOOKUP(A808&amp;B808,ticker_sector[],2,FALSE)</f>
        <v>7</v>
      </c>
      <c r="I808">
        <f>VLOOKUP(C808,year[],2,FALSE)</f>
        <v>6</v>
      </c>
      <c r="J808">
        <f>VLOOKUP(E808,showing[],2,FALSE)</f>
        <v>5</v>
      </c>
      <c r="K808">
        <f>Сектора[[#This Row],[Значение]]</f>
        <v>72707</v>
      </c>
      <c r="L808" t="str">
        <f t="shared" si="12"/>
        <v>INSERT INTO msfo.statements (id_company, id_year, id_showing, value) VALUES (7,6,5,72707);</v>
      </c>
    </row>
    <row r="809" spans="1:12">
      <c r="A809" s="28" t="s">
        <v>41</v>
      </c>
      <c r="B809" s="28" t="s">
        <v>32</v>
      </c>
      <c r="C809" s="28">
        <v>2017</v>
      </c>
      <c r="D809" s="28" t="s">
        <v>1</v>
      </c>
      <c r="E809" s="28" t="s">
        <v>8</v>
      </c>
      <c r="F809" s="28">
        <v>79112</v>
      </c>
      <c r="H809">
        <f>VLOOKUP(A809&amp;B809,ticker_sector[],2,FALSE)</f>
        <v>7</v>
      </c>
      <c r="I809">
        <f>VLOOKUP(C809,year[],2,FALSE)</f>
        <v>7</v>
      </c>
      <c r="J809">
        <f>VLOOKUP(E809,showing[],2,FALSE)</f>
        <v>5</v>
      </c>
      <c r="K809">
        <f>Сектора[[#This Row],[Значение]]</f>
        <v>79112</v>
      </c>
      <c r="L809" t="str">
        <f t="shared" si="12"/>
        <v>INSERT INTO msfo.statements (id_company, id_year, id_showing, value) VALUES (7,7,5,79112);</v>
      </c>
    </row>
    <row r="810" spans="1:12">
      <c r="A810" s="28" t="s">
        <v>41</v>
      </c>
      <c r="B810" s="28" t="s">
        <v>32</v>
      </c>
      <c r="C810" s="28">
        <v>2010</v>
      </c>
      <c r="D810" s="28" t="s">
        <v>1</v>
      </c>
      <c r="E810" s="28" t="s">
        <v>9</v>
      </c>
      <c r="F810" s="28">
        <v>112751.6992251</v>
      </c>
      <c r="H810">
        <f>VLOOKUP(A810&amp;B810,ticker_sector[],2,FALSE)</f>
        <v>7</v>
      </c>
      <c r="I810">
        <f>VLOOKUP(C810,year[],2,FALSE)</f>
        <v>0</v>
      </c>
      <c r="J810">
        <f>VLOOKUP(E810,showing[],2,FALSE)</f>
        <v>6</v>
      </c>
      <c r="K810">
        <f>Сектора[[#This Row],[Значение]]</f>
        <v>112751.6992251</v>
      </c>
      <c r="L810" t="str">
        <f t="shared" si="12"/>
        <v>INSERT INTO msfo.statements (id_company, id_year, id_showing, value) VALUES (7,0,6,112751,6992251);</v>
      </c>
    </row>
    <row r="811" spans="1:12">
      <c r="A811" s="28" t="s">
        <v>41</v>
      </c>
      <c r="B811" s="28" t="s">
        <v>32</v>
      </c>
      <c r="C811" s="28">
        <v>2011</v>
      </c>
      <c r="D811" s="28" t="s">
        <v>1</v>
      </c>
      <c r="E811" s="28" t="s">
        <v>9</v>
      </c>
      <c r="F811" s="28">
        <v>152584.27225760001</v>
      </c>
      <c r="H811">
        <f>VLOOKUP(A811&amp;B811,ticker_sector[],2,FALSE)</f>
        <v>7</v>
      </c>
      <c r="I811">
        <f>VLOOKUP(C811,year[],2,FALSE)</f>
        <v>1</v>
      </c>
      <c r="J811">
        <f>VLOOKUP(E811,showing[],2,FALSE)</f>
        <v>6</v>
      </c>
      <c r="K811">
        <f>Сектора[[#This Row],[Значение]]</f>
        <v>152584.27225760001</v>
      </c>
      <c r="L811" t="str">
        <f t="shared" si="12"/>
        <v>INSERT INTO msfo.statements (id_company, id_year, id_showing, value) VALUES (7,1,6,152584,2722576);</v>
      </c>
    </row>
    <row r="812" spans="1:12">
      <c r="A812" s="28" t="s">
        <v>41</v>
      </c>
      <c r="B812" s="28" t="s">
        <v>32</v>
      </c>
      <c r="C812" s="28">
        <v>2012</v>
      </c>
      <c r="D812" s="28" t="s">
        <v>1</v>
      </c>
      <c r="E812" s="28" t="s">
        <v>9</v>
      </c>
      <c r="F812" s="28">
        <v>114095.62463129999</v>
      </c>
      <c r="H812">
        <f>VLOOKUP(A812&amp;B812,ticker_sector[],2,FALSE)</f>
        <v>7</v>
      </c>
      <c r="I812">
        <f>VLOOKUP(C812,year[],2,FALSE)</f>
        <v>2</v>
      </c>
      <c r="J812">
        <f>VLOOKUP(E812,showing[],2,FALSE)</f>
        <v>6</v>
      </c>
      <c r="K812">
        <f>Сектора[[#This Row],[Значение]]</f>
        <v>114095.62463129999</v>
      </c>
      <c r="L812" t="str">
        <f t="shared" si="12"/>
        <v>INSERT INTO msfo.statements (id_company, id_year, id_showing, value) VALUES (7,2,6,114095,6246313);</v>
      </c>
    </row>
    <row r="813" spans="1:12">
      <c r="A813" s="28" t="s">
        <v>41</v>
      </c>
      <c r="B813" s="28" t="s">
        <v>32</v>
      </c>
      <c r="C813" s="28">
        <v>2013</v>
      </c>
      <c r="D813" s="28" t="s">
        <v>1</v>
      </c>
      <c r="E813" s="28" t="s">
        <v>9</v>
      </c>
      <c r="F813" s="28">
        <v>117611.6601576</v>
      </c>
      <c r="H813">
        <f>VLOOKUP(A813&amp;B813,ticker_sector[],2,FALSE)</f>
        <v>7</v>
      </c>
      <c r="I813">
        <f>VLOOKUP(C813,year[],2,FALSE)</f>
        <v>3</v>
      </c>
      <c r="J813">
        <f>VLOOKUP(E813,showing[],2,FALSE)</f>
        <v>6</v>
      </c>
      <c r="K813">
        <f>Сектора[[#This Row],[Значение]]</f>
        <v>117611.6601576</v>
      </c>
      <c r="L813" t="str">
        <f t="shared" si="12"/>
        <v>INSERT INTO msfo.statements (id_company, id_year, id_showing, value) VALUES (7,3,6,117611,6601576);</v>
      </c>
    </row>
    <row r="814" spans="1:12">
      <c r="A814" s="28" t="s">
        <v>41</v>
      </c>
      <c r="B814" s="28" t="s">
        <v>32</v>
      </c>
      <c r="C814" s="28">
        <v>2014</v>
      </c>
      <c r="D814" s="28" t="s">
        <v>1</v>
      </c>
      <c r="E814" s="28" t="s">
        <v>9</v>
      </c>
      <c r="F814" s="28">
        <v>496399.87422960001</v>
      </c>
      <c r="H814">
        <f>VLOOKUP(A814&amp;B814,ticker_sector[],2,FALSE)</f>
        <v>7</v>
      </c>
      <c r="I814">
        <f>VLOOKUP(C814,year[],2,FALSE)</f>
        <v>4</v>
      </c>
      <c r="J814">
        <f>VLOOKUP(E814,showing[],2,FALSE)</f>
        <v>6</v>
      </c>
      <c r="K814">
        <f>Сектора[[#This Row],[Значение]]</f>
        <v>496399.87422960001</v>
      </c>
      <c r="L814" t="str">
        <f t="shared" si="12"/>
        <v>INSERT INTO msfo.statements (id_company, id_year, id_showing, value) VALUES (7,4,6,496399,8742296);</v>
      </c>
    </row>
    <row r="815" spans="1:12">
      <c r="A815" s="28" t="s">
        <v>41</v>
      </c>
      <c r="B815" s="28" t="s">
        <v>32</v>
      </c>
      <c r="C815" s="28">
        <v>2015</v>
      </c>
      <c r="D815" s="28" t="s">
        <v>1</v>
      </c>
      <c r="E815" s="28" t="s">
        <v>9</v>
      </c>
      <c r="F815" s="28">
        <v>580536</v>
      </c>
      <c r="H815">
        <f>VLOOKUP(A815&amp;B815,ticker_sector[],2,FALSE)</f>
        <v>7</v>
      </c>
      <c r="I815">
        <f>VLOOKUP(C815,year[],2,FALSE)</f>
        <v>5</v>
      </c>
      <c r="J815">
        <f>VLOOKUP(E815,showing[],2,FALSE)</f>
        <v>6</v>
      </c>
      <c r="K815">
        <f>Сектора[[#This Row],[Значение]]</f>
        <v>580536</v>
      </c>
      <c r="L815" t="str">
        <f t="shared" si="12"/>
        <v>INSERT INTO msfo.statements (id_company, id_year, id_showing, value) VALUES (7,5,6,580536);</v>
      </c>
    </row>
    <row r="816" spans="1:12">
      <c r="A816" s="28" t="s">
        <v>41</v>
      </c>
      <c r="B816" s="28" t="s">
        <v>32</v>
      </c>
      <c r="C816" s="28">
        <v>2016</v>
      </c>
      <c r="D816" s="28" t="s">
        <v>1</v>
      </c>
      <c r="E816" s="28" t="s">
        <v>9</v>
      </c>
      <c r="F816" s="28">
        <v>505346</v>
      </c>
      <c r="H816">
        <f>VLOOKUP(A816&amp;B816,ticker_sector[],2,FALSE)</f>
        <v>7</v>
      </c>
      <c r="I816">
        <f>VLOOKUP(C816,year[],2,FALSE)</f>
        <v>6</v>
      </c>
      <c r="J816">
        <f>VLOOKUP(E816,showing[],2,FALSE)</f>
        <v>6</v>
      </c>
      <c r="K816">
        <f>Сектора[[#This Row],[Значение]]</f>
        <v>505346</v>
      </c>
      <c r="L816" t="str">
        <f t="shared" si="12"/>
        <v>INSERT INTO msfo.statements (id_company, id_year, id_showing, value) VALUES (7,6,6,505346);</v>
      </c>
    </row>
    <row r="817" spans="1:12">
      <c r="A817" s="28" t="s">
        <v>41</v>
      </c>
      <c r="B817" s="28" t="s">
        <v>32</v>
      </c>
      <c r="C817" s="28">
        <v>2017</v>
      </c>
      <c r="D817" s="28" t="s">
        <v>1</v>
      </c>
      <c r="E817" s="28" t="s">
        <v>9</v>
      </c>
      <c r="F817" s="28">
        <v>484148</v>
      </c>
      <c r="H817">
        <f>VLOOKUP(A817&amp;B817,ticker_sector[],2,FALSE)</f>
        <v>7</v>
      </c>
      <c r="I817">
        <f>VLOOKUP(C817,year[],2,FALSE)</f>
        <v>7</v>
      </c>
      <c r="J817">
        <f>VLOOKUP(E817,showing[],2,FALSE)</f>
        <v>6</v>
      </c>
      <c r="K817">
        <f>Сектора[[#This Row],[Значение]]</f>
        <v>484148</v>
      </c>
      <c r="L817" t="str">
        <f t="shared" si="12"/>
        <v>INSERT INTO msfo.statements (id_company, id_year, id_showing, value) VALUES (7,7,6,484148);</v>
      </c>
    </row>
    <row r="818" spans="1:12">
      <c r="A818" s="28" t="s">
        <v>41</v>
      </c>
      <c r="B818" s="28" t="s">
        <v>32</v>
      </c>
      <c r="C818" s="28">
        <v>2010</v>
      </c>
      <c r="D818" s="28" t="s">
        <v>1</v>
      </c>
      <c r="E818" s="28" t="s">
        <v>10</v>
      </c>
      <c r="F818" s="28">
        <v>480869.52641160006</v>
      </c>
      <c r="H818">
        <f>VLOOKUP(A818&amp;B818,ticker_sector[],2,FALSE)</f>
        <v>7</v>
      </c>
      <c r="I818">
        <f>VLOOKUP(C818,year[],2,FALSE)</f>
        <v>0</v>
      </c>
      <c r="J818">
        <f>VLOOKUP(E818,showing[],2,FALSE)</f>
        <v>7</v>
      </c>
      <c r="K818">
        <f>Сектора[[#This Row],[Значение]]</f>
        <v>480869.52641160006</v>
      </c>
      <c r="L818" t="str">
        <f t="shared" si="12"/>
        <v>INSERT INTO msfo.statements (id_company, id_year, id_showing, value) VALUES (7,0,7,480869,5264116);</v>
      </c>
    </row>
    <row r="819" spans="1:12">
      <c r="A819" s="28" t="s">
        <v>41</v>
      </c>
      <c r="B819" s="28" t="s">
        <v>32</v>
      </c>
      <c r="C819" s="28">
        <v>2011</v>
      </c>
      <c r="D819" s="28" t="s">
        <v>1</v>
      </c>
      <c r="E819" s="28" t="s">
        <v>10</v>
      </c>
      <c r="F819" s="28">
        <v>621585.53707570001</v>
      </c>
      <c r="H819">
        <f>VLOOKUP(A819&amp;B819,ticker_sector[],2,FALSE)</f>
        <v>7</v>
      </c>
      <c r="I819">
        <f>VLOOKUP(C819,year[],2,FALSE)</f>
        <v>1</v>
      </c>
      <c r="J819">
        <f>VLOOKUP(E819,showing[],2,FALSE)</f>
        <v>7</v>
      </c>
      <c r="K819">
        <f>Сектора[[#This Row],[Значение]]</f>
        <v>621585.53707570001</v>
      </c>
      <c r="L819" t="str">
        <f t="shared" si="12"/>
        <v>INSERT INTO msfo.statements (id_company, id_year, id_showing, value) VALUES (7,1,7,621585,5370757);</v>
      </c>
    </row>
    <row r="820" spans="1:12">
      <c r="A820" s="28" t="s">
        <v>41</v>
      </c>
      <c r="B820" s="28" t="s">
        <v>32</v>
      </c>
      <c r="C820" s="28">
        <v>2012</v>
      </c>
      <c r="D820" s="28" t="s">
        <v>1</v>
      </c>
      <c r="E820" s="28" t="s">
        <v>10</v>
      </c>
      <c r="F820" s="28">
        <v>537454.12942809996</v>
      </c>
      <c r="H820">
        <f>VLOOKUP(A820&amp;B820,ticker_sector[],2,FALSE)</f>
        <v>7</v>
      </c>
      <c r="I820">
        <f>VLOOKUP(C820,year[],2,FALSE)</f>
        <v>2</v>
      </c>
      <c r="J820">
        <f>VLOOKUP(E820,showing[],2,FALSE)</f>
        <v>7</v>
      </c>
      <c r="K820">
        <f>Сектора[[#This Row],[Значение]]</f>
        <v>537454.12942809996</v>
      </c>
      <c r="L820" t="str">
        <f t="shared" si="12"/>
        <v>INSERT INTO msfo.statements (id_company, id_year, id_showing, value) VALUES (7,2,7,537454,1294281);</v>
      </c>
    </row>
    <row r="821" spans="1:12">
      <c r="A821" s="28" t="s">
        <v>41</v>
      </c>
      <c r="B821" s="28" t="s">
        <v>32</v>
      </c>
      <c r="C821" s="28">
        <v>2013</v>
      </c>
      <c r="D821" s="28" t="s">
        <v>1</v>
      </c>
      <c r="E821" s="28" t="s">
        <v>10</v>
      </c>
      <c r="F821" s="28">
        <v>452792.44469199993</v>
      </c>
      <c r="H821">
        <f>VLOOKUP(A821&amp;B821,ticker_sector[],2,FALSE)</f>
        <v>7</v>
      </c>
      <c r="I821">
        <f>VLOOKUP(C821,year[],2,FALSE)</f>
        <v>3</v>
      </c>
      <c r="J821">
        <f>VLOOKUP(E821,showing[],2,FALSE)</f>
        <v>7</v>
      </c>
      <c r="K821">
        <f>Сектора[[#This Row],[Значение]]</f>
        <v>452792.44469199993</v>
      </c>
      <c r="L821" t="str">
        <f t="shared" si="12"/>
        <v>INSERT INTO msfo.statements (id_company, id_year, id_showing, value) VALUES (7,3,7,452792,444692);</v>
      </c>
    </row>
    <row r="822" spans="1:12">
      <c r="A822" s="28" t="s">
        <v>41</v>
      </c>
      <c r="B822" s="28" t="s">
        <v>32</v>
      </c>
      <c r="C822" s="28">
        <v>2014</v>
      </c>
      <c r="D822" s="28" t="s">
        <v>1</v>
      </c>
      <c r="E822" s="28" t="s">
        <v>10</v>
      </c>
      <c r="F822" s="28">
        <v>377690.20581600006</v>
      </c>
      <c r="H822">
        <f>VLOOKUP(A822&amp;B822,ticker_sector[],2,FALSE)</f>
        <v>7</v>
      </c>
      <c r="I822">
        <f>VLOOKUP(C822,year[],2,FALSE)</f>
        <v>4</v>
      </c>
      <c r="J822">
        <f>VLOOKUP(E822,showing[],2,FALSE)</f>
        <v>7</v>
      </c>
      <c r="K822">
        <f>Сектора[[#This Row],[Значение]]</f>
        <v>377690.20581600006</v>
      </c>
      <c r="L822" t="str">
        <f t="shared" si="12"/>
        <v>INSERT INTO msfo.statements (id_company, id_year, id_showing, value) VALUES (7,4,7,377690,205816);</v>
      </c>
    </row>
    <row r="823" spans="1:12">
      <c r="A823" s="28" t="s">
        <v>41</v>
      </c>
      <c r="B823" s="28" t="s">
        <v>32</v>
      </c>
      <c r="C823" s="28">
        <v>2015</v>
      </c>
      <c r="D823" s="28" t="s">
        <v>1</v>
      </c>
      <c r="E823" s="28" t="s">
        <v>10</v>
      </c>
      <c r="F823" s="28">
        <v>342072</v>
      </c>
      <c r="H823">
        <f>VLOOKUP(A823&amp;B823,ticker_sector[],2,FALSE)</f>
        <v>7</v>
      </c>
      <c r="I823">
        <f>VLOOKUP(C823,year[],2,FALSE)</f>
        <v>5</v>
      </c>
      <c r="J823">
        <f>VLOOKUP(E823,showing[],2,FALSE)</f>
        <v>7</v>
      </c>
      <c r="K823">
        <f>Сектора[[#This Row],[Значение]]</f>
        <v>342072</v>
      </c>
      <c r="L823" t="str">
        <f t="shared" si="12"/>
        <v>INSERT INTO msfo.statements (id_company, id_year, id_showing, value) VALUES (7,5,7,342072);</v>
      </c>
    </row>
    <row r="824" spans="1:12">
      <c r="A824" s="28" t="s">
        <v>41</v>
      </c>
      <c r="B824" s="28" t="s">
        <v>32</v>
      </c>
      <c r="C824" s="28">
        <v>2016</v>
      </c>
      <c r="D824" s="28" t="s">
        <v>1</v>
      </c>
      <c r="E824" s="28" t="s">
        <v>10</v>
      </c>
      <c r="F824" s="28">
        <v>325465</v>
      </c>
      <c r="H824">
        <f>VLOOKUP(A824&amp;B824,ticker_sector[],2,FALSE)</f>
        <v>7</v>
      </c>
      <c r="I824">
        <f>VLOOKUP(C824,year[],2,FALSE)</f>
        <v>6</v>
      </c>
      <c r="J824">
        <f>VLOOKUP(E824,showing[],2,FALSE)</f>
        <v>7</v>
      </c>
      <c r="K824">
        <f>Сектора[[#This Row],[Значение]]</f>
        <v>325465</v>
      </c>
      <c r="L824" t="str">
        <f t="shared" si="12"/>
        <v>INSERT INTO msfo.statements (id_company, id_year, id_showing, value) VALUES (7,6,7,325465);</v>
      </c>
    </row>
    <row r="825" spans="1:12">
      <c r="A825" s="28" t="s">
        <v>41</v>
      </c>
      <c r="B825" s="28" t="s">
        <v>32</v>
      </c>
      <c r="C825" s="28">
        <v>2017</v>
      </c>
      <c r="D825" s="28" t="s">
        <v>1</v>
      </c>
      <c r="E825" s="28" t="s">
        <v>10</v>
      </c>
      <c r="F825" s="28">
        <v>319127</v>
      </c>
      <c r="H825">
        <f>VLOOKUP(A825&amp;B825,ticker_sector[],2,FALSE)</f>
        <v>7</v>
      </c>
      <c r="I825">
        <f>VLOOKUP(C825,year[],2,FALSE)</f>
        <v>7</v>
      </c>
      <c r="J825">
        <f>VLOOKUP(E825,showing[],2,FALSE)</f>
        <v>7</v>
      </c>
      <c r="K825">
        <f>Сектора[[#This Row],[Значение]]</f>
        <v>319127</v>
      </c>
      <c r="L825" t="str">
        <f t="shared" si="12"/>
        <v>INSERT INTO msfo.statements (id_company, id_year, id_showing, value) VALUES (7,7,7,319127);</v>
      </c>
    </row>
    <row r="826" spans="1:12">
      <c r="A826" s="28" t="s">
        <v>41</v>
      </c>
      <c r="B826" s="28" t="s">
        <v>32</v>
      </c>
      <c r="C826" s="28">
        <v>2010</v>
      </c>
      <c r="D826" s="28" t="s">
        <v>1</v>
      </c>
      <c r="E826" s="28" t="s">
        <v>11</v>
      </c>
      <c r="F826" s="28">
        <v>0.68621120936504398</v>
      </c>
      <c r="H826">
        <f>VLOOKUP(A826&amp;B826,ticker_sector[],2,FALSE)</f>
        <v>7</v>
      </c>
      <c r="I826">
        <f>VLOOKUP(C826,year[],2,FALSE)</f>
        <v>0</v>
      </c>
      <c r="J826">
        <f>VLOOKUP(E826,showing[],2,FALSE)</f>
        <v>8</v>
      </c>
      <c r="K826">
        <f>Сектора[[#This Row],[Значение]]</f>
        <v>0.68621120936504398</v>
      </c>
      <c r="L826" t="str">
        <f t="shared" si="12"/>
        <v>INSERT INTO msfo.statements (id_company, id_year, id_showing, value) VALUES (7,0,8,0,686211209365044);</v>
      </c>
    </row>
    <row r="827" spans="1:12">
      <c r="A827" s="28" t="s">
        <v>41</v>
      </c>
      <c r="B827" s="28" t="s">
        <v>32</v>
      </c>
      <c r="C827" s="28">
        <v>2011</v>
      </c>
      <c r="D827" s="28" t="s">
        <v>1</v>
      </c>
      <c r="E827" s="28" t="s">
        <v>11</v>
      </c>
      <c r="F827" s="28">
        <v>0.7220936425881439</v>
      </c>
      <c r="H827">
        <f>VLOOKUP(A827&amp;B827,ticker_sector[],2,FALSE)</f>
        <v>7</v>
      </c>
      <c r="I827">
        <f>VLOOKUP(C827,year[],2,FALSE)</f>
        <v>1</v>
      </c>
      <c r="J827">
        <f>VLOOKUP(E827,showing[],2,FALSE)</f>
        <v>8</v>
      </c>
      <c r="K827">
        <f>Сектора[[#This Row],[Значение]]</f>
        <v>0.7220936425881439</v>
      </c>
      <c r="L827" t="str">
        <f t="shared" si="12"/>
        <v>INSERT INTO msfo.statements (id_company, id_year, id_showing, value) VALUES (7,1,8,0,722093642588144);</v>
      </c>
    </row>
    <row r="828" spans="1:12">
      <c r="A828" s="28" t="s">
        <v>41</v>
      </c>
      <c r="B828" s="28" t="s">
        <v>32</v>
      </c>
      <c r="C828" s="28">
        <v>2012</v>
      </c>
      <c r="D828" s="28" t="s">
        <v>1</v>
      </c>
      <c r="E828" s="28" t="s">
        <v>11</v>
      </c>
      <c r="F828" s="28">
        <v>0.79996629614084602</v>
      </c>
      <c r="H828">
        <f>VLOOKUP(A828&amp;B828,ticker_sector[],2,FALSE)</f>
        <v>7</v>
      </c>
      <c r="I828">
        <f>VLOOKUP(C828,year[],2,FALSE)</f>
        <v>2</v>
      </c>
      <c r="J828">
        <f>VLOOKUP(E828,showing[],2,FALSE)</f>
        <v>8</v>
      </c>
      <c r="K828">
        <f>Сектора[[#This Row],[Значение]]</f>
        <v>0.79996629614084602</v>
      </c>
      <c r="L828" t="str">
        <f t="shared" si="12"/>
        <v>INSERT INTO msfo.statements (id_company, id_year, id_showing, value) VALUES (7,2,8,0,799966296140846);</v>
      </c>
    </row>
    <row r="829" spans="1:12">
      <c r="A829" s="28" t="s">
        <v>41</v>
      </c>
      <c r="B829" s="28" t="s">
        <v>32</v>
      </c>
      <c r="C829" s="28">
        <v>2013</v>
      </c>
      <c r="D829" s="28" t="s">
        <v>1</v>
      </c>
      <c r="E829" s="28" t="s">
        <v>11</v>
      </c>
      <c r="F829" s="28">
        <v>0.94131920826975446</v>
      </c>
      <c r="H829">
        <f>VLOOKUP(A829&amp;B829,ticker_sector[],2,FALSE)</f>
        <v>7</v>
      </c>
      <c r="I829">
        <f>VLOOKUP(C829,year[],2,FALSE)</f>
        <v>3</v>
      </c>
      <c r="J829">
        <f>VLOOKUP(E829,showing[],2,FALSE)</f>
        <v>8</v>
      </c>
      <c r="K829">
        <f>Сектора[[#This Row],[Значение]]</f>
        <v>0.94131920826975446</v>
      </c>
      <c r="L829" t="str">
        <f t="shared" si="12"/>
        <v>INSERT INTO msfo.statements (id_company, id_year, id_showing, value) VALUES (7,3,8,0,941319208269754);</v>
      </c>
    </row>
    <row r="830" spans="1:12">
      <c r="A830" s="28" t="s">
        <v>41</v>
      </c>
      <c r="B830" s="28" t="s">
        <v>32</v>
      </c>
      <c r="C830" s="28">
        <v>2014</v>
      </c>
      <c r="D830" s="28" t="s">
        <v>1</v>
      </c>
      <c r="E830" s="28" t="s">
        <v>11</v>
      </c>
      <c r="F830" s="28">
        <v>1.3939338555654361</v>
      </c>
      <c r="H830">
        <f>VLOOKUP(A830&amp;B830,ticker_sector[],2,FALSE)</f>
        <v>7</v>
      </c>
      <c r="I830">
        <f>VLOOKUP(C830,year[],2,FALSE)</f>
        <v>4</v>
      </c>
      <c r="J830">
        <f>VLOOKUP(E830,showing[],2,FALSE)</f>
        <v>8</v>
      </c>
      <c r="K830">
        <f>Сектора[[#This Row],[Значение]]</f>
        <v>1.3939338555654361</v>
      </c>
      <c r="L830" t="str">
        <f t="shared" si="12"/>
        <v>INSERT INTO msfo.statements (id_company, id_year, id_showing, value) VALUES (7,4,8,1,39393385556544);</v>
      </c>
    </row>
    <row r="831" spans="1:12">
      <c r="A831" s="28" t="s">
        <v>41</v>
      </c>
      <c r="B831" s="28" t="s">
        <v>32</v>
      </c>
      <c r="C831" s="28">
        <v>2015</v>
      </c>
      <c r="D831" s="28" t="s">
        <v>1</v>
      </c>
      <c r="E831" s="28" t="s">
        <v>11</v>
      </c>
      <c r="F831" s="28">
        <v>1.7654938141677776</v>
      </c>
      <c r="H831">
        <f>VLOOKUP(A831&amp;B831,ticker_sector[],2,FALSE)</f>
        <v>7</v>
      </c>
      <c r="I831">
        <f>VLOOKUP(C831,year[],2,FALSE)</f>
        <v>5</v>
      </c>
      <c r="J831">
        <f>VLOOKUP(E831,showing[],2,FALSE)</f>
        <v>8</v>
      </c>
      <c r="K831">
        <f>Сектора[[#This Row],[Значение]]</f>
        <v>1.7654938141677776</v>
      </c>
      <c r="L831" t="str">
        <f t="shared" si="12"/>
        <v>INSERT INTO msfo.statements (id_company, id_year, id_showing, value) VALUES (7,5,8,1,76549381416778);</v>
      </c>
    </row>
    <row r="832" spans="1:12">
      <c r="A832" s="28" t="s">
        <v>41</v>
      </c>
      <c r="B832" s="28" t="s">
        <v>32</v>
      </c>
      <c r="C832" s="28">
        <v>2016</v>
      </c>
      <c r="D832" s="28" t="s">
        <v>1</v>
      </c>
      <c r="E832" s="28" t="s">
        <v>11</v>
      </c>
      <c r="F832" s="28">
        <v>1.7760834498333153</v>
      </c>
      <c r="H832">
        <f>VLOOKUP(A832&amp;B832,ticker_sector[],2,FALSE)</f>
        <v>7</v>
      </c>
      <c r="I832">
        <f>VLOOKUP(C832,year[],2,FALSE)</f>
        <v>6</v>
      </c>
      <c r="J832">
        <f>VLOOKUP(E832,showing[],2,FALSE)</f>
        <v>8</v>
      </c>
      <c r="K832">
        <f>Сектора[[#This Row],[Значение]]</f>
        <v>1.7760834498333153</v>
      </c>
      <c r="L832" t="str">
        <f t="shared" si="12"/>
        <v>INSERT INTO msfo.statements (id_company, id_year, id_showing, value) VALUES (7,6,8,1,77608344983332);</v>
      </c>
    </row>
    <row r="833" spans="1:12">
      <c r="A833" s="28" t="s">
        <v>41</v>
      </c>
      <c r="B833" s="28" t="s">
        <v>32</v>
      </c>
      <c r="C833" s="28">
        <v>2017</v>
      </c>
      <c r="D833" s="28" t="s">
        <v>1</v>
      </c>
      <c r="E833" s="28" t="s">
        <v>11</v>
      </c>
      <c r="F833" s="28">
        <v>1.7650026478486622</v>
      </c>
      <c r="H833">
        <f>VLOOKUP(A833&amp;B833,ticker_sector[],2,FALSE)</f>
        <v>7</v>
      </c>
      <c r="I833">
        <f>VLOOKUP(C833,year[],2,FALSE)</f>
        <v>7</v>
      </c>
      <c r="J833">
        <f>VLOOKUP(E833,showing[],2,FALSE)</f>
        <v>8</v>
      </c>
      <c r="K833">
        <f>Сектора[[#This Row],[Значение]]</f>
        <v>1.7650026478486622</v>
      </c>
      <c r="L833" t="str">
        <f t="shared" si="12"/>
        <v>INSERT INTO msfo.statements (id_company, id_year, id_showing, value) VALUES (7,7,8,1,76500264784866);</v>
      </c>
    </row>
    <row r="834" spans="1:12">
      <c r="A834" s="28" t="s">
        <v>41</v>
      </c>
      <c r="B834" s="28" t="s">
        <v>32</v>
      </c>
      <c r="C834" s="28">
        <v>2010</v>
      </c>
      <c r="D834" s="28" t="s">
        <v>4</v>
      </c>
      <c r="E834" s="28" t="s">
        <v>12</v>
      </c>
      <c r="F834" s="28">
        <v>297028.9645684</v>
      </c>
      <c r="H834">
        <f>VLOOKUP(A834&amp;B834,ticker_sector[],2,FALSE)</f>
        <v>7</v>
      </c>
      <c r="I834">
        <f>VLOOKUP(C834,year[],2,FALSE)</f>
        <v>0</v>
      </c>
      <c r="J834">
        <f>VLOOKUP(E834,showing[],2,FALSE)</f>
        <v>9</v>
      </c>
      <c r="K834">
        <f>Сектора[[#This Row],[Значение]]</f>
        <v>297028.9645684</v>
      </c>
      <c r="L834" t="str">
        <f t="shared" si="12"/>
        <v>INSERT INTO msfo.statements (id_company, id_year, id_showing, value) VALUES (7,0,9,297028,9645684);</v>
      </c>
    </row>
    <row r="835" spans="1:12">
      <c r="A835" s="28" t="s">
        <v>41</v>
      </c>
      <c r="B835" s="28" t="s">
        <v>32</v>
      </c>
      <c r="C835" s="28">
        <v>2011</v>
      </c>
      <c r="D835" s="28" t="s">
        <v>4</v>
      </c>
      <c r="E835" s="28" t="s">
        <v>12</v>
      </c>
      <c r="F835" s="28">
        <v>403941.44648849999</v>
      </c>
      <c r="H835">
        <f>VLOOKUP(A835&amp;B835,ticker_sector[],2,FALSE)</f>
        <v>7</v>
      </c>
      <c r="I835">
        <f>VLOOKUP(C835,year[],2,FALSE)</f>
        <v>1</v>
      </c>
      <c r="J835">
        <f>VLOOKUP(E835,showing[],2,FALSE)</f>
        <v>9</v>
      </c>
      <c r="K835">
        <f>Сектора[[#This Row],[Значение]]</f>
        <v>403941.44648849999</v>
      </c>
      <c r="L835" t="str">
        <f t="shared" ref="L835:L898" si="13">"INSERT INTO msfo.statements (id_company, id_year, id_showing, value) VALUES ("&amp;H835&amp; ","&amp;I835&amp; ","&amp;J835&amp; ","&amp;K835&amp;");"</f>
        <v>INSERT INTO msfo.statements (id_company, id_year, id_showing, value) VALUES (7,1,9,403941,4464885);</v>
      </c>
    </row>
    <row r="836" spans="1:12">
      <c r="A836" s="28" t="s">
        <v>41</v>
      </c>
      <c r="B836" s="28" t="s">
        <v>32</v>
      </c>
      <c r="C836" s="28">
        <v>2012</v>
      </c>
      <c r="D836" s="28" t="s">
        <v>4</v>
      </c>
      <c r="E836" s="28" t="s">
        <v>12</v>
      </c>
      <c r="F836" s="28">
        <v>342450.15752910002</v>
      </c>
      <c r="H836">
        <f>VLOOKUP(A836&amp;B836,ticker_sector[],2,FALSE)</f>
        <v>7</v>
      </c>
      <c r="I836">
        <f>VLOOKUP(C836,year[],2,FALSE)</f>
        <v>2</v>
      </c>
      <c r="J836">
        <f>VLOOKUP(E836,showing[],2,FALSE)</f>
        <v>9</v>
      </c>
      <c r="K836">
        <f>Сектора[[#This Row],[Значение]]</f>
        <v>342450.15752910002</v>
      </c>
      <c r="L836" t="str">
        <f t="shared" si="13"/>
        <v>INSERT INTO msfo.statements (id_company, id_year, id_showing, value) VALUES (7,2,9,342450,1575291);</v>
      </c>
    </row>
    <row r="837" spans="1:12">
      <c r="A837" s="28" t="s">
        <v>41</v>
      </c>
      <c r="B837" s="28" t="s">
        <v>32</v>
      </c>
      <c r="C837" s="28">
        <v>2013</v>
      </c>
      <c r="D837" s="28" t="s">
        <v>4</v>
      </c>
      <c r="E837" s="28" t="s">
        <v>12</v>
      </c>
      <c r="F837" s="28">
        <v>280699.7254852</v>
      </c>
      <c r="H837">
        <f>VLOOKUP(A837&amp;B837,ticker_sector[],2,FALSE)</f>
        <v>7</v>
      </c>
      <c r="I837">
        <f>VLOOKUP(C837,year[],2,FALSE)</f>
        <v>3</v>
      </c>
      <c r="J837">
        <f>VLOOKUP(E837,showing[],2,FALSE)</f>
        <v>9</v>
      </c>
      <c r="K837">
        <f>Сектора[[#This Row],[Значение]]</f>
        <v>280699.7254852</v>
      </c>
      <c r="L837" t="str">
        <f t="shared" si="13"/>
        <v>INSERT INTO msfo.statements (id_company, id_year, id_showing, value) VALUES (7,3,9,280699,7254852);</v>
      </c>
    </row>
    <row r="838" spans="1:12">
      <c r="A838" s="28" t="s">
        <v>41</v>
      </c>
      <c r="B838" s="28" t="s">
        <v>32</v>
      </c>
      <c r="C838" s="28">
        <v>2014</v>
      </c>
      <c r="D838" s="28" t="s">
        <v>4</v>
      </c>
      <c r="E838" s="28" t="s">
        <v>12</v>
      </c>
      <c r="F838" s="28">
        <v>360378.2021928</v>
      </c>
      <c r="H838">
        <f>VLOOKUP(A838&amp;B838,ticker_sector[],2,FALSE)</f>
        <v>7</v>
      </c>
      <c r="I838">
        <f>VLOOKUP(C838,year[],2,FALSE)</f>
        <v>4</v>
      </c>
      <c r="J838">
        <f>VLOOKUP(E838,showing[],2,FALSE)</f>
        <v>9</v>
      </c>
      <c r="K838">
        <f>Сектора[[#This Row],[Значение]]</f>
        <v>360378.2021928</v>
      </c>
      <c r="L838" t="str">
        <f t="shared" si="13"/>
        <v>INSERT INTO msfo.statements (id_company, id_year, id_showing, value) VALUES (7,4,9,360378,2021928);</v>
      </c>
    </row>
    <row r="839" spans="1:12">
      <c r="A839" s="28" t="s">
        <v>41</v>
      </c>
      <c r="B839" s="28" t="s">
        <v>32</v>
      </c>
      <c r="C839" s="28">
        <v>2015</v>
      </c>
      <c r="D839" s="28" t="s">
        <v>4</v>
      </c>
      <c r="E839" s="28" t="s">
        <v>12</v>
      </c>
      <c r="F839" s="28">
        <v>253141</v>
      </c>
      <c r="H839">
        <f>VLOOKUP(A839&amp;B839,ticker_sector[],2,FALSE)</f>
        <v>7</v>
      </c>
      <c r="I839">
        <f>VLOOKUP(C839,year[],2,FALSE)</f>
        <v>5</v>
      </c>
      <c r="J839">
        <f>VLOOKUP(E839,showing[],2,FALSE)</f>
        <v>9</v>
      </c>
      <c r="K839">
        <f>Сектора[[#This Row],[Значение]]</f>
        <v>253141</v>
      </c>
      <c r="L839" t="str">
        <f t="shared" si="13"/>
        <v>INSERT INTO msfo.statements (id_company, id_year, id_showing, value) VALUES (7,5,9,253141);</v>
      </c>
    </row>
    <row r="840" spans="1:12">
      <c r="A840" s="28" t="s">
        <v>41</v>
      </c>
      <c r="B840" s="28" t="s">
        <v>32</v>
      </c>
      <c r="C840" s="28">
        <v>2016</v>
      </c>
      <c r="D840" s="28" t="s">
        <v>4</v>
      </c>
      <c r="E840" s="28" t="s">
        <v>12</v>
      </c>
      <c r="F840" s="28">
        <v>129687</v>
      </c>
      <c r="H840">
        <f>VLOOKUP(A840&amp;B840,ticker_sector[],2,FALSE)</f>
        <v>7</v>
      </c>
      <c r="I840">
        <f>VLOOKUP(C840,year[],2,FALSE)</f>
        <v>6</v>
      </c>
      <c r="J840">
        <f>VLOOKUP(E840,showing[],2,FALSE)</f>
        <v>9</v>
      </c>
      <c r="K840">
        <f>Сектора[[#This Row],[Значение]]</f>
        <v>129687</v>
      </c>
      <c r="L840" t="str">
        <f t="shared" si="13"/>
        <v>INSERT INTO msfo.statements (id_company, id_year, id_showing, value) VALUES (7,6,9,129687);</v>
      </c>
    </row>
    <row r="841" spans="1:12">
      <c r="A841" s="28" t="s">
        <v>41</v>
      </c>
      <c r="B841" s="28" t="s">
        <v>32</v>
      </c>
      <c r="C841" s="28">
        <v>2017</v>
      </c>
      <c r="D841" s="28" t="s">
        <v>4</v>
      </c>
      <c r="E841" s="28" t="s">
        <v>12</v>
      </c>
      <c r="F841" s="28">
        <v>138757</v>
      </c>
      <c r="H841">
        <f>VLOOKUP(A841&amp;B841,ticker_sector[],2,FALSE)</f>
        <v>7</v>
      </c>
      <c r="I841">
        <f>VLOOKUP(C841,year[],2,FALSE)</f>
        <v>7</v>
      </c>
      <c r="J841">
        <f>VLOOKUP(E841,showing[],2,FALSE)</f>
        <v>9</v>
      </c>
      <c r="K841">
        <f>Сектора[[#This Row],[Значение]]</f>
        <v>138757</v>
      </c>
      <c r="L841" t="str">
        <f t="shared" si="13"/>
        <v>INSERT INTO msfo.statements (id_company, id_year, id_showing, value) VALUES (7,7,9,138757);</v>
      </c>
    </row>
    <row r="842" spans="1:12">
      <c r="A842" s="28" t="s">
        <v>41</v>
      </c>
      <c r="B842" s="28" t="s">
        <v>32</v>
      </c>
      <c r="C842" s="28">
        <v>2010</v>
      </c>
      <c r="D842" s="28" t="s">
        <v>4</v>
      </c>
      <c r="E842" s="28" t="s">
        <v>13</v>
      </c>
      <c r="F842" s="28">
        <v>20029.814879699999</v>
      </c>
      <c r="H842">
        <f>VLOOKUP(A842&amp;B842,ticker_sector[],2,FALSE)</f>
        <v>7</v>
      </c>
      <c r="I842">
        <f>VLOOKUP(C842,year[],2,FALSE)</f>
        <v>0</v>
      </c>
      <c r="J842">
        <f>VLOOKUP(E842,showing[],2,FALSE)</f>
        <v>10</v>
      </c>
      <c r="K842">
        <f>Сектора[[#This Row],[Значение]]</f>
        <v>20029.814879699999</v>
      </c>
      <c r="L842" t="str">
        <f t="shared" si="13"/>
        <v>INSERT INTO msfo.statements (id_company, id_year, id_showing, value) VALUES (7,0,10,20029,8148797);</v>
      </c>
    </row>
    <row r="843" spans="1:12">
      <c r="A843" s="28" t="s">
        <v>41</v>
      </c>
      <c r="B843" s="28" t="s">
        <v>32</v>
      </c>
      <c r="C843" s="28">
        <v>2011</v>
      </c>
      <c r="D843" s="28" t="s">
        <v>4</v>
      </c>
      <c r="E843" s="28" t="s">
        <v>13</v>
      </c>
      <c r="F843" s="28">
        <v>23435.058248500001</v>
      </c>
      <c r="H843">
        <f>VLOOKUP(A843&amp;B843,ticker_sector[],2,FALSE)</f>
        <v>7</v>
      </c>
      <c r="I843">
        <f>VLOOKUP(C843,year[],2,FALSE)</f>
        <v>1</v>
      </c>
      <c r="J843">
        <f>VLOOKUP(E843,showing[],2,FALSE)</f>
        <v>10</v>
      </c>
      <c r="K843">
        <f>Сектора[[#This Row],[Значение]]</f>
        <v>23435.058248500001</v>
      </c>
      <c r="L843" t="str">
        <f t="shared" si="13"/>
        <v>INSERT INTO msfo.statements (id_company, id_year, id_showing, value) VALUES (7,1,10,23435,0582485);</v>
      </c>
    </row>
    <row r="844" spans="1:12">
      <c r="A844" s="28" t="s">
        <v>41</v>
      </c>
      <c r="B844" s="28" t="s">
        <v>32</v>
      </c>
      <c r="C844" s="28">
        <v>2012</v>
      </c>
      <c r="D844" s="28" t="s">
        <v>4</v>
      </c>
      <c r="E844" s="28" t="s">
        <v>13</v>
      </c>
      <c r="F844" s="28">
        <v>-50557.424493599996</v>
      </c>
      <c r="H844">
        <f>VLOOKUP(A844&amp;B844,ticker_sector[],2,FALSE)</f>
        <v>7</v>
      </c>
      <c r="I844">
        <f>VLOOKUP(C844,year[],2,FALSE)</f>
        <v>2</v>
      </c>
      <c r="J844">
        <f>VLOOKUP(E844,showing[],2,FALSE)</f>
        <v>10</v>
      </c>
      <c r="K844">
        <f>Сектора[[#This Row],[Значение]]</f>
        <v>-50557.424493599996</v>
      </c>
      <c r="L844" t="str">
        <f t="shared" si="13"/>
        <v>INSERT INTO msfo.statements (id_company, id_year, id_showing, value) VALUES (7,2,10,-50557,4244936);</v>
      </c>
    </row>
    <row r="845" spans="1:12">
      <c r="A845" s="28" t="s">
        <v>41</v>
      </c>
      <c r="B845" s="28" t="s">
        <v>32</v>
      </c>
      <c r="C845" s="28">
        <v>2013</v>
      </c>
      <c r="D845" s="28" t="s">
        <v>4</v>
      </c>
      <c r="E845" s="28" t="s">
        <v>13</v>
      </c>
      <c r="F845" s="28">
        <v>-95831.555808799996</v>
      </c>
      <c r="H845">
        <f>VLOOKUP(A845&amp;B845,ticker_sector[],2,FALSE)</f>
        <v>7</v>
      </c>
      <c r="I845">
        <f>VLOOKUP(C845,year[],2,FALSE)</f>
        <v>3</v>
      </c>
      <c r="J845">
        <f>VLOOKUP(E845,showing[],2,FALSE)</f>
        <v>10</v>
      </c>
      <c r="K845">
        <f>Сектора[[#This Row],[Значение]]</f>
        <v>-95831.555808799996</v>
      </c>
      <c r="L845" t="str">
        <f t="shared" si="13"/>
        <v>INSERT INTO msfo.statements (id_company, id_year, id_showing, value) VALUES (7,3,10,-95831,5558088);</v>
      </c>
    </row>
    <row r="846" spans="1:12">
      <c r="A846" s="28" t="s">
        <v>41</v>
      </c>
      <c r="B846" s="28" t="s">
        <v>32</v>
      </c>
      <c r="C846" s="28">
        <v>2014</v>
      </c>
      <c r="D846" s="28" t="s">
        <v>4</v>
      </c>
      <c r="E846" s="28" t="s">
        <v>13</v>
      </c>
      <c r="F846" s="28">
        <v>-243911.10612000001</v>
      </c>
      <c r="H846">
        <f>VLOOKUP(A846&amp;B846,ticker_sector[],2,FALSE)</f>
        <v>7</v>
      </c>
      <c r="I846">
        <f>VLOOKUP(C846,year[],2,FALSE)</f>
        <v>4</v>
      </c>
      <c r="J846">
        <f>VLOOKUP(E846,showing[],2,FALSE)</f>
        <v>10</v>
      </c>
      <c r="K846">
        <f>Сектора[[#This Row],[Значение]]</f>
        <v>-243911.10612000001</v>
      </c>
      <c r="L846" t="str">
        <f t="shared" si="13"/>
        <v>INSERT INTO msfo.statements (id_company, id_year, id_showing, value) VALUES (7,4,10,-243911,10612);</v>
      </c>
    </row>
    <row r="847" spans="1:12">
      <c r="A847" s="28" t="s">
        <v>41</v>
      </c>
      <c r="B847" s="28" t="s">
        <v>32</v>
      </c>
      <c r="C847" s="28">
        <v>2015</v>
      </c>
      <c r="D847" s="28" t="s">
        <v>4</v>
      </c>
      <c r="E847" s="28" t="s">
        <v>13</v>
      </c>
      <c r="F847" s="28">
        <v>-115163</v>
      </c>
      <c r="H847">
        <f>VLOOKUP(A847&amp;B847,ticker_sector[],2,FALSE)</f>
        <v>7</v>
      </c>
      <c r="I847">
        <f>VLOOKUP(C847,year[],2,FALSE)</f>
        <v>5</v>
      </c>
      <c r="J847">
        <f>VLOOKUP(E847,showing[],2,FALSE)</f>
        <v>10</v>
      </c>
      <c r="K847">
        <f>Сектора[[#This Row],[Значение]]</f>
        <v>-115163</v>
      </c>
      <c r="L847" t="str">
        <f t="shared" si="13"/>
        <v>INSERT INTO msfo.statements (id_company, id_year, id_showing, value) VALUES (7,5,10,-115163);</v>
      </c>
    </row>
    <row r="848" spans="1:12">
      <c r="A848" s="28" t="s">
        <v>41</v>
      </c>
      <c r="B848" s="28" t="s">
        <v>32</v>
      </c>
      <c r="C848" s="28">
        <v>2016</v>
      </c>
      <c r="D848" s="28" t="s">
        <v>4</v>
      </c>
      <c r="E848" s="28" t="s">
        <v>13</v>
      </c>
      <c r="F848" s="28">
        <v>7126</v>
      </c>
      <c r="H848">
        <f>VLOOKUP(A848&amp;B848,ticker_sector[],2,FALSE)</f>
        <v>7</v>
      </c>
      <c r="I848">
        <f>VLOOKUP(C848,year[],2,FALSE)</f>
        <v>6</v>
      </c>
      <c r="J848">
        <f>VLOOKUP(E848,showing[],2,FALSE)</f>
        <v>10</v>
      </c>
      <c r="K848">
        <f>Сектора[[#This Row],[Значение]]</f>
        <v>7126</v>
      </c>
      <c r="L848" t="str">
        <f t="shared" si="13"/>
        <v>INSERT INTO msfo.statements (id_company, id_year, id_showing, value) VALUES (7,6,10,7126);</v>
      </c>
    </row>
    <row r="849" spans="1:12">
      <c r="A849" s="28" t="s">
        <v>41</v>
      </c>
      <c r="B849" s="28" t="s">
        <v>32</v>
      </c>
      <c r="C849" s="28">
        <v>2017</v>
      </c>
      <c r="D849" s="28" t="s">
        <v>4</v>
      </c>
      <c r="E849" s="28" t="s">
        <v>13</v>
      </c>
      <c r="F849" s="28">
        <v>11557</v>
      </c>
      <c r="H849">
        <f>VLOOKUP(A849&amp;B849,ticker_sector[],2,FALSE)</f>
        <v>7</v>
      </c>
      <c r="I849">
        <f>VLOOKUP(C849,year[],2,FALSE)</f>
        <v>7</v>
      </c>
      <c r="J849">
        <f>VLOOKUP(E849,showing[],2,FALSE)</f>
        <v>10</v>
      </c>
      <c r="K849">
        <f>Сектора[[#This Row],[Значение]]</f>
        <v>11557</v>
      </c>
      <c r="L849" t="str">
        <f t="shared" si="13"/>
        <v>INSERT INTO msfo.statements (id_company, id_year, id_showing, value) VALUES (7,7,10,11557);</v>
      </c>
    </row>
    <row r="850" spans="1:12">
      <c r="A850" s="28" t="s">
        <v>41</v>
      </c>
      <c r="B850" s="28" t="s">
        <v>32</v>
      </c>
      <c r="C850" s="28">
        <v>2010</v>
      </c>
      <c r="D850" s="28" t="s">
        <v>4</v>
      </c>
      <c r="E850" s="28" t="s">
        <v>14</v>
      </c>
      <c r="F850" s="28">
        <v>9746.0360000000001</v>
      </c>
      <c r="H850">
        <f>VLOOKUP(A850&amp;B850,ticker_sector[],2,FALSE)</f>
        <v>7</v>
      </c>
      <c r="I850">
        <f>VLOOKUP(C850,year[],2,FALSE)</f>
        <v>0</v>
      </c>
      <c r="J850">
        <f>VLOOKUP(E850,showing[],2,FALSE)</f>
        <v>11</v>
      </c>
      <c r="K850">
        <f>Сектора[[#This Row],[Значение]]</f>
        <v>9746.0360000000001</v>
      </c>
      <c r="L850" t="str">
        <f t="shared" si="13"/>
        <v>INSERT INTO msfo.statements (id_company, id_year, id_showing, value) VALUES (7,0,11,9746,036);</v>
      </c>
    </row>
    <row r="851" spans="1:12">
      <c r="A851" s="28" t="s">
        <v>41</v>
      </c>
      <c r="B851" s="28" t="s">
        <v>32</v>
      </c>
      <c r="C851" s="28">
        <v>2011</v>
      </c>
      <c r="D851" s="28" t="s">
        <v>4</v>
      </c>
      <c r="E851" s="28" t="s">
        <v>14</v>
      </c>
      <c r="F851" s="28">
        <v>12546.285</v>
      </c>
      <c r="H851">
        <f>VLOOKUP(A851&amp;B851,ticker_sector[],2,FALSE)</f>
        <v>7</v>
      </c>
      <c r="I851">
        <f>VLOOKUP(C851,year[],2,FALSE)</f>
        <v>1</v>
      </c>
      <c r="J851">
        <f>VLOOKUP(E851,showing[],2,FALSE)</f>
        <v>11</v>
      </c>
      <c r="K851">
        <f>Сектора[[#This Row],[Значение]]</f>
        <v>12546.285</v>
      </c>
      <c r="L851" t="str">
        <f t="shared" si="13"/>
        <v>INSERT INTO msfo.statements (id_company, id_year, id_showing, value) VALUES (7,1,11,12546,285);</v>
      </c>
    </row>
    <row r="852" spans="1:12">
      <c r="A852" s="28" t="s">
        <v>41</v>
      </c>
      <c r="B852" s="28" t="s">
        <v>32</v>
      </c>
      <c r="C852" s="28">
        <v>2012</v>
      </c>
      <c r="D852" s="28" t="s">
        <v>4</v>
      </c>
      <c r="E852" s="28" t="s">
        <v>14</v>
      </c>
      <c r="F852" s="28">
        <v>11274.933000000001</v>
      </c>
      <c r="H852">
        <f>VLOOKUP(A852&amp;B852,ticker_sector[],2,FALSE)</f>
        <v>7</v>
      </c>
      <c r="I852">
        <f>VLOOKUP(C852,year[],2,FALSE)</f>
        <v>2</v>
      </c>
      <c r="J852">
        <f>VLOOKUP(E852,showing[],2,FALSE)</f>
        <v>11</v>
      </c>
      <c r="K852">
        <f>Сектора[[#This Row],[Значение]]</f>
        <v>11274.933000000001</v>
      </c>
      <c r="L852" t="str">
        <f t="shared" si="13"/>
        <v>INSERT INTO msfo.statements (id_company, id_year, id_showing, value) VALUES (7,2,11,11274,933);</v>
      </c>
    </row>
    <row r="853" spans="1:12">
      <c r="A853" s="28" t="s">
        <v>41</v>
      </c>
      <c r="B853" s="28" t="s">
        <v>32</v>
      </c>
      <c r="C853" s="28">
        <v>2013</v>
      </c>
      <c r="D853" s="28" t="s">
        <v>4</v>
      </c>
      <c r="E853" s="28" t="s">
        <v>14</v>
      </c>
      <c r="F853" s="28">
        <v>8576.4310000000005</v>
      </c>
      <c r="H853">
        <f>VLOOKUP(A853&amp;B853,ticker_sector[],2,FALSE)</f>
        <v>7</v>
      </c>
      <c r="I853">
        <f>VLOOKUP(C853,year[],2,FALSE)</f>
        <v>3</v>
      </c>
      <c r="J853">
        <f>VLOOKUP(E853,showing[],2,FALSE)</f>
        <v>11</v>
      </c>
      <c r="K853">
        <f>Сектора[[#This Row],[Значение]]</f>
        <v>8576.4310000000005</v>
      </c>
      <c r="L853" t="str">
        <f t="shared" si="13"/>
        <v>INSERT INTO msfo.statements (id_company, id_year, id_showing, value) VALUES (7,3,11,8576,431);</v>
      </c>
    </row>
    <row r="854" spans="1:12">
      <c r="A854" s="28" t="s">
        <v>41</v>
      </c>
      <c r="B854" s="28" t="s">
        <v>32</v>
      </c>
      <c r="C854" s="28">
        <v>2014</v>
      </c>
      <c r="D854" s="28" t="s">
        <v>4</v>
      </c>
      <c r="E854" s="28" t="s">
        <v>14</v>
      </c>
      <c r="F854" s="28">
        <v>6405.7669999999998</v>
      </c>
      <c r="H854">
        <f>VLOOKUP(A854&amp;B854,ticker_sector[],2,FALSE)</f>
        <v>7</v>
      </c>
      <c r="I854">
        <f>VLOOKUP(C854,year[],2,FALSE)</f>
        <v>4</v>
      </c>
      <c r="J854">
        <f>VLOOKUP(E854,showing[],2,FALSE)</f>
        <v>11</v>
      </c>
      <c r="K854">
        <f>Сектора[[#This Row],[Значение]]</f>
        <v>6405.7669999999998</v>
      </c>
      <c r="L854" t="str">
        <f t="shared" si="13"/>
        <v>INSERT INTO msfo.statements (id_company, id_year, id_showing, value) VALUES (7,4,11,6405,767);</v>
      </c>
    </row>
    <row r="855" spans="1:12">
      <c r="A855" s="28" t="s">
        <v>41</v>
      </c>
      <c r="B855" s="28" t="s">
        <v>32</v>
      </c>
      <c r="C855" s="28">
        <v>2015</v>
      </c>
      <c r="D855" s="28" t="s">
        <v>4</v>
      </c>
      <c r="E855" s="28" t="s">
        <v>14</v>
      </c>
      <c r="F855" s="28">
        <v>3473.2659465140559</v>
      </c>
      <c r="H855">
        <f>VLOOKUP(A855&amp;B855,ticker_sector[],2,FALSE)</f>
        <v>7</v>
      </c>
      <c r="I855">
        <f>VLOOKUP(C855,year[],2,FALSE)</f>
        <v>5</v>
      </c>
      <c r="J855">
        <f>VLOOKUP(E855,showing[],2,FALSE)</f>
        <v>11</v>
      </c>
      <c r="K855">
        <f>Сектора[[#This Row],[Значение]]</f>
        <v>3473.2659465140559</v>
      </c>
      <c r="L855" t="str">
        <f t="shared" si="13"/>
        <v>INSERT INTO msfo.statements (id_company, id_year, id_showing, value) VALUES (7,5,11,3473,26594651406);</v>
      </c>
    </row>
    <row r="856" spans="1:12">
      <c r="A856" s="28" t="s">
        <v>41</v>
      </c>
      <c r="B856" s="28" t="s">
        <v>32</v>
      </c>
      <c r="C856" s="28">
        <v>2016</v>
      </c>
      <c r="D856" s="28" t="s">
        <v>4</v>
      </c>
      <c r="E856" s="28" t="s">
        <v>14</v>
      </c>
      <c r="F856" s="28">
        <v>2138.042003465393</v>
      </c>
      <c r="H856">
        <f>VLOOKUP(A856&amp;B856,ticker_sector[],2,FALSE)</f>
        <v>7</v>
      </c>
      <c r="I856">
        <f>VLOOKUP(C856,year[],2,FALSE)</f>
        <v>6</v>
      </c>
      <c r="J856">
        <f>VLOOKUP(E856,showing[],2,FALSE)</f>
        <v>11</v>
      </c>
      <c r="K856">
        <f>Сектора[[#This Row],[Значение]]</f>
        <v>2138.042003465393</v>
      </c>
      <c r="L856" t="str">
        <f t="shared" si="13"/>
        <v>INSERT INTO msfo.statements (id_company, id_year, id_showing, value) VALUES (7,6,11,2138,04200346539);</v>
      </c>
    </row>
    <row r="857" spans="1:12">
      <c r="A857" s="28" t="s">
        <v>41</v>
      </c>
      <c r="B857" s="28" t="s">
        <v>32</v>
      </c>
      <c r="C857" s="28">
        <v>2017</v>
      </c>
      <c r="D857" s="28" t="s">
        <v>4</v>
      </c>
      <c r="E857" s="28" t="s">
        <v>14</v>
      </c>
      <c r="F857" s="28">
        <v>2408.9673299745486</v>
      </c>
      <c r="H857">
        <f>VLOOKUP(A857&amp;B857,ticker_sector[],2,FALSE)</f>
        <v>7</v>
      </c>
      <c r="I857">
        <f>VLOOKUP(C857,year[],2,FALSE)</f>
        <v>7</v>
      </c>
      <c r="J857">
        <f>VLOOKUP(E857,showing[],2,FALSE)</f>
        <v>11</v>
      </c>
      <c r="K857">
        <f>Сектора[[#This Row],[Значение]]</f>
        <v>2408.9673299745486</v>
      </c>
      <c r="L857" t="str">
        <f t="shared" si="13"/>
        <v>INSERT INTO msfo.statements (id_company, id_year, id_showing, value) VALUES (7,7,11,2408,96732997455);</v>
      </c>
    </row>
    <row r="858" spans="1:12">
      <c r="A858" s="28" t="s">
        <v>41</v>
      </c>
      <c r="B858" s="28" t="s">
        <v>32</v>
      </c>
      <c r="C858" s="28">
        <v>2010</v>
      </c>
      <c r="D858" s="28" t="s">
        <v>4</v>
      </c>
      <c r="E858" s="28" t="s">
        <v>15</v>
      </c>
      <c r="F858" s="28">
        <v>657.21299999999997</v>
      </c>
      <c r="H858">
        <f>VLOOKUP(A858&amp;B858,ticker_sector[],2,FALSE)</f>
        <v>7</v>
      </c>
      <c r="I858">
        <f>VLOOKUP(C858,year[],2,FALSE)</f>
        <v>0</v>
      </c>
      <c r="J858">
        <f>VLOOKUP(E858,showing[],2,FALSE)</f>
        <v>12</v>
      </c>
      <c r="K858">
        <f>Сектора[[#This Row],[Значение]]</f>
        <v>657.21299999999997</v>
      </c>
      <c r="L858" t="str">
        <f t="shared" si="13"/>
        <v>INSERT INTO msfo.statements (id_company, id_year, id_showing, value) VALUES (7,0,12,657,213);</v>
      </c>
    </row>
    <row r="859" spans="1:12">
      <c r="A859" s="28" t="s">
        <v>41</v>
      </c>
      <c r="B859" s="28" t="s">
        <v>32</v>
      </c>
      <c r="C859" s="28">
        <v>2011</v>
      </c>
      <c r="D859" s="28" t="s">
        <v>4</v>
      </c>
      <c r="E859" s="28" t="s">
        <v>15</v>
      </c>
      <c r="F859" s="28">
        <v>727.88499999999999</v>
      </c>
      <c r="H859">
        <f>VLOOKUP(A859&amp;B859,ticker_sector[],2,FALSE)</f>
        <v>7</v>
      </c>
      <c r="I859">
        <f>VLOOKUP(C859,year[],2,FALSE)</f>
        <v>1</v>
      </c>
      <c r="J859">
        <f>VLOOKUP(E859,showing[],2,FALSE)</f>
        <v>12</v>
      </c>
      <c r="K859">
        <f>Сектора[[#This Row],[Значение]]</f>
        <v>727.88499999999999</v>
      </c>
      <c r="L859" t="str">
        <f t="shared" si="13"/>
        <v>INSERT INTO msfo.statements (id_company, id_year, id_showing, value) VALUES (7,1,12,727,885);</v>
      </c>
    </row>
    <row r="860" spans="1:12">
      <c r="A860" s="28" t="s">
        <v>41</v>
      </c>
      <c r="B860" s="28" t="s">
        <v>32</v>
      </c>
      <c r="C860" s="28">
        <v>2012</v>
      </c>
      <c r="D860" s="28" t="s">
        <v>4</v>
      </c>
      <c r="E860" s="28" t="s">
        <v>15</v>
      </c>
      <c r="F860" s="28">
        <v>-1664.568</v>
      </c>
      <c r="H860">
        <f>VLOOKUP(A860&amp;B860,ticker_sector[],2,FALSE)</f>
        <v>7</v>
      </c>
      <c r="I860">
        <f>VLOOKUP(C860,year[],2,FALSE)</f>
        <v>2</v>
      </c>
      <c r="J860">
        <f>VLOOKUP(E860,showing[],2,FALSE)</f>
        <v>12</v>
      </c>
      <c r="K860">
        <f>Сектора[[#This Row],[Значение]]</f>
        <v>-1664.568</v>
      </c>
      <c r="L860" t="str">
        <f t="shared" si="13"/>
        <v>INSERT INTO msfo.statements (id_company, id_year, id_showing, value) VALUES (7,2,12,-1664,568);</v>
      </c>
    </row>
    <row r="861" spans="1:12">
      <c r="A861" s="28" t="s">
        <v>41</v>
      </c>
      <c r="B861" s="28" t="s">
        <v>32</v>
      </c>
      <c r="C861" s="28">
        <v>2013</v>
      </c>
      <c r="D861" s="28" t="s">
        <v>4</v>
      </c>
      <c r="E861" s="28" t="s">
        <v>15</v>
      </c>
      <c r="F861" s="28">
        <v>-2928.0140000000001</v>
      </c>
      <c r="H861">
        <f>VLOOKUP(A861&amp;B861,ticker_sector[],2,FALSE)</f>
        <v>7</v>
      </c>
      <c r="I861">
        <f>VLOOKUP(C861,year[],2,FALSE)</f>
        <v>3</v>
      </c>
      <c r="J861">
        <f>VLOOKUP(E861,showing[],2,FALSE)</f>
        <v>12</v>
      </c>
      <c r="K861">
        <f>Сектора[[#This Row],[Значение]]</f>
        <v>-2928.0140000000001</v>
      </c>
      <c r="L861" t="str">
        <f t="shared" si="13"/>
        <v>INSERT INTO msfo.statements (id_company, id_year, id_showing, value) VALUES (7,3,12,-2928,014);</v>
      </c>
    </row>
    <row r="862" spans="1:12">
      <c r="A862" s="28" t="s">
        <v>41</v>
      </c>
      <c r="B862" s="28" t="s">
        <v>32</v>
      </c>
      <c r="C862" s="28">
        <v>2014</v>
      </c>
      <c r="D862" s="28" t="s">
        <v>4</v>
      </c>
      <c r="E862" s="28" t="s">
        <v>15</v>
      </c>
      <c r="F862" s="28">
        <v>-4335.55</v>
      </c>
      <c r="H862">
        <f>VLOOKUP(A862&amp;B862,ticker_sector[],2,FALSE)</f>
        <v>7</v>
      </c>
      <c r="I862">
        <f>VLOOKUP(C862,year[],2,FALSE)</f>
        <v>4</v>
      </c>
      <c r="J862">
        <f>VLOOKUP(E862,showing[],2,FALSE)</f>
        <v>12</v>
      </c>
      <c r="K862">
        <f>Сектора[[#This Row],[Значение]]</f>
        <v>-4335.55</v>
      </c>
      <c r="L862" t="str">
        <f t="shared" si="13"/>
        <v>INSERT INTO msfo.statements (id_company, id_year, id_showing, value) VALUES (7,4,12,-4335,55);</v>
      </c>
    </row>
    <row r="863" spans="1:12">
      <c r="A863" s="28" t="s">
        <v>41</v>
      </c>
      <c r="B863" s="28" t="s">
        <v>32</v>
      </c>
      <c r="C863" s="28">
        <v>2015</v>
      </c>
      <c r="D863" s="28" t="s">
        <v>4</v>
      </c>
      <c r="E863" s="28" t="s">
        <v>15</v>
      </c>
      <c r="F863" s="28">
        <v>-1580.1143481237659</v>
      </c>
      <c r="H863">
        <f>VLOOKUP(A863&amp;B863,ticker_sector[],2,FALSE)</f>
        <v>7</v>
      </c>
      <c r="I863">
        <f>VLOOKUP(C863,year[],2,FALSE)</f>
        <v>5</v>
      </c>
      <c r="J863">
        <f>VLOOKUP(E863,showing[],2,FALSE)</f>
        <v>12</v>
      </c>
      <c r="K863">
        <f>Сектора[[#This Row],[Значение]]</f>
        <v>-1580.1143481237659</v>
      </c>
      <c r="L863" t="str">
        <f t="shared" si="13"/>
        <v>INSERT INTO msfo.statements (id_company, id_year, id_showing, value) VALUES (7,5,12,-1580,11434812377);</v>
      </c>
    </row>
    <row r="864" spans="1:12">
      <c r="A864" s="28" t="s">
        <v>41</v>
      </c>
      <c r="B864" s="28" t="s">
        <v>32</v>
      </c>
      <c r="C864" s="28">
        <v>2016</v>
      </c>
      <c r="D864" s="28" t="s">
        <v>4</v>
      </c>
      <c r="E864" s="28" t="s">
        <v>15</v>
      </c>
      <c r="F864" s="28">
        <v>117.48045152323974</v>
      </c>
      <c r="H864">
        <f>VLOOKUP(A864&amp;B864,ticker_sector[],2,FALSE)</f>
        <v>7</v>
      </c>
      <c r="I864">
        <f>VLOOKUP(C864,year[],2,FALSE)</f>
        <v>6</v>
      </c>
      <c r="J864">
        <f>VLOOKUP(E864,showing[],2,FALSE)</f>
        <v>12</v>
      </c>
      <c r="K864">
        <f>Сектора[[#This Row],[Значение]]</f>
        <v>117.48045152323974</v>
      </c>
      <c r="L864" t="str">
        <f t="shared" si="13"/>
        <v>INSERT INTO msfo.statements (id_company, id_year, id_showing, value) VALUES (7,6,12,117,48045152324);</v>
      </c>
    </row>
    <row r="865" spans="1:12">
      <c r="A865" s="28" t="s">
        <v>41</v>
      </c>
      <c r="B865" s="28" t="s">
        <v>32</v>
      </c>
      <c r="C865" s="28">
        <v>2017</v>
      </c>
      <c r="D865" s="28" t="s">
        <v>4</v>
      </c>
      <c r="E865" s="28" t="s">
        <v>15</v>
      </c>
      <c r="F865" s="28">
        <v>200.64166443866515</v>
      </c>
      <c r="H865">
        <f>VLOOKUP(A865&amp;B865,ticker_sector[],2,FALSE)</f>
        <v>7</v>
      </c>
      <c r="I865">
        <f>VLOOKUP(C865,year[],2,FALSE)</f>
        <v>7</v>
      </c>
      <c r="J865">
        <f>VLOOKUP(E865,showing[],2,FALSE)</f>
        <v>12</v>
      </c>
      <c r="K865">
        <f>Сектора[[#This Row],[Значение]]</f>
        <v>200.64166443866515</v>
      </c>
      <c r="L865" t="str">
        <f t="shared" si="13"/>
        <v>INSERT INTO msfo.statements (id_company, id_year, id_showing, value) VALUES (7,7,12,200,641664438665);</v>
      </c>
    </row>
    <row r="866" spans="1:12">
      <c r="A866" s="28" t="s">
        <v>41</v>
      </c>
      <c r="B866" s="28" t="s">
        <v>32</v>
      </c>
      <c r="C866" s="28">
        <v>2010</v>
      </c>
      <c r="D866" s="28" t="s">
        <v>7</v>
      </c>
      <c r="E866" s="28" t="s">
        <v>16</v>
      </c>
      <c r="F866" s="28">
        <v>15004.448361800009</v>
      </c>
      <c r="H866">
        <f>VLOOKUP(A866&amp;B866,ticker_sector[],2,FALSE)</f>
        <v>7</v>
      </c>
      <c r="I866">
        <f>VLOOKUP(C866,year[],2,FALSE)</f>
        <v>0</v>
      </c>
      <c r="J866">
        <f>VLOOKUP(E866,showing[],2,FALSE)</f>
        <v>13</v>
      </c>
      <c r="K866">
        <f>Сектора[[#This Row],[Значение]]</f>
        <v>15004.448361800009</v>
      </c>
      <c r="L866" t="str">
        <f t="shared" si="13"/>
        <v>INSERT INTO msfo.statements (id_company, id_year, id_showing, value) VALUES (7,0,13,15004,4483618);</v>
      </c>
    </row>
    <row r="867" spans="1:12">
      <c r="A867" s="28" t="s">
        <v>41</v>
      </c>
      <c r="B867" s="28" t="s">
        <v>32</v>
      </c>
      <c r="C867" s="28">
        <v>2011</v>
      </c>
      <c r="D867" s="28" t="s">
        <v>7</v>
      </c>
      <c r="E867" s="28" t="s">
        <v>16</v>
      </c>
      <c r="F867" s="28">
        <v>17075.330419400001</v>
      </c>
      <c r="H867">
        <f>VLOOKUP(A867&amp;B867,ticker_sector[],2,FALSE)</f>
        <v>7</v>
      </c>
      <c r="I867">
        <f>VLOOKUP(C867,year[],2,FALSE)</f>
        <v>1</v>
      </c>
      <c r="J867">
        <f>VLOOKUP(E867,showing[],2,FALSE)</f>
        <v>13</v>
      </c>
      <c r="K867">
        <f>Сектора[[#This Row],[Значение]]</f>
        <v>17075.330419400001</v>
      </c>
      <c r="L867" t="str">
        <f t="shared" si="13"/>
        <v>INSERT INTO msfo.statements (id_company, id_year, id_showing, value) VALUES (7,1,13,17075,3304194);</v>
      </c>
    </row>
    <row r="868" spans="1:12">
      <c r="A868" s="28" t="s">
        <v>41</v>
      </c>
      <c r="B868" s="28" t="s">
        <v>32</v>
      </c>
      <c r="C868" s="28">
        <v>2012</v>
      </c>
      <c r="D868" s="28" t="s">
        <v>7</v>
      </c>
      <c r="E868" s="28" t="s">
        <v>16</v>
      </c>
      <c r="F868" s="28">
        <v>-3026.2750825999901</v>
      </c>
      <c r="H868">
        <f>VLOOKUP(A868&amp;B868,ticker_sector[],2,FALSE)</f>
        <v>7</v>
      </c>
      <c r="I868">
        <f>VLOOKUP(C868,year[],2,FALSE)</f>
        <v>2</v>
      </c>
      <c r="J868">
        <f>VLOOKUP(E868,showing[],2,FALSE)</f>
        <v>13</v>
      </c>
      <c r="K868">
        <f>Сектора[[#This Row],[Значение]]</f>
        <v>-3026.2750825999901</v>
      </c>
      <c r="L868" t="str">
        <f t="shared" si="13"/>
        <v>INSERT INTO msfo.statements (id_company, id_year, id_showing, value) VALUES (7,2,13,-3026,27508259999);</v>
      </c>
    </row>
    <row r="869" spans="1:12">
      <c r="A869" s="28" t="s">
        <v>41</v>
      </c>
      <c r="B869" s="28" t="s">
        <v>32</v>
      </c>
      <c r="C869" s="28">
        <v>2013</v>
      </c>
      <c r="D869" s="28" t="s">
        <v>7</v>
      </c>
      <c r="E869" s="28" t="s">
        <v>16</v>
      </c>
      <c r="F869" s="28">
        <v>-25179.326331599998</v>
      </c>
      <c r="H869">
        <f>VLOOKUP(A869&amp;B869,ticker_sector[],2,FALSE)</f>
        <v>7</v>
      </c>
      <c r="I869">
        <f>VLOOKUP(C869,year[],2,FALSE)</f>
        <v>3</v>
      </c>
      <c r="J869">
        <f>VLOOKUP(E869,showing[],2,FALSE)</f>
        <v>13</v>
      </c>
      <c r="K869">
        <f>Сектора[[#This Row],[Значение]]</f>
        <v>-25179.326331599998</v>
      </c>
      <c r="L869" t="str">
        <f t="shared" si="13"/>
        <v>INSERT INTO msfo.statements (id_company, id_year, id_showing, value) VALUES (7,3,13,-25179,3263316);</v>
      </c>
    </row>
    <row r="870" spans="1:12">
      <c r="A870" s="28" t="s">
        <v>41</v>
      </c>
      <c r="B870" s="28" t="s">
        <v>32</v>
      </c>
      <c r="C870" s="28">
        <v>2014</v>
      </c>
      <c r="D870" s="28" t="s">
        <v>7</v>
      </c>
      <c r="E870" s="28" t="s">
        <v>16</v>
      </c>
      <c r="F870" s="28">
        <v>-38564.680167200015</v>
      </c>
      <c r="H870">
        <f>VLOOKUP(A870&amp;B870,ticker_sector[],2,FALSE)</f>
        <v>7</v>
      </c>
      <c r="I870">
        <f>VLOOKUP(C870,year[],2,FALSE)</f>
        <v>4</v>
      </c>
      <c r="J870">
        <f>VLOOKUP(E870,showing[],2,FALSE)</f>
        <v>13</v>
      </c>
      <c r="K870">
        <f>Сектора[[#This Row],[Значение]]</f>
        <v>-38564.680167200015</v>
      </c>
      <c r="L870" t="str">
        <f t="shared" si="13"/>
        <v>INSERT INTO msfo.statements (id_company, id_year, id_showing, value) VALUES (7,4,13,-38564,6801672);</v>
      </c>
    </row>
    <row r="871" spans="1:12">
      <c r="A871" s="28" t="s">
        <v>41</v>
      </c>
      <c r="B871" s="28" t="s">
        <v>32</v>
      </c>
      <c r="C871" s="28">
        <v>2015</v>
      </c>
      <c r="D871" s="28" t="s">
        <v>7</v>
      </c>
      <c r="E871" s="28" t="s">
        <v>16</v>
      </c>
      <c r="F871" s="28">
        <v>13189</v>
      </c>
      <c r="H871">
        <f>VLOOKUP(A871&amp;B871,ticker_sector[],2,FALSE)</f>
        <v>7</v>
      </c>
      <c r="I871">
        <f>VLOOKUP(C871,year[],2,FALSE)</f>
        <v>5</v>
      </c>
      <c r="J871">
        <f>VLOOKUP(E871,showing[],2,FALSE)</f>
        <v>13</v>
      </c>
      <c r="K871">
        <f>Сектора[[#This Row],[Значение]]</f>
        <v>13189</v>
      </c>
      <c r="L871" t="str">
        <f t="shared" si="13"/>
        <v>INSERT INTO msfo.statements (id_company, id_year, id_showing, value) VALUES (7,5,13,13189);</v>
      </c>
    </row>
    <row r="872" spans="1:12">
      <c r="A872" s="28" t="s">
        <v>41</v>
      </c>
      <c r="B872" s="28" t="s">
        <v>32</v>
      </c>
      <c r="C872" s="28">
        <v>2016</v>
      </c>
      <c r="D872" s="28" t="s">
        <v>7</v>
      </c>
      <c r="E872" s="28" t="s">
        <v>16</v>
      </c>
      <c r="F872" s="28">
        <v>28569</v>
      </c>
      <c r="H872">
        <f>VLOOKUP(A872&amp;B872,ticker_sector[],2,FALSE)</f>
        <v>7</v>
      </c>
      <c r="I872">
        <f>VLOOKUP(C872,year[],2,FALSE)</f>
        <v>6</v>
      </c>
      <c r="J872">
        <f>VLOOKUP(E872,showing[],2,FALSE)</f>
        <v>13</v>
      </c>
      <c r="K872">
        <f>Сектора[[#This Row],[Значение]]</f>
        <v>28569</v>
      </c>
      <c r="L872" t="str">
        <f t="shared" si="13"/>
        <v>INSERT INTO msfo.statements (id_company, id_year, id_showing, value) VALUES (7,6,13,28569);</v>
      </c>
    </row>
    <row r="873" spans="1:12">
      <c r="A873" s="28" t="s">
        <v>41</v>
      </c>
      <c r="B873" s="28" t="s">
        <v>32</v>
      </c>
      <c r="C873" s="28">
        <v>2017</v>
      </c>
      <c r="D873" s="28" t="s">
        <v>7</v>
      </c>
      <c r="E873" s="28" t="s">
        <v>16</v>
      </c>
      <c r="F873" s="28">
        <v>36786</v>
      </c>
      <c r="H873">
        <f>VLOOKUP(A873&amp;B873,ticker_sector[],2,FALSE)</f>
        <v>7</v>
      </c>
      <c r="I873">
        <f>VLOOKUP(C873,year[],2,FALSE)</f>
        <v>7</v>
      </c>
      <c r="J873">
        <f>VLOOKUP(E873,showing[],2,FALSE)</f>
        <v>13</v>
      </c>
      <c r="K873">
        <f>Сектора[[#This Row],[Значение]]</f>
        <v>36786</v>
      </c>
      <c r="L873" t="str">
        <f t="shared" si="13"/>
        <v>INSERT INTO msfo.statements (id_company, id_year, id_showing, value) VALUES (7,7,13,36786);</v>
      </c>
    </row>
    <row r="874" spans="1:12">
      <c r="A874" s="28" t="s">
        <v>41</v>
      </c>
      <c r="B874" s="28" t="s">
        <v>32</v>
      </c>
      <c r="C874" s="28">
        <v>2010</v>
      </c>
      <c r="D874" s="28" t="s">
        <v>7</v>
      </c>
      <c r="E874" s="28" t="s">
        <v>17</v>
      </c>
      <c r="F874" s="28">
        <v>492.32200000000029</v>
      </c>
      <c r="H874">
        <f>VLOOKUP(A874&amp;B874,ticker_sector[],2,FALSE)</f>
        <v>7</v>
      </c>
      <c r="I874">
        <f>VLOOKUP(C874,year[],2,FALSE)</f>
        <v>0</v>
      </c>
      <c r="J874">
        <f>VLOOKUP(E874,showing[],2,FALSE)</f>
        <v>14</v>
      </c>
      <c r="K874">
        <f>Сектора[[#This Row],[Значение]]</f>
        <v>492.32200000000029</v>
      </c>
      <c r="L874" t="str">
        <f t="shared" si="13"/>
        <v>INSERT INTO msfo.statements (id_company, id_year, id_showing, value) VALUES (7,0,14,492,322);</v>
      </c>
    </row>
    <row r="875" spans="1:12">
      <c r="A875" s="28" t="s">
        <v>41</v>
      </c>
      <c r="B875" s="28" t="s">
        <v>32</v>
      </c>
      <c r="C875" s="28">
        <v>2011</v>
      </c>
      <c r="D875" s="28" t="s">
        <v>7</v>
      </c>
      <c r="E875" s="28" t="s">
        <v>17</v>
      </c>
      <c r="F875" s="28">
        <v>530.35400000000004</v>
      </c>
      <c r="H875">
        <f>VLOOKUP(A875&amp;B875,ticker_sector[],2,FALSE)</f>
        <v>7</v>
      </c>
      <c r="I875">
        <f>VLOOKUP(C875,year[],2,FALSE)</f>
        <v>1</v>
      </c>
      <c r="J875">
        <f>VLOOKUP(E875,showing[],2,FALSE)</f>
        <v>14</v>
      </c>
      <c r="K875">
        <f>Сектора[[#This Row],[Значение]]</f>
        <v>530.35400000000004</v>
      </c>
      <c r="L875" t="str">
        <f t="shared" si="13"/>
        <v>INSERT INTO msfo.statements (id_company, id_year, id_showing, value) VALUES (7,1,14,530,354);</v>
      </c>
    </row>
    <row r="876" spans="1:12">
      <c r="A876" s="28" t="s">
        <v>41</v>
      </c>
      <c r="B876" s="28" t="s">
        <v>32</v>
      </c>
      <c r="C876" s="28">
        <v>2012</v>
      </c>
      <c r="D876" s="28" t="s">
        <v>7</v>
      </c>
      <c r="E876" s="28" t="s">
        <v>17</v>
      </c>
      <c r="F876" s="28">
        <v>-99.637999999999678</v>
      </c>
      <c r="H876">
        <f>VLOOKUP(A876&amp;B876,ticker_sector[],2,FALSE)</f>
        <v>7</v>
      </c>
      <c r="I876">
        <f>VLOOKUP(C876,year[],2,FALSE)</f>
        <v>2</v>
      </c>
      <c r="J876">
        <f>VLOOKUP(E876,showing[],2,FALSE)</f>
        <v>14</v>
      </c>
      <c r="K876">
        <f>Сектора[[#This Row],[Значение]]</f>
        <v>-99.637999999999678</v>
      </c>
      <c r="L876" t="str">
        <f t="shared" si="13"/>
        <v>INSERT INTO msfo.statements (id_company, id_year, id_showing, value) VALUES (7,2,14,-99,6379999999997);</v>
      </c>
    </row>
    <row r="877" spans="1:12">
      <c r="A877" s="28" t="s">
        <v>41</v>
      </c>
      <c r="B877" s="28" t="s">
        <v>32</v>
      </c>
      <c r="C877" s="28">
        <v>2013</v>
      </c>
      <c r="D877" s="28" t="s">
        <v>7</v>
      </c>
      <c r="E877" s="28" t="s">
        <v>17</v>
      </c>
      <c r="F877" s="28">
        <v>-769.32299999999998</v>
      </c>
      <c r="H877">
        <f>VLOOKUP(A877&amp;B877,ticker_sector[],2,FALSE)</f>
        <v>7</v>
      </c>
      <c r="I877">
        <f>VLOOKUP(C877,year[],2,FALSE)</f>
        <v>3</v>
      </c>
      <c r="J877">
        <f>VLOOKUP(E877,showing[],2,FALSE)</f>
        <v>14</v>
      </c>
      <c r="K877">
        <f>Сектора[[#This Row],[Значение]]</f>
        <v>-769.32299999999998</v>
      </c>
      <c r="L877" t="str">
        <f t="shared" si="13"/>
        <v>INSERT INTO msfo.statements (id_company, id_year, id_showing, value) VALUES (7,3,14,-769,323);</v>
      </c>
    </row>
    <row r="878" spans="1:12">
      <c r="A878" s="28" t="s">
        <v>41</v>
      </c>
      <c r="B878" s="28" t="s">
        <v>32</v>
      </c>
      <c r="C878" s="28">
        <v>2014</v>
      </c>
      <c r="D878" s="28" t="s">
        <v>7</v>
      </c>
      <c r="E878" s="28" t="s">
        <v>17</v>
      </c>
      <c r="F878" s="28">
        <v>-685.49194728609439</v>
      </c>
      <c r="H878">
        <f>VLOOKUP(A878&amp;B878,ticker_sector[],2,FALSE)</f>
        <v>7</v>
      </c>
      <c r="I878">
        <f>VLOOKUP(C878,year[],2,FALSE)</f>
        <v>4</v>
      </c>
      <c r="J878">
        <f>VLOOKUP(E878,showing[],2,FALSE)</f>
        <v>14</v>
      </c>
      <c r="K878">
        <f>Сектора[[#This Row],[Значение]]</f>
        <v>-685.49194728609439</v>
      </c>
      <c r="L878" t="str">
        <f t="shared" si="13"/>
        <v>INSERT INTO msfo.statements (id_company, id_year, id_showing, value) VALUES (7,4,14,-685,491947286094);</v>
      </c>
    </row>
    <row r="879" spans="1:12">
      <c r="A879" s="28" t="s">
        <v>41</v>
      </c>
      <c r="B879" s="28" t="s">
        <v>32</v>
      </c>
      <c r="C879" s="28">
        <v>2015</v>
      </c>
      <c r="D879" s="28" t="s">
        <v>7</v>
      </c>
      <c r="E879" s="28" t="s">
        <v>17</v>
      </c>
      <c r="F879" s="28">
        <v>180.9620115610426</v>
      </c>
      <c r="H879">
        <f>VLOOKUP(A879&amp;B879,ticker_sector[],2,FALSE)</f>
        <v>7</v>
      </c>
      <c r="I879">
        <f>VLOOKUP(C879,year[],2,FALSE)</f>
        <v>5</v>
      </c>
      <c r="J879">
        <f>VLOOKUP(E879,showing[],2,FALSE)</f>
        <v>14</v>
      </c>
      <c r="K879">
        <f>Сектора[[#This Row],[Значение]]</f>
        <v>180.9620115610426</v>
      </c>
      <c r="L879" t="str">
        <f t="shared" si="13"/>
        <v>INSERT INTO msfo.statements (id_company, id_year, id_showing, value) VALUES (7,5,14,180,962011561043);</v>
      </c>
    </row>
    <row r="880" spans="1:12">
      <c r="A880" s="28" t="s">
        <v>41</v>
      </c>
      <c r="B880" s="28" t="s">
        <v>32</v>
      </c>
      <c r="C880" s="28">
        <v>2016</v>
      </c>
      <c r="D880" s="28" t="s">
        <v>7</v>
      </c>
      <c r="E880" s="28" t="s">
        <v>17</v>
      </c>
      <c r="F880" s="28">
        <v>470.99340718038673</v>
      </c>
      <c r="H880">
        <f>VLOOKUP(A880&amp;B880,ticker_sector[],2,FALSE)</f>
        <v>7</v>
      </c>
      <c r="I880">
        <f>VLOOKUP(C880,year[],2,FALSE)</f>
        <v>6</v>
      </c>
      <c r="J880">
        <f>VLOOKUP(E880,showing[],2,FALSE)</f>
        <v>14</v>
      </c>
      <c r="K880">
        <f>Сектора[[#This Row],[Значение]]</f>
        <v>470.99340718038673</v>
      </c>
      <c r="L880" t="str">
        <f t="shared" si="13"/>
        <v>INSERT INTO msfo.statements (id_company, id_year, id_showing, value) VALUES (7,6,14,470,993407180387);</v>
      </c>
    </row>
    <row r="881" spans="1:12">
      <c r="A881" s="28" t="s">
        <v>41</v>
      </c>
      <c r="B881" s="28" t="s">
        <v>32</v>
      </c>
      <c r="C881" s="28">
        <v>2017</v>
      </c>
      <c r="D881" s="28" t="s">
        <v>7</v>
      </c>
      <c r="E881" s="28" t="s">
        <v>17</v>
      </c>
      <c r="F881" s="28">
        <v>638.64361582077834</v>
      </c>
      <c r="H881">
        <f>VLOOKUP(A881&amp;B881,ticker_sector[],2,FALSE)</f>
        <v>7</v>
      </c>
      <c r="I881">
        <f>VLOOKUP(C881,year[],2,FALSE)</f>
        <v>7</v>
      </c>
      <c r="J881">
        <f>VLOOKUP(E881,showing[],2,FALSE)</f>
        <v>14</v>
      </c>
      <c r="K881">
        <f>Сектора[[#This Row],[Значение]]</f>
        <v>638.64361582077834</v>
      </c>
      <c r="L881" t="str">
        <f t="shared" si="13"/>
        <v>INSERT INTO msfo.statements (id_company, id_year, id_showing, value) VALUES (7,7,14,638,643615820778);</v>
      </c>
    </row>
    <row r="882" spans="1:12">
      <c r="A882" s="28" t="s">
        <v>41</v>
      </c>
      <c r="B882" s="28" t="s">
        <v>32</v>
      </c>
      <c r="C882" s="28">
        <v>2010</v>
      </c>
      <c r="D882" s="28" t="s">
        <v>20</v>
      </c>
      <c r="E882" s="28" t="s">
        <v>18</v>
      </c>
      <c r="F882" s="28">
        <v>416.27074499999998</v>
      </c>
      <c r="H882">
        <f>VLOOKUP(A882&amp;B882,ticker_sector[],2,FALSE)</f>
        <v>7</v>
      </c>
      <c r="I882">
        <f>VLOOKUP(C882,year[],2,FALSE)</f>
        <v>0</v>
      </c>
      <c r="J882">
        <f>VLOOKUP(E882,showing[],2,FALSE)</f>
        <v>15</v>
      </c>
      <c r="K882">
        <f>Сектора[[#This Row],[Значение]]</f>
        <v>416.27074499999998</v>
      </c>
      <c r="L882" t="str">
        <f t="shared" si="13"/>
        <v>INSERT INTO msfo.statements (id_company, id_year, id_showing, value) VALUES (7,0,15,416,270745);</v>
      </c>
    </row>
    <row r="883" spans="1:12">
      <c r="A883" s="28" t="s">
        <v>41</v>
      </c>
      <c r="B883" s="28" t="s">
        <v>32</v>
      </c>
      <c r="C883" s="28">
        <v>2011</v>
      </c>
      <c r="D883" s="28" t="s">
        <v>20</v>
      </c>
      <c r="E883" s="28" t="s">
        <v>18</v>
      </c>
      <c r="F883" s="28">
        <v>416.27074499999998</v>
      </c>
      <c r="H883">
        <f>VLOOKUP(A883&amp;B883,ticker_sector[],2,FALSE)</f>
        <v>7</v>
      </c>
      <c r="I883">
        <f>VLOOKUP(C883,year[],2,FALSE)</f>
        <v>1</v>
      </c>
      <c r="J883">
        <f>VLOOKUP(E883,showing[],2,FALSE)</f>
        <v>15</v>
      </c>
      <c r="K883">
        <f>Сектора[[#This Row],[Значение]]</f>
        <v>416.27074499999998</v>
      </c>
      <c r="L883" t="str">
        <f t="shared" si="13"/>
        <v>INSERT INTO msfo.statements (id_company, id_year, id_showing, value) VALUES (7,1,15,416,270745);</v>
      </c>
    </row>
    <row r="884" spans="1:12">
      <c r="A884" s="28" t="s">
        <v>41</v>
      </c>
      <c r="B884" s="28" t="s">
        <v>32</v>
      </c>
      <c r="C884" s="28">
        <v>2012</v>
      </c>
      <c r="D884" s="28" t="s">
        <v>20</v>
      </c>
      <c r="E884" s="28" t="s">
        <v>18</v>
      </c>
      <c r="F884" s="28">
        <v>416.27074499999998</v>
      </c>
      <c r="H884">
        <f>VLOOKUP(A884&amp;B884,ticker_sector[],2,FALSE)</f>
        <v>7</v>
      </c>
      <c r="I884">
        <f>VLOOKUP(C884,year[],2,FALSE)</f>
        <v>2</v>
      </c>
      <c r="J884">
        <f>VLOOKUP(E884,showing[],2,FALSE)</f>
        <v>15</v>
      </c>
      <c r="K884">
        <f>Сектора[[#This Row],[Значение]]</f>
        <v>416.27074499999998</v>
      </c>
      <c r="L884" t="str">
        <f t="shared" si="13"/>
        <v>INSERT INTO msfo.statements (id_company, id_year, id_showing, value) VALUES (7,2,15,416,270745);</v>
      </c>
    </row>
    <row r="885" spans="1:12">
      <c r="A885" s="28" t="s">
        <v>41</v>
      </c>
      <c r="B885" s="28" t="s">
        <v>32</v>
      </c>
      <c r="C885" s="28">
        <v>2013</v>
      </c>
      <c r="D885" s="28" t="s">
        <v>20</v>
      </c>
      <c r="E885" s="28" t="s">
        <v>18</v>
      </c>
      <c r="F885" s="28">
        <v>416.27074499999998</v>
      </c>
      <c r="H885">
        <f>VLOOKUP(A885&amp;B885,ticker_sector[],2,FALSE)</f>
        <v>7</v>
      </c>
      <c r="I885">
        <f>VLOOKUP(C885,year[],2,FALSE)</f>
        <v>3</v>
      </c>
      <c r="J885">
        <f>VLOOKUP(E885,showing[],2,FALSE)</f>
        <v>15</v>
      </c>
      <c r="K885">
        <f>Сектора[[#This Row],[Значение]]</f>
        <v>416.27074499999998</v>
      </c>
      <c r="L885" t="str">
        <f t="shared" si="13"/>
        <v>INSERT INTO msfo.statements (id_company, id_year, id_showing, value) VALUES (7,3,15,416,270745);</v>
      </c>
    </row>
    <row r="886" spans="1:12">
      <c r="A886" s="28" t="s">
        <v>41</v>
      </c>
      <c r="B886" s="28" t="s">
        <v>32</v>
      </c>
      <c r="C886" s="28">
        <v>2014</v>
      </c>
      <c r="D886" s="28" t="s">
        <v>20</v>
      </c>
      <c r="E886" s="28" t="s">
        <v>18</v>
      </c>
      <c r="F886" s="28">
        <v>416.27074499999998</v>
      </c>
      <c r="H886">
        <f>VLOOKUP(A886&amp;B886,ticker_sector[],2,FALSE)</f>
        <v>7</v>
      </c>
      <c r="I886">
        <f>VLOOKUP(C886,year[],2,FALSE)</f>
        <v>4</v>
      </c>
      <c r="J886">
        <f>VLOOKUP(E886,showing[],2,FALSE)</f>
        <v>15</v>
      </c>
      <c r="K886">
        <f>Сектора[[#This Row],[Значение]]</f>
        <v>416.27074499999998</v>
      </c>
      <c r="L886" t="str">
        <f t="shared" si="13"/>
        <v>INSERT INTO msfo.statements (id_company, id_year, id_showing, value) VALUES (7,4,15,416,270745);</v>
      </c>
    </row>
    <row r="887" spans="1:12">
      <c r="A887" s="28" t="s">
        <v>41</v>
      </c>
      <c r="B887" s="28" t="s">
        <v>32</v>
      </c>
      <c r="C887" s="28">
        <v>2015</v>
      </c>
      <c r="D887" s="28" t="s">
        <v>20</v>
      </c>
      <c r="E887" s="28" t="s">
        <v>18</v>
      </c>
      <c r="F887" s="28">
        <v>416.27074499999998</v>
      </c>
      <c r="H887">
        <f>VLOOKUP(A887&amp;B887,ticker_sector[],2,FALSE)</f>
        <v>7</v>
      </c>
      <c r="I887">
        <f>VLOOKUP(C887,year[],2,FALSE)</f>
        <v>5</v>
      </c>
      <c r="J887">
        <f>VLOOKUP(E887,showing[],2,FALSE)</f>
        <v>15</v>
      </c>
      <c r="K887">
        <f>Сектора[[#This Row],[Значение]]</f>
        <v>416.27074499999998</v>
      </c>
      <c r="L887" t="str">
        <f t="shared" si="13"/>
        <v>INSERT INTO msfo.statements (id_company, id_year, id_showing, value) VALUES (7,5,15,416,270745);</v>
      </c>
    </row>
    <row r="888" spans="1:12">
      <c r="A888" s="28" t="s">
        <v>41</v>
      </c>
      <c r="B888" s="28" t="s">
        <v>32</v>
      </c>
      <c r="C888" s="28">
        <v>2016</v>
      </c>
      <c r="D888" s="28" t="s">
        <v>20</v>
      </c>
      <c r="E888" s="28" t="s">
        <v>18</v>
      </c>
      <c r="F888" s="28">
        <v>416.27074499999998</v>
      </c>
      <c r="H888">
        <f>VLOOKUP(A888&amp;B888,ticker_sector[],2,FALSE)</f>
        <v>7</v>
      </c>
      <c r="I888">
        <f>VLOOKUP(C888,year[],2,FALSE)</f>
        <v>6</v>
      </c>
      <c r="J888">
        <f>VLOOKUP(E888,showing[],2,FALSE)</f>
        <v>15</v>
      </c>
      <c r="K888">
        <f>Сектора[[#This Row],[Значение]]</f>
        <v>416.27074499999998</v>
      </c>
      <c r="L888" t="str">
        <f t="shared" si="13"/>
        <v>INSERT INTO msfo.statements (id_company, id_year, id_showing, value) VALUES (7,6,15,416,270745);</v>
      </c>
    </row>
    <row r="889" spans="1:12">
      <c r="A889" s="28" t="s">
        <v>41</v>
      </c>
      <c r="B889" s="28" t="s">
        <v>32</v>
      </c>
      <c r="C889" s="28">
        <v>2017</v>
      </c>
      <c r="D889" s="28" t="s">
        <v>20</v>
      </c>
      <c r="E889" s="28" t="s">
        <v>18</v>
      </c>
      <c r="F889" s="28">
        <v>416.27074499999998</v>
      </c>
      <c r="H889">
        <f>VLOOKUP(A889&amp;B889,ticker_sector[],2,FALSE)</f>
        <v>7</v>
      </c>
      <c r="I889">
        <f>VLOOKUP(C889,year[],2,FALSE)</f>
        <v>7</v>
      </c>
      <c r="J889">
        <f>VLOOKUP(E889,showing[],2,FALSE)</f>
        <v>15</v>
      </c>
      <c r="K889">
        <f>Сектора[[#This Row],[Значение]]</f>
        <v>416.27074499999998</v>
      </c>
      <c r="L889" t="str">
        <f t="shared" si="13"/>
        <v>INSERT INTO msfo.statements (id_company, id_year, id_showing, value) VALUES (7,7,15,416,270745);</v>
      </c>
    </row>
    <row r="890" spans="1:12">
      <c r="A890" s="28" t="s">
        <v>41</v>
      </c>
      <c r="B890" s="28" t="s">
        <v>32</v>
      </c>
      <c r="C890" s="28">
        <v>2010</v>
      </c>
      <c r="D890" s="28" t="s">
        <v>20</v>
      </c>
      <c r="E890" s="28" t="s">
        <v>19</v>
      </c>
      <c r="F890" s="28">
        <v>881.5</v>
      </c>
      <c r="H890">
        <f>VLOOKUP(A890&amp;B890,ticker_sector[],2,FALSE)</f>
        <v>7</v>
      </c>
      <c r="I890">
        <f>VLOOKUP(C890,year[],2,FALSE)</f>
        <v>0</v>
      </c>
      <c r="J890">
        <f>VLOOKUP(E890,showing[],2,FALSE)</f>
        <v>16</v>
      </c>
      <c r="K890">
        <f>Сектора[[#This Row],[Значение]]</f>
        <v>881.5</v>
      </c>
      <c r="L890" t="str">
        <f t="shared" si="13"/>
        <v>INSERT INTO msfo.statements (id_company, id_year, id_showing, value) VALUES (7,0,16,881,5);</v>
      </c>
    </row>
    <row r="891" spans="1:12">
      <c r="A891" s="28" t="s">
        <v>41</v>
      </c>
      <c r="B891" s="28" t="s">
        <v>32</v>
      </c>
      <c r="C891" s="28">
        <v>2011</v>
      </c>
      <c r="D891" s="28" t="s">
        <v>20</v>
      </c>
      <c r="E891" s="28" t="s">
        <v>19</v>
      </c>
      <c r="F891" s="28">
        <v>271.89999999999998</v>
      </c>
      <c r="H891">
        <f>VLOOKUP(A891&amp;B891,ticker_sector[],2,FALSE)</f>
        <v>7</v>
      </c>
      <c r="I891">
        <f>VLOOKUP(C891,year[],2,FALSE)</f>
        <v>1</v>
      </c>
      <c r="J891">
        <f>VLOOKUP(E891,showing[],2,FALSE)</f>
        <v>16</v>
      </c>
      <c r="K891">
        <f>Сектора[[#This Row],[Значение]]</f>
        <v>271.89999999999998</v>
      </c>
      <c r="L891" t="str">
        <f t="shared" si="13"/>
        <v>INSERT INTO msfo.statements (id_company, id_year, id_showing, value) VALUES (7,1,16,271,9);</v>
      </c>
    </row>
    <row r="892" spans="1:12">
      <c r="A892" s="28" t="s">
        <v>41</v>
      </c>
      <c r="B892" s="28" t="s">
        <v>32</v>
      </c>
      <c r="C892" s="28">
        <v>2012</v>
      </c>
      <c r="D892" s="28" t="s">
        <v>20</v>
      </c>
      <c r="E892" s="28" t="s">
        <v>19</v>
      </c>
      <c r="F892" s="28">
        <v>204.9</v>
      </c>
      <c r="H892">
        <f>VLOOKUP(A892&amp;B892,ticker_sector[],2,FALSE)</f>
        <v>7</v>
      </c>
      <c r="I892">
        <f>VLOOKUP(C892,year[],2,FALSE)</f>
        <v>2</v>
      </c>
      <c r="J892">
        <f>VLOOKUP(E892,showing[],2,FALSE)</f>
        <v>16</v>
      </c>
      <c r="K892">
        <f>Сектора[[#This Row],[Значение]]</f>
        <v>204.9</v>
      </c>
      <c r="L892" t="str">
        <f t="shared" si="13"/>
        <v>INSERT INTO msfo.statements (id_company, id_year, id_showing, value) VALUES (7,2,16,204,9);</v>
      </c>
    </row>
    <row r="893" spans="1:12">
      <c r="A893" s="28" t="s">
        <v>41</v>
      </c>
      <c r="B893" s="28" t="s">
        <v>32</v>
      </c>
      <c r="C893" s="28">
        <v>2013</v>
      </c>
      <c r="D893" s="28" t="s">
        <v>20</v>
      </c>
      <c r="E893" s="28" t="s">
        <v>19</v>
      </c>
      <c r="F893" s="28">
        <v>66.599999999999994</v>
      </c>
      <c r="H893">
        <f>VLOOKUP(A893&amp;B893,ticker_sector[],2,FALSE)</f>
        <v>7</v>
      </c>
      <c r="I893">
        <f>VLOOKUP(C893,year[],2,FALSE)</f>
        <v>3</v>
      </c>
      <c r="J893">
        <f>VLOOKUP(E893,showing[],2,FALSE)</f>
        <v>16</v>
      </c>
      <c r="K893">
        <f>Сектора[[#This Row],[Значение]]</f>
        <v>66.599999999999994</v>
      </c>
      <c r="L893" t="str">
        <f t="shared" si="13"/>
        <v>INSERT INTO msfo.statements (id_company, id_year, id_showing, value) VALUES (7,3,16,66,6);</v>
      </c>
    </row>
    <row r="894" spans="1:12">
      <c r="A894" s="28" t="s">
        <v>41</v>
      </c>
      <c r="B894" s="28" t="s">
        <v>32</v>
      </c>
      <c r="C894" s="28">
        <v>2014</v>
      </c>
      <c r="D894" s="28" t="s">
        <v>20</v>
      </c>
      <c r="E894" s="28" t="s">
        <v>19</v>
      </c>
      <c r="F894" s="28">
        <v>24.7</v>
      </c>
      <c r="H894">
        <f>VLOOKUP(A894&amp;B894,ticker_sector[],2,FALSE)</f>
        <v>7</v>
      </c>
      <c r="I894">
        <f>VLOOKUP(C894,year[],2,FALSE)</f>
        <v>4</v>
      </c>
      <c r="J894">
        <f>VLOOKUP(E894,showing[],2,FALSE)</f>
        <v>16</v>
      </c>
      <c r="K894">
        <f>Сектора[[#This Row],[Значение]]</f>
        <v>24.7</v>
      </c>
      <c r="L894" t="str">
        <f t="shared" si="13"/>
        <v>INSERT INTO msfo.statements (id_company, id_year, id_showing, value) VALUES (7,4,16,24,7);</v>
      </c>
    </row>
    <row r="895" spans="1:12">
      <c r="A895" s="28" t="s">
        <v>41</v>
      </c>
      <c r="B895" s="28" t="s">
        <v>32</v>
      </c>
      <c r="C895" s="28">
        <v>2015</v>
      </c>
      <c r="D895" s="28" t="s">
        <v>20</v>
      </c>
      <c r="E895" s="28" t="s">
        <v>19</v>
      </c>
      <c r="F895" s="28">
        <v>64.900000000000006</v>
      </c>
      <c r="H895">
        <f>VLOOKUP(A895&amp;B895,ticker_sector[],2,FALSE)</f>
        <v>7</v>
      </c>
      <c r="I895">
        <f>VLOOKUP(C895,year[],2,FALSE)</f>
        <v>5</v>
      </c>
      <c r="J895">
        <f>VLOOKUP(E895,showing[],2,FALSE)</f>
        <v>16</v>
      </c>
      <c r="K895">
        <f>Сектора[[#This Row],[Значение]]</f>
        <v>64.900000000000006</v>
      </c>
      <c r="L895" t="str">
        <f t="shared" si="13"/>
        <v>INSERT INTO msfo.statements (id_company, id_year, id_showing, value) VALUES (7,5,16,64,9);</v>
      </c>
    </row>
    <row r="896" spans="1:12">
      <c r="A896" s="28" t="s">
        <v>41</v>
      </c>
      <c r="B896" s="28" t="s">
        <v>32</v>
      </c>
      <c r="C896" s="28">
        <v>2016</v>
      </c>
      <c r="D896" s="28" t="s">
        <v>20</v>
      </c>
      <c r="E896" s="28" t="s">
        <v>19</v>
      </c>
      <c r="F896" s="28">
        <v>181.25</v>
      </c>
      <c r="H896">
        <f>VLOOKUP(A896&amp;B896,ticker_sector[],2,FALSE)</f>
        <v>7</v>
      </c>
      <c r="I896">
        <f>VLOOKUP(C896,year[],2,FALSE)</f>
        <v>6</v>
      </c>
      <c r="J896">
        <f>VLOOKUP(E896,showing[],2,FALSE)</f>
        <v>16</v>
      </c>
      <c r="K896">
        <f>Сектора[[#This Row],[Значение]]</f>
        <v>181.25</v>
      </c>
      <c r="L896" t="str">
        <f t="shared" si="13"/>
        <v>INSERT INTO msfo.statements (id_company, id_year, id_showing, value) VALUES (7,6,16,181,25);</v>
      </c>
    </row>
    <row r="897" spans="1:12">
      <c r="A897" s="28" t="s">
        <v>41</v>
      </c>
      <c r="B897" s="28" t="s">
        <v>32</v>
      </c>
      <c r="C897" s="28">
        <v>2017</v>
      </c>
      <c r="D897" s="28" t="s">
        <v>20</v>
      </c>
      <c r="E897" s="28" t="s">
        <v>19</v>
      </c>
      <c r="F897" s="28">
        <v>147.75</v>
      </c>
      <c r="H897">
        <f>VLOOKUP(A897&amp;B897,ticker_sector[],2,FALSE)</f>
        <v>7</v>
      </c>
      <c r="I897">
        <f>VLOOKUP(C897,year[],2,FALSE)</f>
        <v>7</v>
      </c>
      <c r="J897">
        <f>VLOOKUP(E897,showing[],2,FALSE)</f>
        <v>16</v>
      </c>
      <c r="K897">
        <f>Сектора[[#This Row],[Значение]]</f>
        <v>147.75</v>
      </c>
      <c r="L897" t="str">
        <f t="shared" si="13"/>
        <v>INSERT INTO msfo.statements (id_company, id_year, id_showing, value) VALUES (7,7,16,147,75);</v>
      </c>
    </row>
    <row r="898" spans="1:12">
      <c r="A898" s="28" t="s">
        <v>42</v>
      </c>
      <c r="B898" s="28" t="s">
        <v>32</v>
      </c>
      <c r="C898" s="28">
        <v>2010</v>
      </c>
      <c r="D898" s="28" t="s">
        <v>1</v>
      </c>
      <c r="E898" s="28" t="s">
        <v>2</v>
      </c>
      <c r="F898" s="28">
        <v>298480.88408439996</v>
      </c>
      <c r="H898">
        <f>VLOOKUP(A898&amp;B898,ticker_sector[],2,FALSE)</f>
        <v>8</v>
      </c>
      <c r="I898">
        <f>VLOOKUP(C898,year[],2,FALSE)</f>
        <v>0</v>
      </c>
      <c r="J898">
        <f>VLOOKUP(E898,showing[],2,FALSE)</f>
        <v>1</v>
      </c>
      <c r="K898">
        <f>Сектора[[#This Row],[Значение]]</f>
        <v>298480.88408439996</v>
      </c>
      <c r="L898" t="str">
        <f t="shared" si="13"/>
        <v>INSERT INTO msfo.statements (id_company, id_year, id_showing, value) VALUES (8,0,1,298480,8840844);</v>
      </c>
    </row>
    <row r="899" spans="1:12">
      <c r="A899" s="28" t="s">
        <v>42</v>
      </c>
      <c r="B899" s="28" t="s">
        <v>32</v>
      </c>
      <c r="C899" s="28">
        <v>2011</v>
      </c>
      <c r="D899" s="28" t="s">
        <v>1</v>
      </c>
      <c r="E899" s="28" t="s">
        <v>2</v>
      </c>
      <c r="F899" s="28">
        <v>378414.0280932</v>
      </c>
      <c r="H899">
        <f>VLOOKUP(A899&amp;B899,ticker_sector[],2,FALSE)</f>
        <v>8</v>
      </c>
      <c r="I899">
        <f>VLOOKUP(C899,year[],2,FALSE)</f>
        <v>1</v>
      </c>
      <c r="J899">
        <f>VLOOKUP(E899,showing[],2,FALSE)</f>
        <v>1</v>
      </c>
      <c r="K899">
        <f>Сектора[[#This Row],[Значение]]</f>
        <v>378414.0280932</v>
      </c>
      <c r="L899" t="str">
        <f t="shared" ref="L899:L962" si="14">"INSERT INTO msfo.statements (id_company, id_year, id_showing, value) VALUES ("&amp;H899&amp; ","&amp;I899&amp; ","&amp;J899&amp; ","&amp;K899&amp;");"</f>
        <v>INSERT INTO msfo.statements (id_company, id_year, id_showing, value) VALUES (8,1,1,378414,0280932);</v>
      </c>
    </row>
    <row r="900" spans="1:12">
      <c r="A900" s="28" t="s">
        <v>42</v>
      </c>
      <c r="B900" s="28" t="s">
        <v>32</v>
      </c>
      <c r="C900" s="28">
        <v>2012</v>
      </c>
      <c r="D900" s="28" t="s">
        <v>1</v>
      </c>
      <c r="E900" s="28" t="s">
        <v>2</v>
      </c>
      <c r="F900" s="28">
        <v>394484.57605099998</v>
      </c>
      <c r="H900">
        <f>VLOOKUP(A900&amp;B900,ticker_sector[],2,FALSE)</f>
        <v>8</v>
      </c>
      <c r="I900">
        <f>VLOOKUP(C900,year[],2,FALSE)</f>
        <v>2</v>
      </c>
      <c r="J900">
        <f>VLOOKUP(E900,showing[],2,FALSE)</f>
        <v>1</v>
      </c>
      <c r="K900">
        <f>Сектора[[#This Row],[Значение]]</f>
        <v>394484.57605099998</v>
      </c>
      <c r="L900" t="str">
        <f t="shared" si="14"/>
        <v>INSERT INTO msfo.statements (id_company, id_year, id_showing, value) VALUES (8,2,1,394484,576051);</v>
      </c>
    </row>
    <row r="901" spans="1:12">
      <c r="A901" s="28" t="s">
        <v>42</v>
      </c>
      <c r="B901" s="28" t="s">
        <v>32</v>
      </c>
      <c r="C901" s="28">
        <v>2013</v>
      </c>
      <c r="D901" s="28" t="s">
        <v>1</v>
      </c>
      <c r="E901" s="28" t="s">
        <v>2</v>
      </c>
      <c r="F901" s="28">
        <v>365984.91844879999</v>
      </c>
      <c r="H901">
        <f>VLOOKUP(A901&amp;B901,ticker_sector[],2,FALSE)</f>
        <v>8</v>
      </c>
      <c r="I901">
        <f>VLOOKUP(C901,year[],2,FALSE)</f>
        <v>3</v>
      </c>
      <c r="J901">
        <f>VLOOKUP(E901,showing[],2,FALSE)</f>
        <v>1</v>
      </c>
      <c r="K901">
        <f>Сектора[[#This Row],[Значение]]</f>
        <v>365984.91844879999</v>
      </c>
      <c r="L901" t="str">
        <f t="shared" si="14"/>
        <v>INSERT INTO msfo.statements (id_company, id_year, id_showing, value) VALUES (8,3,1,365984,9184488);</v>
      </c>
    </row>
    <row r="902" spans="1:12">
      <c r="A902" s="28" t="s">
        <v>42</v>
      </c>
      <c r="B902" s="28" t="s">
        <v>32</v>
      </c>
      <c r="C902" s="28">
        <v>2014</v>
      </c>
      <c r="D902" s="28" t="s">
        <v>1</v>
      </c>
      <c r="E902" s="28" t="s">
        <v>2</v>
      </c>
      <c r="F902" s="28">
        <v>365021.37672</v>
      </c>
      <c r="H902">
        <f>VLOOKUP(A902&amp;B902,ticker_sector[],2,FALSE)</f>
        <v>8</v>
      </c>
      <c r="I902">
        <f>VLOOKUP(C902,year[],2,FALSE)</f>
        <v>4</v>
      </c>
      <c r="J902">
        <f>VLOOKUP(E902,showing[],2,FALSE)</f>
        <v>1</v>
      </c>
      <c r="K902">
        <f>Сектора[[#This Row],[Значение]]</f>
        <v>365021.37672</v>
      </c>
      <c r="L902" t="str">
        <f t="shared" si="14"/>
        <v>INSERT INTO msfo.statements (id_company, id_year, id_showing, value) VALUES (8,4,1,365021,37672);</v>
      </c>
    </row>
    <row r="903" spans="1:12">
      <c r="A903" s="28" t="s">
        <v>42</v>
      </c>
      <c r="B903" s="28" t="s">
        <v>32</v>
      </c>
      <c r="C903" s="28">
        <v>2015</v>
      </c>
      <c r="D903" s="28" t="s">
        <v>1</v>
      </c>
      <c r="E903" s="28" t="s">
        <v>2</v>
      </c>
      <c r="F903" s="28">
        <v>378897.7</v>
      </c>
      <c r="H903">
        <f>VLOOKUP(A903&amp;B903,ticker_sector[],2,FALSE)</f>
        <v>8</v>
      </c>
      <c r="I903">
        <f>VLOOKUP(C903,year[],2,FALSE)</f>
        <v>5</v>
      </c>
      <c r="J903">
        <f>VLOOKUP(E903,showing[],2,FALSE)</f>
        <v>1</v>
      </c>
      <c r="K903">
        <f>Сектора[[#This Row],[Значение]]</f>
        <v>378897.7</v>
      </c>
      <c r="L903" t="str">
        <f t="shared" si="14"/>
        <v>INSERT INTO msfo.statements (id_company, id_year, id_showing, value) VALUES (8,5,1,378897,7);</v>
      </c>
    </row>
    <row r="904" spans="1:12">
      <c r="A904" s="28" t="s">
        <v>42</v>
      </c>
      <c r="B904" s="28" t="s">
        <v>32</v>
      </c>
      <c r="C904" s="28">
        <v>2016</v>
      </c>
      <c r="D904" s="28" t="s">
        <v>1</v>
      </c>
      <c r="E904" s="28" t="s">
        <v>2</v>
      </c>
      <c r="F904" s="28">
        <v>372196.9</v>
      </c>
      <c r="H904">
        <f>VLOOKUP(A904&amp;B904,ticker_sector[],2,FALSE)</f>
        <v>8</v>
      </c>
      <c r="I904">
        <f>VLOOKUP(C904,year[],2,FALSE)</f>
        <v>6</v>
      </c>
      <c r="J904">
        <f>VLOOKUP(E904,showing[],2,FALSE)</f>
        <v>1</v>
      </c>
      <c r="K904">
        <f>Сектора[[#This Row],[Значение]]</f>
        <v>372196.9</v>
      </c>
      <c r="L904" t="str">
        <f t="shared" si="14"/>
        <v>INSERT INTO msfo.statements (id_company, id_year, id_showing, value) VALUES (8,6,1,372196,9);</v>
      </c>
    </row>
    <row r="905" spans="1:12">
      <c r="A905" s="28" t="s">
        <v>42</v>
      </c>
      <c r="B905" s="28" t="s">
        <v>32</v>
      </c>
      <c r="C905" s="28">
        <v>2017</v>
      </c>
      <c r="D905" s="28" t="s">
        <v>1</v>
      </c>
      <c r="E905" s="28" t="s">
        <v>2</v>
      </c>
      <c r="F905" s="28">
        <v>362048</v>
      </c>
      <c r="H905">
        <f>VLOOKUP(A905&amp;B905,ticker_sector[],2,FALSE)</f>
        <v>8</v>
      </c>
      <c r="I905">
        <f>VLOOKUP(C905,year[],2,FALSE)</f>
        <v>7</v>
      </c>
      <c r="J905">
        <f>VLOOKUP(E905,showing[],2,FALSE)</f>
        <v>1</v>
      </c>
      <c r="K905">
        <f>Сектора[[#This Row],[Значение]]</f>
        <v>362048</v>
      </c>
      <c r="L905" t="str">
        <f t="shared" si="14"/>
        <v>INSERT INTO msfo.statements (id_company, id_year, id_showing, value) VALUES (8,7,1,362048);</v>
      </c>
    </row>
    <row r="906" spans="1:12">
      <c r="A906" s="28" t="s">
        <v>42</v>
      </c>
      <c r="B906" s="28" t="s">
        <v>32</v>
      </c>
      <c r="C906" s="28">
        <v>2010</v>
      </c>
      <c r="D906" s="28" t="s">
        <v>1</v>
      </c>
      <c r="E906" s="28" t="s">
        <v>3</v>
      </c>
      <c r="F906" s="28">
        <v>125118.31093810001</v>
      </c>
      <c r="H906">
        <f>VLOOKUP(A906&amp;B906,ticker_sector[],2,FALSE)</f>
        <v>8</v>
      </c>
      <c r="I906">
        <f>VLOOKUP(C906,year[],2,FALSE)</f>
        <v>0</v>
      </c>
      <c r="J906">
        <f>VLOOKUP(E906,showing[],2,FALSE)</f>
        <v>2</v>
      </c>
      <c r="K906">
        <f>Сектора[[#This Row],[Значение]]</f>
        <v>125118.31093810001</v>
      </c>
      <c r="L906" t="str">
        <f t="shared" si="14"/>
        <v>INSERT INTO msfo.statements (id_company, id_year, id_showing, value) VALUES (8,0,2,125118,3109381);</v>
      </c>
    </row>
    <row r="907" spans="1:12">
      <c r="A907" s="28" t="s">
        <v>42</v>
      </c>
      <c r="B907" s="28" t="s">
        <v>32</v>
      </c>
      <c r="C907" s="28">
        <v>2011</v>
      </c>
      <c r="D907" s="28" t="s">
        <v>1</v>
      </c>
      <c r="E907" s="28" t="s">
        <v>3</v>
      </c>
      <c r="F907" s="28">
        <v>177199.73612040002</v>
      </c>
      <c r="H907">
        <f>VLOOKUP(A907&amp;B907,ticker_sector[],2,FALSE)</f>
        <v>8</v>
      </c>
      <c r="I907">
        <f>VLOOKUP(C907,year[],2,FALSE)</f>
        <v>1</v>
      </c>
      <c r="J907">
        <f>VLOOKUP(E907,showing[],2,FALSE)</f>
        <v>2</v>
      </c>
      <c r="K907">
        <f>Сектора[[#This Row],[Значение]]</f>
        <v>177199.73612040002</v>
      </c>
      <c r="L907" t="str">
        <f t="shared" si="14"/>
        <v>INSERT INTO msfo.statements (id_company, id_year, id_showing, value) VALUES (8,1,2,177199,7361204);</v>
      </c>
    </row>
    <row r="908" spans="1:12">
      <c r="A908" s="28" t="s">
        <v>42</v>
      </c>
      <c r="B908" s="28" t="s">
        <v>32</v>
      </c>
      <c r="C908" s="28">
        <v>2012</v>
      </c>
      <c r="D908" s="28" t="s">
        <v>1</v>
      </c>
      <c r="E908" s="28" t="s">
        <v>3</v>
      </c>
      <c r="F908" s="28">
        <v>166120.141653</v>
      </c>
      <c r="H908">
        <f>VLOOKUP(A908&amp;B908,ticker_sector[],2,FALSE)</f>
        <v>8</v>
      </c>
      <c r="I908">
        <f>VLOOKUP(C908,year[],2,FALSE)</f>
        <v>2</v>
      </c>
      <c r="J908">
        <f>VLOOKUP(E908,showing[],2,FALSE)</f>
        <v>2</v>
      </c>
      <c r="K908">
        <f>Сектора[[#This Row],[Значение]]</f>
        <v>166120.141653</v>
      </c>
      <c r="L908" t="str">
        <f t="shared" si="14"/>
        <v>INSERT INTO msfo.statements (id_company, id_year, id_showing, value) VALUES (8,2,2,166120,141653);</v>
      </c>
    </row>
    <row r="909" spans="1:12">
      <c r="A909" s="28" t="s">
        <v>42</v>
      </c>
      <c r="B909" s="28" t="s">
        <v>32</v>
      </c>
      <c r="C909" s="28">
        <v>2013</v>
      </c>
      <c r="D909" s="28" t="s">
        <v>1</v>
      </c>
      <c r="E909" s="28" t="s">
        <v>3</v>
      </c>
      <c r="F909" s="28">
        <v>166980.02541639999</v>
      </c>
      <c r="H909">
        <f>VLOOKUP(A909&amp;B909,ticker_sector[],2,FALSE)</f>
        <v>8</v>
      </c>
      <c r="I909">
        <f>VLOOKUP(C909,year[],2,FALSE)</f>
        <v>3</v>
      </c>
      <c r="J909">
        <f>VLOOKUP(E909,showing[],2,FALSE)</f>
        <v>2</v>
      </c>
      <c r="K909">
        <f>Сектора[[#This Row],[Значение]]</f>
        <v>166980.02541639999</v>
      </c>
      <c r="L909" t="str">
        <f t="shared" si="14"/>
        <v>INSERT INTO msfo.statements (id_company, id_year, id_showing, value) VALUES (8,3,2,166980,0254164);</v>
      </c>
    </row>
    <row r="910" spans="1:12">
      <c r="A910" s="28" t="s">
        <v>42</v>
      </c>
      <c r="B910" s="28" t="s">
        <v>32</v>
      </c>
      <c r="C910" s="28">
        <v>2014</v>
      </c>
      <c r="D910" s="28" t="s">
        <v>1</v>
      </c>
      <c r="E910" s="28" t="s">
        <v>3</v>
      </c>
      <c r="F910" s="28">
        <v>217219.30824000001</v>
      </c>
      <c r="H910">
        <f>VLOOKUP(A910&amp;B910,ticker_sector[],2,FALSE)</f>
        <v>8</v>
      </c>
      <c r="I910">
        <f>VLOOKUP(C910,year[],2,FALSE)</f>
        <v>4</v>
      </c>
      <c r="J910">
        <f>VLOOKUP(E910,showing[],2,FALSE)</f>
        <v>2</v>
      </c>
      <c r="K910">
        <f>Сектора[[#This Row],[Значение]]</f>
        <v>217219.30824000001</v>
      </c>
      <c r="L910" t="str">
        <f t="shared" si="14"/>
        <v>INSERT INTO msfo.statements (id_company, id_year, id_showing, value) VALUES (8,4,2,217219,30824);</v>
      </c>
    </row>
    <row r="911" spans="1:12">
      <c r="A911" s="28" t="s">
        <v>42</v>
      </c>
      <c r="B911" s="28" t="s">
        <v>32</v>
      </c>
      <c r="C911" s="28">
        <v>2015</v>
      </c>
      <c r="D911" s="28" t="s">
        <v>1</v>
      </c>
      <c r="E911" s="28" t="s">
        <v>3</v>
      </c>
      <c r="F911" s="28">
        <v>271165.59999999998</v>
      </c>
      <c r="H911">
        <f>VLOOKUP(A911&amp;B911,ticker_sector[],2,FALSE)</f>
        <v>8</v>
      </c>
      <c r="I911">
        <f>VLOOKUP(C911,year[],2,FALSE)</f>
        <v>5</v>
      </c>
      <c r="J911">
        <f>VLOOKUP(E911,showing[],2,FALSE)</f>
        <v>2</v>
      </c>
      <c r="K911">
        <f>Сектора[[#This Row],[Значение]]</f>
        <v>271165.59999999998</v>
      </c>
      <c r="L911" t="str">
        <f t="shared" si="14"/>
        <v>INSERT INTO msfo.statements (id_company, id_year, id_showing, value) VALUES (8,5,2,271165,6);</v>
      </c>
    </row>
    <row r="912" spans="1:12">
      <c r="A912" s="28" t="s">
        <v>42</v>
      </c>
      <c r="B912" s="28" t="s">
        <v>32</v>
      </c>
      <c r="C912" s="28">
        <v>2016</v>
      </c>
      <c r="D912" s="28" t="s">
        <v>1</v>
      </c>
      <c r="E912" s="28" t="s">
        <v>3</v>
      </c>
      <c r="F912" s="28">
        <v>248853.5</v>
      </c>
      <c r="H912">
        <f>VLOOKUP(A912&amp;B912,ticker_sector[],2,FALSE)</f>
        <v>8</v>
      </c>
      <c r="I912">
        <f>VLOOKUP(C912,year[],2,FALSE)</f>
        <v>6</v>
      </c>
      <c r="J912">
        <f>VLOOKUP(E912,showing[],2,FALSE)</f>
        <v>2</v>
      </c>
      <c r="K912">
        <f>Сектора[[#This Row],[Значение]]</f>
        <v>248853.5</v>
      </c>
      <c r="L912" t="str">
        <f t="shared" si="14"/>
        <v>INSERT INTO msfo.statements (id_company, id_year, id_showing, value) VALUES (8,6,2,248853,5);</v>
      </c>
    </row>
    <row r="913" spans="1:12">
      <c r="A913" s="28" t="s">
        <v>42</v>
      </c>
      <c r="B913" s="28" t="s">
        <v>32</v>
      </c>
      <c r="C913" s="28">
        <v>2017</v>
      </c>
      <c r="D913" s="28" t="s">
        <v>1</v>
      </c>
      <c r="E913" s="28" t="s">
        <v>3</v>
      </c>
      <c r="F913" s="28">
        <v>271297</v>
      </c>
      <c r="H913">
        <f>VLOOKUP(A913&amp;B913,ticker_sector[],2,FALSE)</f>
        <v>8</v>
      </c>
      <c r="I913">
        <f>VLOOKUP(C913,year[],2,FALSE)</f>
        <v>7</v>
      </c>
      <c r="J913">
        <f>VLOOKUP(E913,showing[],2,FALSE)</f>
        <v>2</v>
      </c>
      <c r="K913">
        <f>Сектора[[#This Row],[Значение]]</f>
        <v>271297</v>
      </c>
      <c r="L913" t="str">
        <f t="shared" si="14"/>
        <v>INSERT INTO msfo.statements (id_company, id_year, id_showing, value) VALUES (8,7,2,271297);</v>
      </c>
    </row>
    <row r="914" spans="1:12">
      <c r="A914" s="28" t="s">
        <v>42</v>
      </c>
      <c r="B914" s="28" t="s">
        <v>32</v>
      </c>
      <c r="C914" s="28">
        <v>2010</v>
      </c>
      <c r="D914" s="28" t="s">
        <v>1</v>
      </c>
      <c r="E914" s="28" t="s">
        <v>5</v>
      </c>
      <c r="F914" s="28">
        <v>423599.1950225</v>
      </c>
      <c r="H914">
        <f>VLOOKUP(A914&amp;B914,ticker_sector[],2,FALSE)</f>
        <v>8</v>
      </c>
      <c r="I914">
        <f>VLOOKUP(C914,year[],2,FALSE)</f>
        <v>0</v>
      </c>
      <c r="J914">
        <f>VLOOKUP(E914,showing[],2,FALSE)</f>
        <v>3</v>
      </c>
      <c r="K914">
        <f>Сектора[[#This Row],[Значение]]</f>
        <v>423599.1950225</v>
      </c>
      <c r="L914" t="str">
        <f t="shared" si="14"/>
        <v>INSERT INTO msfo.statements (id_company, id_year, id_showing, value) VALUES (8,0,3,423599,1950225);</v>
      </c>
    </row>
    <row r="915" spans="1:12">
      <c r="A915" s="28" t="s">
        <v>42</v>
      </c>
      <c r="B915" s="28" t="s">
        <v>32</v>
      </c>
      <c r="C915" s="28">
        <v>2011</v>
      </c>
      <c r="D915" s="28" t="s">
        <v>1</v>
      </c>
      <c r="E915" s="28" t="s">
        <v>5</v>
      </c>
      <c r="F915" s="28">
        <v>555613.76421359996</v>
      </c>
      <c r="H915">
        <f>VLOOKUP(A915&amp;B915,ticker_sector[],2,FALSE)</f>
        <v>8</v>
      </c>
      <c r="I915">
        <f>VLOOKUP(C915,year[],2,FALSE)</f>
        <v>1</v>
      </c>
      <c r="J915">
        <f>VLOOKUP(E915,showing[],2,FALSE)</f>
        <v>3</v>
      </c>
      <c r="K915">
        <f>Сектора[[#This Row],[Значение]]</f>
        <v>555613.76421359996</v>
      </c>
      <c r="L915" t="str">
        <f t="shared" si="14"/>
        <v>INSERT INTO msfo.statements (id_company, id_year, id_showing, value) VALUES (8,1,3,555613,7642136);</v>
      </c>
    </row>
    <row r="916" spans="1:12">
      <c r="A916" s="28" t="s">
        <v>42</v>
      </c>
      <c r="B916" s="28" t="s">
        <v>32</v>
      </c>
      <c r="C916" s="28">
        <v>2012</v>
      </c>
      <c r="D916" s="28" t="s">
        <v>1</v>
      </c>
      <c r="E916" s="28" t="s">
        <v>5</v>
      </c>
      <c r="F916" s="28">
        <v>560604.71770399995</v>
      </c>
      <c r="H916">
        <f>VLOOKUP(A916&amp;B916,ticker_sector[],2,FALSE)</f>
        <v>8</v>
      </c>
      <c r="I916">
        <f>VLOOKUP(C916,year[],2,FALSE)</f>
        <v>2</v>
      </c>
      <c r="J916">
        <f>VLOOKUP(E916,showing[],2,FALSE)</f>
        <v>3</v>
      </c>
      <c r="K916">
        <f>Сектора[[#This Row],[Значение]]</f>
        <v>560604.71770399995</v>
      </c>
      <c r="L916" t="str">
        <f t="shared" si="14"/>
        <v>INSERT INTO msfo.statements (id_company, id_year, id_showing, value) VALUES (8,2,3,560604,717704);</v>
      </c>
    </row>
    <row r="917" spans="1:12">
      <c r="A917" s="28" t="s">
        <v>42</v>
      </c>
      <c r="B917" s="28" t="s">
        <v>32</v>
      </c>
      <c r="C917" s="28">
        <v>2013</v>
      </c>
      <c r="D917" s="28" t="s">
        <v>1</v>
      </c>
      <c r="E917" s="28" t="s">
        <v>5</v>
      </c>
      <c r="F917" s="28">
        <v>532964.94386520004</v>
      </c>
      <c r="H917">
        <f>VLOOKUP(A917&amp;B917,ticker_sector[],2,FALSE)</f>
        <v>8</v>
      </c>
      <c r="I917">
        <f>VLOOKUP(C917,year[],2,FALSE)</f>
        <v>3</v>
      </c>
      <c r="J917">
        <f>VLOOKUP(E917,showing[],2,FALSE)</f>
        <v>3</v>
      </c>
      <c r="K917">
        <f>Сектора[[#This Row],[Значение]]</f>
        <v>532964.94386520004</v>
      </c>
      <c r="L917" t="str">
        <f t="shared" si="14"/>
        <v>INSERT INTO msfo.statements (id_company, id_year, id_showing, value) VALUES (8,3,3,532964,9438652);</v>
      </c>
    </row>
    <row r="918" spans="1:12">
      <c r="A918" s="28" t="s">
        <v>42</v>
      </c>
      <c r="B918" s="28" t="s">
        <v>32</v>
      </c>
      <c r="C918" s="28">
        <v>2014</v>
      </c>
      <c r="D918" s="28" t="s">
        <v>1</v>
      </c>
      <c r="E918" s="28" t="s">
        <v>5</v>
      </c>
      <c r="F918" s="28">
        <v>582240.68495999998</v>
      </c>
      <c r="H918">
        <f>VLOOKUP(A918&amp;B918,ticker_sector[],2,FALSE)</f>
        <v>8</v>
      </c>
      <c r="I918">
        <f>VLOOKUP(C918,year[],2,FALSE)</f>
        <v>4</v>
      </c>
      <c r="J918">
        <f>VLOOKUP(E918,showing[],2,FALSE)</f>
        <v>3</v>
      </c>
      <c r="K918">
        <f>Сектора[[#This Row],[Значение]]</f>
        <v>582240.68495999998</v>
      </c>
      <c r="L918" t="str">
        <f t="shared" si="14"/>
        <v>INSERT INTO msfo.statements (id_company, id_year, id_showing, value) VALUES (8,4,3,582240,68496);</v>
      </c>
    </row>
    <row r="919" spans="1:12">
      <c r="A919" s="28" t="s">
        <v>42</v>
      </c>
      <c r="B919" s="28" t="s">
        <v>32</v>
      </c>
      <c r="C919" s="28">
        <v>2015</v>
      </c>
      <c r="D919" s="28" t="s">
        <v>1</v>
      </c>
      <c r="E919" s="28" t="s">
        <v>5</v>
      </c>
      <c r="F919" s="28">
        <v>650063.30000000005</v>
      </c>
      <c r="H919">
        <f>VLOOKUP(A919&amp;B919,ticker_sector[],2,FALSE)</f>
        <v>8</v>
      </c>
      <c r="I919">
        <f>VLOOKUP(C919,year[],2,FALSE)</f>
        <v>5</v>
      </c>
      <c r="J919">
        <f>VLOOKUP(E919,showing[],2,FALSE)</f>
        <v>3</v>
      </c>
      <c r="K919">
        <f>Сектора[[#This Row],[Значение]]</f>
        <v>650063.30000000005</v>
      </c>
      <c r="L919" t="str">
        <f t="shared" si="14"/>
        <v>INSERT INTO msfo.statements (id_company, id_year, id_showing, value) VALUES (8,5,3,650063,3);</v>
      </c>
    </row>
    <row r="920" spans="1:12">
      <c r="A920" s="28" t="s">
        <v>42</v>
      </c>
      <c r="B920" s="28" t="s">
        <v>32</v>
      </c>
      <c r="C920" s="28">
        <v>2016</v>
      </c>
      <c r="D920" s="28" t="s">
        <v>1</v>
      </c>
      <c r="E920" s="28" t="s">
        <v>5</v>
      </c>
      <c r="F920" s="28">
        <v>621050.4</v>
      </c>
      <c r="H920">
        <f>VLOOKUP(A920&amp;B920,ticker_sector[],2,FALSE)</f>
        <v>8</v>
      </c>
      <c r="I920">
        <f>VLOOKUP(C920,year[],2,FALSE)</f>
        <v>6</v>
      </c>
      <c r="J920">
        <f>VLOOKUP(E920,showing[],2,FALSE)</f>
        <v>3</v>
      </c>
      <c r="K920">
        <f>Сектора[[#This Row],[Значение]]</f>
        <v>621050.4</v>
      </c>
      <c r="L920" t="str">
        <f t="shared" si="14"/>
        <v>INSERT INTO msfo.statements (id_company, id_year, id_showing, value) VALUES (8,6,3,621050,4);</v>
      </c>
    </row>
    <row r="921" spans="1:12">
      <c r="A921" s="28" t="s">
        <v>42</v>
      </c>
      <c r="B921" s="28" t="s">
        <v>32</v>
      </c>
      <c r="C921" s="28">
        <v>2017</v>
      </c>
      <c r="D921" s="28" t="s">
        <v>1</v>
      </c>
      <c r="E921" s="28" t="s">
        <v>5</v>
      </c>
      <c r="F921" s="28">
        <v>633345</v>
      </c>
      <c r="H921">
        <f>VLOOKUP(A921&amp;B921,ticker_sector[],2,FALSE)</f>
        <v>8</v>
      </c>
      <c r="I921">
        <f>VLOOKUP(C921,year[],2,FALSE)</f>
        <v>7</v>
      </c>
      <c r="J921">
        <f>VLOOKUP(E921,showing[],2,FALSE)</f>
        <v>3</v>
      </c>
      <c r="K921">
        <f>Сектора[[#This Row],[Значение]]</f>
        <v>633345</v>
      </c>
      <c r="L921" t="str">
        <f t="shared" si="14"/>
        <v>INSERT INTO msfo.statements (id_company, id_year, id_showing, value) VALUES (8,7,3,633345);</v>
      </c>
    </row>
    <row r="922" spans="1:12">
      <c r="A922" s="28" t="s">
        <v>42</v>
      </c>
      <c r="B922" s="28" t="s">
        <v>32</v>
      </c>
      <c r="C922" s="28">
        <v>2010</v>
      </c>
      <c r="D922" s="28" t="s">
        <v>1</v>
      </c>
      <c r="E922" s="28" t="s">
        <v>6</v>
      </c>
      <c r="F922" s="28">
        <v>291170.63389659999</v>
      </c>
      <c r="H922">
        <f>VLOOKUP(A922&amp;B922,ticker_sector[],2,FALSE)</f>
        <v>8</v>
      </c>
      <c r="I922">
        <f>VLOOKUP(C922,year[],2,FALSE)</f>
        <v>0</v>
      </c>
      <c r="J922">
        <f>VLOOKUP(E922,showing[],2,FALSE)</f>
        <v>4</v>
      </c>
      <c r="K922">
        <f>Сектора[[#This Row],[Значение]]</f>
        <v>291170.63389659999</v>
      </c>
      <c r="L922" t="str">
        <f t="shared" si="14"/>
        <v>INSERT INTO msfo.statements (id_company, id_year, id_showing, value) VALUES (8,0,4,291170,6338966);</v>
      </c>
    </row>
    <row r="923" spans="1:12">
      <c r="A923" s="28" t="s">
        <v>42</v>
      </c>
      <c r="B923" s="28" t="s">
        <v>32</v>
      </c>
      <c r="C923" s="28">
        <v>2011</v>
      </c>
      <c r="D923" s="28" t="s">
        <v>1</v>
      </c>
      <c r="E923" s="28" t="s">
        <v>6</v>
      </c>
      <c r="F923" s="28">
        <v>325346.7740721</v>
      </c>
      <c r="H923">
        <f>VLOOKUP(A923&amp;B923,ticker_sector[],2,FALSE)</f>
        <v>8</v>
      </c>
      <c r="I923">
        <f>VLOOKUP(C923,year[],2,FALSE)</f>
        <v>1</v>
      </c>
      <c r="J923">
        <f>VLOOKUP(E923,showing[],2,FALSE)</f>
        <v>4</v>
      </c>
      <c r="K923">
        <f>Сектора[[#This Row],[Значение]]</f>
        <v>325346.7740721</v>
      </c>
      <c r="L923" t="str">
        <f t="shared" si="14"/>
        <v>INSERT INTO msfo.statements (id_company, id_year, id_showing, value) VALUES (8,1,4,325346,7740721);</v>
      </c>
    </row>
    <row r="924" spans="1:12">
      <c r="A924" s="28" t="s">
        <v>42</v>
      </c>
      <c r="B924" s="28" t="s">
        <v>32</v>
      </c>
      <c r="C924" s="28">
        <v>2012</v>
      </c>
      <c r="D924" s="28" t="s">
        <v>1</v>
      </c>
      <c r="E924" s="28" t="s">
        <v>6</v>
      </c>
      <c r="F924" s="28">
        <v>336842.05108300003</v>
      </c>
      <c r="H924">
        <f>VLOOKUP(A924&amp;B924,ticker_sector[],2,FALSE)</f>
        <v>8</v>
      </c>
      <c r="I924">
        <f>VLOOKUP(C924,year[],2,FALSE)</f>
        <v>2</v>
      </c>
      <c r="J924">
        <f>VLOOKUP(E924,showing[],2,FALSE)</f>
        <v>4</v>
      </c>
      <c r="K924">
        <f>Сектора[[#This Row],[Значение]]</f>
        <v>336842.05108300003</v>
      </c>
      <c r="L924" t="str">
        <f t="shared" si="14"/>
        <v>INSERT INTO msfo.statements (id_company, id_year, id_showing, value) VALUES (8,2,4,336842,051083);</v>
      </c>
    </row>
    <row r="925" spans="1:12">
      <c r="A925" s="28" t="s">
        <v>42</v>
      </c>
      <c r="B925" s="28" t="s">
        <v>32</v>
      </c>
      <c r="C925" s="28">
        <v>2013</v>
      </c>
      <c r="D925" s="28" t="s">
        <v>1</v>
      </c>
      <c r="E925" s="28" t="s">
        <v>6</v>
      </c>
      <c r="F925" s="28">
        <v>336286.27872279997</v>
      </c>
      <c r="H925">
        <f>VLOOKUP(A925&amp;B925,ticker_sector[],2,FALSE)</f>
        <v>8</v>
      </c>
      <c r="I925">
        <f>VLOOKUP(C925,year[],2,FALSE)</f>
        <v>3</v>
      </c>
      <c r="J925">
        <f>VLOOKUP(E925,showing[],2,FALSE)</f>
        <v>4</v>
      </c>
      <c r="K925">
        <f>Сектора[[#This Row],[Значение]]</f>
        <v>336286.27872279997</v>
      </c>
      <c r="L925" t="str">
        <f t="shared" si="14"/>
        <v>INSERT INTO msfo.statements (id_company, id_year, id_showing, value) VALUES (8,3,4,336286,2787228);</v>
      </c>
    </row>
    <row r="926" spans="1:12">
      <c r="A926" s="28" t="s">
        <v>42</v>
      </c>
      <c r="B926" s="28" t="s">
        <v>32</v>
      </c>
      <c r="C926" s="28">
        <v>2014</v>
      </c>
      <c r="D926" s="28" t="s">
        <v>1</v>
      </c>
      <c r="E926" s="28" t="s">
        <v>6</v>
      </c>
      <c r="F926" s="28">
        <v>351991.93128000002</v>
      </c>
      <c r="H926">
        <f>VLOOKUP(A926&amp;B926,ticker_sector[],2,FALSE)</f>
        <v>8</v>
      </c>
      <c r="I926">
        <f>VLOOKUP(C926,year[],2,FALSE)</f>
        <v>4</v>
      </c>
      <c r="J926">
        <f>VLOOKUP(E926,showing[],2,FALSE)</f>
        <v>4</v>
      </c>
      <c r="K926">
        <f>Сектора[[#This Row],[Значение]]</f>
        <v>351991.93128000002</v>
      </c>
      <c r="L926" t="str">
        <f t="shared" si="14"/>
        <v>INSERT INTO msfo.statements (id_company, id_year, id_showing, value) VALUES (8,4,4,351991,93128);</v>
      </c>
    </row>
    <row r="927" spans="1:12">
      <c r="A927" s="28" t="s">
        <v>42</v>
      </c>
      <c r="B927" s="28" t="s">
        <v>32</v>
      </c>
      <c r="C927" s="28">
        <v>2015</v>
      </c>
      <c r="D927" s="28" t="s">
        <v>1</v>
      </c>
      <c r="E927" s="28" t="s">
        <v>6</v>
      </c>
      <c r="F927" s="28">
        <v>374437.8</v>
      </c>
      <c r="H927">
        <f>VLOOKUP(A927&amp;B927,ticker_sector[],2,FALSE)</f>
        <v>8</v>
      </c>
      <c r="I927">
        <f>VLOOKUP(C927,year[],2,FALSE)</f>
        <v>5</v>
      </c>
      <c r="J927">
        <f>VLOOKUP(E927,showing[],2,FALSE)</f>
        <v>4</v>
      </c>
      <c r="K927">
        <f>Сектора[[#This Row],[Значение]]</f>
        <v>374437.8</v>
      </c>
      <c r="L927" t="str">
        <f t="shared" si="14"/>
        <v>INSERT INTO msfo.statements (id_company, id_year, id_showing, value) VALUES (8,5,4,374437,8);</v>
      </c>
    </row>
    <row r="928" spans="1:12">
      <c r="A928" s="28" t="s">
        <v>42</v>
      </c>
      <c r="B928" s="28" t="s">
        <v>32</v>
      </c>
      <c r="C928" s="28">
        <v>2016</v>
      </c>
      <c r="D928" s="28" t="s">
        <v>1</v>
      </c>
      <c r="E928" s="28" t="s">
        <v>6</v>
      </c>
      <c r="F928" s="28">
        <v>382791.2</v>
      </c>
      <c r="H928">
        <f>VLOOKUP(A928&amp;B928,ticker_sector[],2,FALSE)</f>
        <v>8</v>
      </c>
      <c r="I928">
        <f>VLOOKUP(C928,year[],2,FALSE)</f>
        <v>6</v>
      </c>
      <c r="J928">
        <f>VLOOKUP(E928,showing[],2,FALSE)</f>
        <v>4</v>
      </c>
      <c r="K928">
        <f>Сектора[[#This Row],[Значение]]</f>
        <v>382791.2</v>
      </c>
      <c r="L928" t="str">
        <f t="shared" si="14"/>
        <v>INSERT INTO msfo.statements (id_company, id_year, id_showing, value) VALUES (8,6,4,382791,2);</v>
      </c>
    </row>
    <row r="929" spans="1:12">
      <c r="A929" s="28" t="s">
        <v>42</v>
      </c>
      <c r="B929" s="28" t="s">
        <v>32</v>
      </c>
      <c r="C929" s="28">
        <v>2017</v>
      </c>
      <c r="D929" s="28" t="s">
        <v>1</v>
      </c>
      <c r="E929" s="28" t="s">
        <v>6</v>
      </c>
      <c r="F929" s="28">
        <v>382764</v>
      </c>
      <c r="H929">
        <f>VLOOKUP(A929&amp;B929,ticker_sector[],2,FALSE)</f>
        <v>8</v>
      </c>
      <c r="I929">
        <f>VLOOKUP(C929,year[],2,FALSE)</f>
        <v>7</v>
      </c>
      <c r="J929">
        <f>VLOOKUP(E929,showing[],2,FALSE)</f>
        <v>4</v>
      </c>
      <c r="K929">
        <f>Сектора[[#This Row],[Значение]]</f>
        <v>382764</v>
      </c>
      <c r="L929" t="str">
        <f t="shared" si="14"/>
        <v>INSERT INTO msfo.statements (id_company, id_year, id_showing, value) VALUES (8,7,4,382764);</v>
      </c>
    </row>
    <row r="930" spans="1:12">
      <c r="A930" s="28" t="s">
        <v>42</v>
      </c>
      <c r="B930" s="28" t="s">
        <v>32</v>
      </c>
      <c r="C930" s="28">
        <v>2010</v>
      </c>
      <c r="D930" s="28" t="s">
        <v>1</v>
      </c>
      <c r="E930" s="28" t="s">
        <v>8</v>
      </c>
      <c r="F930" s="28">
        <v>82086.939613499999</v>
      </c>
      <c r="H930">
        <f>VLOOKUP(A930&amp;B930,ticker_sector[],2,FALSE)</f>
        <v>8</v>
      </c>
      <c r="I930">
        <f>VLOOKUP(C930,year[],2,FALSE)</f>
        <v>0</v>
      </c>
      <c r="J930">
        <f>VLOOKUP(E930,showing[],2,FALSE)</f>
        <v>5</v>
      </c>
      <c r="K930">
        <f>Сектора[[#This Row],[Значение]]</f>
        <v>82086.939613499999</v>
      </c>
      <c r="L930" t="str">
        <f t="shared" si="14"/>
        <v>INSERT INTO msfo.statements (id_company, id_year, id_showing, value) VALUES (8,0,5,82086,9396135);</v>
      </c>
    </row>
    <row r="931" spans="1:12">
      <c r="A931" s="28" t="s">
        <v>42</v>
      </c>
      <c r="B931" s="28" t="s">
        <v>32</v>
      </c>
      <c r="C931" s="28">
        <v>2011</v>
      </c>
      <c r="D931" s="28" t="s">
        <v>1</v>
      </c>
      <c r="E931" s="28" t="s">
        <v>8</v>
      </c>
      <c r="F931" s="28">
        <v>135612.5166919</v>
      </c>
      <c r="H931">
        <f>VLOOKUP(A931&amp;B931,ticker_sector[],2,FALSE)</f>
        <v>8</v>
      </c>
      <c r="I931">
        <f>VLOOKUP(C931,year[],2,FALSE)</f>
        <v>1</v>
      </c>
      <c r="J931">
        <f>VLOOKUP(E931,showing[],2,FALSE)</f>
        <v>5</v>
      </c>
      <c r="K931">
        <f>Сектора[[#This Row],[Значение]]</f>
        <v>135612.5166919</v>
      </c>
      <c r="L931" t="str">
        <f t="shared" si="14"/>
        <v>INSERT INTO msfo.statements (id_company, id_year, id_showing, value) VALUES (8,1,5,135612,5166919);</v>
      </c>
    </row>
    <row r="932" spans="1:12">
      <c r="A932" s="28" t="s">
        <v>42</v>
      </c>
      <c r="B932" s="28" t="s">
        <v>32</v>
      </c>
      <c r="C932" s="28">
        <v>2012</v>
      </c>
      <c r="D932" s="28" t="s">
        <v>1</v>
      </c>
      <c r="E932" s="28" t="s">
        <v>8</v>
      </c>
      <c r="F932" s="28">
        <v>123469.76364119998</v>
      </c>
      <c r="H932">
        <f>VLOOKUP(A932&amp;B932,ticker_sector[],2,FALSE)</f>
        <v>8</v>
      </c>
      <c r="I932">
        <f>VLOOKUP(C932,year[],2,FALSE)</f>
        <v>2</v>
      </c>
      <c r="J932">
        <f>VLOOKUP(E932,showing[],2,FALSE)</f>
        <v>5</v>
      </c>
      <c r="K932">
        <f>Сектора[[#This Row],[Значение]]</f>
        <v>123469.76364119998</v>
      </c>
      <c r="L932" t="str">
        <f t="shared" si="14"/>
        <v>INSERT INTO msfo.statements (id_company, id_year, id_showing, value) VALUES (8,2,5,123469,7636412);</v>
      </c>
    </row>
    <row r="933" spans="1:12">
      <c r="A933" s="28" t="s">
        <v>42</v>
      </c>
      <c r="B933" s="28" t="s">
        <v>32</v>
      </c>
      <c r="C933" s="28">
        <v>2013</v>
      </c>
      <c r="D933" s="28" t="s">
        <v>1</v>
      </c>
      <c r="E933" s="28" t="s">
        <v>8</v>
      </c>
      <c r="F933" s="28">
        <v>120859.90234080001</v>
      </c>
      <c r="H933">
        <f>VLOOKUP(A933&amp;B933,ticker_sector[],2,FALSE)</f>
        <v>8</v>
      </c>
      <c r="I933">
        <f>VLOOKUP(C933,year[],2,FALSE)</f>
        <v>3</v>
      </c>
      <c r="J933">
        <f>VLOOKUP(E933,showing[],2,FALSE)</f>
        <v>5</v>
      </c>
      <c r="K933">
        <f>Сектора[[#This Row],[Значение]]</f>
        <v>120859.90234080001</v>
      </c>
      <c r="L933" t="str">
        <f t="shared" si="14"/>
        <v>INSERT INTO msfo.statements (id_company, id_year, id_showing, value) VALUES (8,3,5,120859,9023408);</v>
      </c>
    </row>
    <row r="934" spans="1:12">
      <c r="A934" s="28" t="s">
        <v>42</v>
      </c>
      <c r="B934" s="28" t="s">
        <v>32</v>
      </c>
      <c r="C934" s="28">
        <v>2014</v>
      </c>
      <c r="D934" s="28" t="s">
        <v>1</v>
      </c>
      <c r="E934" s="28" t="s">
        <v>8</v>
      </c>
      <c r="F934" s="28">
        <v>138676.95600000001</v>
      </c>
      <c r="H934">
        <f>VLOOKUP(A934&amp;B934,ticker_sector[],2,FALSE)</f>
        <v>8</v>
      </c>
      <c r="I934">
        <f>VLOOKUP(C934,year[],2,FALSE)</f>
        <v>4</v>
      </c>
      <c r="J934">
        <f>VLOOKUP(E934,showing[],2,FALSE)</f>
        <v>5</v>
      </c>
      <c r="K934">
        <f>Сектора[[#This Row],[Значение]]</f>
        <v>138676.95600000001</v>
      </c>
      <c r="L934" t="str">
        <f t="shared" si="14"/>
        <v>INSERT INTO msfo.statements (id_company, id_year, id_showing, value) VALUES (8,4,5,138676,956);</v>
      </c>
    </row>
    <row r="935" spans="1:12">
      <c r="A935" s="28" t="s">
        <v>42</v>
      </c>
      <c r="B935" s="28" t="s">
        <v>32</v>
      </c>
      <c r="C935" s="28">
        <v>2015</v>
      </c>
      <c r="D935" s="28" t="s">
        <v>1</v>
      </c>
      <c r="E935" s="28" t="s">
        <v>8</v>
      </c>
      <c r="F935" s="28">
        <v>179861.5</v>
      </c>
      <c r="H935">
        <f>VLOOKUP(A935&amp;B935,ticker_sector[],2,FALSE)</f>
        <v>8</v>
      </c>
      <c r="I935">
        <f>VLOOKUP(C935,year[],2,FALSE)</f>
        <v>5</v>
      </c>
      <c r="J935">
        <f>VLOOKUP(E935,showing[],2,FALSE)</f>
        <v>5</v>
      </c>
      <c r="K935">
        <f>Сектора[[#This Row],[Значение]]</f>
        <v>179861.5</v>
      </c>
      <c r="L935" t="str">
        <f t="shared" si="14"/>
        <v>INSERT INTO msfo.statements (id_company, id_year, id_showing, value) VALUES (8,5,5,179861,5);</v>
      </c>
    </row>
    <row r="936" spans="1:12">
      <c r="A936" s="28" t="s">
        <v>42</v>
      </c>
      <c r="B936" s="28" t="s">
        <v>32</v>
      </c>
      <c r="C936" s="28">
        <v>2016</v>
      </c>
      <c r="D936" s="28" t="s">
        <v>1</v>
      </c>
      <c r="E936" s="28" t="s">
        <v>8</v>
      </c>
      <c r="F936" s="28">
        <v>133395.4</v>
      </c>
      <c r="H936">
        <f>VLOOKUP(A936&amp;B936,ticker_sector[],2,FALSE)</f>
        <v>8</v>
      </c>
      <c r="I936">
        <f>VLOOKUP(C936,year[],2,FALSE)</f>
        <v>6</v>
      </c>
      <c r="J936">
        <f>VLOOKUP(E936,showing[],2,FALSE)</f>
        <v>5</v>
      </c>
      <c r="K936">
        <f>Сектора[[#This Row],[Значение]]</f>
        <v>133395.4</v>
      </c>
      <c r="L936" t="str">
        <f t="shared" si="14"/>
        <v>INSERT INTO msfo.statements (id_company, id_year, id_showing, value) VALUES (8,6,5,133395,4);</v>
      </c>
    </row>
    <row r="937" spans="1:12">
      <c r="A937" s="28" t="s">
        <v>42</v>
      </c>
      <c r="B937" s="28" t="s">
        <v>32</v>
      </c>
      <c r="C937" s="28">
        <v>2017</v>
      </c>
      <c r="D937" s="28" t="s">
        <v>1</v>
      </c>
      <c r="E937" s="28" t="s">
        <v>8</v>
      </c>
      <c r="F937" s="28">
        <v>135428</v>
      </c>
      <c r="H937">
        <f>VLOOKUP(A937&amp;B937,ticker_sector[],2,FALSE)</f>
        <v>8</v>
      </c>
      <c r="I937">
        <f>VLOOKUP(C937,year[],2,FALSE)</f>
        <v>7</v>
      </c>
      <c r="J937">
        <f>VLOOKUP(E937,showing[],2,FALSE)</f>
        <v>5</v>
      </c>
      <c r="K937">
        <f>Сектора[[#This Row],[Значение]]</f>
        <v>135428</v>
      </c>
      <c r="L937" t="str">
        <f t="shared" si="14"/>
        <v>INSERT INTO msfo.statements (id_company, id_year, id_showing, value) VALUES (8,7,5,135428);</v>
      </c>
    </row>
    <row r="938" spans="1:12">
      <c r="A938" s="28" t="s">
        <v>42</v>
      </c>
      <c r="B938" s="28" t="s">
        <v>32</v>
      </c>
      <c r="C938" s="28">
        <v>2010</v>
      </c>
      <c r="D938" s="28" t="s">
        <v>1</v>
      </c>
      <c r="E938" s="28" t="s">
        <v>9</v>
      </c>
      <c r="F938" s="28">
        <v>50341.621512400001</v>
      </c>
      <c r="H938">
        <f>VLOOKUP(A938&amp;B938,ticker_sector[],2,FALSE)</f>
        <v>8</v>
      </c>
      <c r="I938">
        <f>VLOOKUP(C938,year[],2,FALSE)</f>
        <v>0</v>
      </c>
      <c r="J938">
        <f>VLOOKUP(E938,showing[],2,FALSE)</f>
        <v>6</v>
      </c>
      <c r="K938">
        <f>Сектора[[#This Row],[Значение]]</f>
        <v>50341.621512400001</v>
      </c>
      <c r="L938" t="str">
        <f t="shared" si="14"/>
        <v>INSERT INTO msfo.statements (id_company, id_year, id_showing, value) VALUES (8,0,6,50341,6215124);</v>
      </c>
    </row>
    <row r="939" spans="1:12">
      <c r="A939" s="28" t="s">
        <v>42</v>
      </c>
      <c r="B939" s="28" t="s">
        <v>32</v>
      </c>
      <c r="C939" s="28">
        <v>2011</v>
      </c>
      <c r="D939" s="28" t="s">
        <v>1</v>
      </c>
      <c r="E939" s="28" t="s">
        <v>9</v>
      </c>
      <c r="F939" s="28">
        <v>94654.473449600002</v>
      </c>
      <c r="H939">
        <f>VLOOKUP(A939&amp;B939,ticker_sector[],2,FALSE)</f>
        <v>8</v>
      </c>
      <c r="I939">
        <f>VLOOKUP(C939,year[],2,FALSE)</f>
        <v>1</v>
      </c>
      <c r="J939">
        <f>VLOOKUP(E939,showing[],2,FALSE)</f>
        <v>6</v>
      </c>
      <c r="K939">
        <f>Сектора[[#This Row],[Значение]]</f>
        <v>94654.473449600002</v>
      </c>
      <c r="L939" t="str">
        <f t="shared" si="14"/>
        <v>INSERT INTO msfo.statements (id_company, id_year, id_showing, value) VALUES (8,1,6,94654,4734496);</v>
      </c>
    </row>
    <row r="940" spans="1:12">
      <c r="A940" s="28" t="s">
        <v>42</v>
      </c>
      <c r="B940" s="28" t="s">
        <v>32</v>
      </c>
      <c r="C940" s="28">
        <v>2012</v>
      </c>
      <c r="D940" s="28" t="s">
        <v>1</v>
      </c>
      <c r="E940" s="28" t="s">
        <v>9</v>
      </c>
      <c r="F940" s="28">
        <v>100292.9029798</v>
      </c>
      <c r="H940">
        <f>VLOOKUP(A940&amp;B940,ticker_sector[],2,FALSE)</f>
        <v>8</v>
      </c>
      <c r="I940">
        <f>VLOOKUP(C940,year[],2,FALSE)</f>
        <v>2</v>
      </c>
      <c r="J940">
        <f>VLOOKUP(E940,showing[],2,FALSE)</f>
        <v>6</v>
      </c>
      <c r="K940">
        <f>Сектора[[#This Row],[Значение]]</f>
        <v>100292.9029798</v>
      </c>
      <c r="L940" t="str">
        <f t="shared" si="14"/>
        <v>INSERT INTO msfo.statements (id_company, id_year, id_showing, value) VALUES (8,2,6,100292,9029798);</v>
      </c>
    </row>
    <row r="941" spans="1:12">
      <c r="A941" s="28" t="s">
        <v>42</v>
      </c>
      <c r="B941" s="28" t="s">
        <v>32</v>
      </c>
      <c r="C941" s="28">
        <v>2013</v>
      </c>
      <c r="D941" s="28" t="s">
        <v>1</v>
      </c>
      <c r="E941" s="28" t="s">
        <v>9</v>
      </c>
      <c r="F941" s="28">
        <v>75818.762801599994</v>
      </c>
      <c r="H941">
        <f>VLOOKUP(A941&amp;B941,ticker_sector[],2,FALSE)</f>
        <v>8</v>
      </c>
      <c r="I941">
        <f>VLOOKUP(C941,year[],2,FALSE)</f>
        <v>3</v>
      </c>
      <c r="J941">
        <f>VLOOKUP(E941,showing[],2,FALSE)</f>
        <v>6</v>
      </c>
      <c r="K941">
        <f>Сектора[[#This Row],[Значение]]</f>
        <v>75818.762801599994</v>
      </c>
      <c r="L941" t="str">
        <f t="shared" si="14"/>
        <v>INSERT INTO msfo.statements (id_company, id_year, id_showing, value) VALUES (8,3,6,75818,7628016);</v>
      </c>
    </row>
    <row r="942" spans="1:12">
      <c r="A942" s="28" t="s">
        <v>42</v>
      </c>
      <c r="B942" s="28" t="s">
        <v>32</v>
      </c>
      <c r="C942" s="28">
        <v>2014</v>
      </c>
      <c r="D942" s="28" t="s">
        <v>1</v>
      </c>
      <c r="E942" s="28" t="s">
        <v>9</v>
      </c>
      <c r="F942" s="28">
        <v>91571.797680000003</v>
      </c>
      <c r="H942">
        <f>VLOOKUP(A942&amp;B942,ticker_sector[],2,FALSE)</f>
        <v>8</v>
      </c>
      <c r="I942">
        <f>VLOOKUP(C942,year[],2,FALSE)</f>
        <v>4</v>
      </c>
      <c r="J942">
        <f>VLOOKUP(E942,showing[],2,FALSE)</f>
        <v>6</v>
      </c>
      <c r="K942">
        <f>Сектора[[#This Row],[Значение]]</f>
        <v>91571.797680000003</v>
      </c>
      <c r="L942" t="str">
        <f t="shared" si="14"/>
        <v>INSERT INTO msfo.statements (id_company, id_year, id_showing, value) VALUES (8,4,6,91571,79768);</v>
      </c>
    </row>
    <row r="943" spans="1:12">
      <c r="A943" s="28" t="s">
        <v>42</v>
      </c>
      <c r="B943" s="28" t="s">
        <v>32</v>
      </c>
      <c r="C943" s="28">
        <v>2015</v>
      </c>
      <c r="D943" s="28" t="s">
        <v>1</v>
      </c>
      <c r="E943" s="28" t="s">
        <v>9</v>
      </c>
      <c r="F943" s="28">
        <v>95764</v>
      </c>
      <c r="H943">
        <f>VLOOKUP(A943&amp;B943,ticker_sector[],2,FALSE)</f>
        <v>8</v>
      </c>
      <c r="I943">
        <f>VLOOKUP(C943,year[],2,FALSE)</f>
        <v>5</v>
      </c>
      <c r="J943">
        <f>VLOOKUP(E943,showing[],2,FALSE)</f>
        <v>6</v>
      </c>
      <c r="K943">
        <f>Сектора[[#This Row],[Значение]]</f>
        <v>95764</v>
      </c>
      <c r="L943" t="str">
        <f t="shared" si="14"/>
        <v>INSERT INTO msfo.statements (id_company, id_year, id_showing, value) VALUES (8,5,6,95764);</v>
      </c>
    </row>
    <row r="944" spans="1:12">
      <c r="A944" s="28" t="s">
        <v>42</v>
      </c>
      <c r="B944" s="28" t="s">
        <v>32</v>
      </c>
      <c r="C944" s="28">
        <v>2016</v>
      </c>
      <c r="D944" s="28" t="s">
        <v>1</v>
      </c>
      <c r="E944" s="28" t="s">
        <v>9</v>
      </c>
      <c r="F944" s="28">
        <v>104863.8</v>
      </c>
      <c r="H944">
        <f>VLOOKUP(A944&amp;B944,ticker_sector[],2,FALSE)</f>
        <v>8</v>
      </c>
      <c r="I944">
        <f>VLOOKUP(C944,year[],2,FALSE)</f>
        <v>6</v>
      </c>
      <c r="J944">
        <f>VLOOKUP(E944,showing[],2,FALSE)</f>
        <v>6</v>
      </c>
      <c r="K944">
        <f>Сектора[[#This Row],[Значение]]</f>
        <v>104863.8</v>
      </c>
      <c r="L944" t="str">
        <f t="shared" si="14"/>
        <v>INSERT INTO msfo.statements (id_company, id_year, id_showing, value) VALUES (8,6,6,104863,8);</v>
      </c>
    </row>
    <row r="945" spans="1:12">
      <c r="A945" s="28" t="s">
        <v>42</v>
      </c>
      <c r="B945" s="28" t="s">
        <v>32</v>
      </c>
      <c r="C945" s="28">
        <v>2017</v>
      </c>
      <c r="D945" s="28" t="s">
        <v>1</v>
      </c>
      <c r="E945" s="28" t="s">
        <v>9</v>
      </c>
      <c r="F945" s="28">
        <v>115153</v>
      </c>
      <c r="H945">
        <f>VLOOKUP(A945&amp;B945,ticker_sector[],2,FALSE)</f>
        <v>8</v>
      </c>
      <c r="I945">
        <f>VLOOKUP(C945,year[],2,FALSE)</f>
        <v>7</v>
      </c>
      <c r="J945">
        <f>VLOOKUP(E945,showing[],2,FALSE)</f>
        <v>6</v>
      </c>
      <c r="K945">
        <f>Сектора[[#This Row],[Значение]]</f>
        <v>115153</v>
      </c>
      <c r="L945" t="str">
        <f t="shared" si="14"/>
        <v>INSERT INTO msfo.statements (id_company, id_year, id_showing, value) VALUES (8,7,6,115153);</v>
      </c>
    </row>
    <row r="946" spans="1:12">
      <c r="A946" s="28" t="s">
        <v>42</v>
      </c>
      <c r="B946" s="28" t="s">
        <v>32</v>
      </c>
      <c r="C946" s="28">
        <v>2010</v>
      </c>
      <c r="D946" s="28" t="s">
        <v>1</v>
      </c>
      <c r="E946" s="28" t="s">
        <v>10</v>
      </c>
      <c r="F946" s="28">
        <v>423599.1950225</v>
      </c>
      <c r="H946">
        <f>VLOOKUP(A946&amp;B946,ticker_sector[],2,FALSE)</f>
        <v>8</v>
      </c>
      <c r="I946">
        <f>VLOOKUP(C946,year[],2,FALSE)</f>
        <v>0</v>
      </c>
      <c r="J946">
        <f>VLOOKUP(E946,showing[],2,FALSE)</f>
        <v>7</v>
      </c>
      <c r="K946">
        <f>Сектора[[#This Row],[Значение]]</f>
        <v>423599.1950225</v>
      </c>
      <c r="L946" t="str">
        <f t="shared" si="14"/>
        <v>INSERT INTO msfo.statements (id_company, id_year, id_showing, value) VALUES (8,0,7,423599,1950225);</v>
      </c>
    </row>
    <row r="947" spans="1:12">
      <c r="A947" s="28" t="s">
        <v>42</v>
      </c>
      <c r="B947" s="28" t="s">
        <v>32</v>
      </c>
      <c r="C947" s="28">
        <v>2011</v>
      </c>
      <c r="D947" s="28" t="s">
        <v>1</v>
      </c>
      <c r="E947" s="28" t="s">
        <v>10</v>
      </c>
      <c r="F947" s="28">
        <v>555613.76421359996</v>
      </c>
      <c r="H947">
        <f>VLOOKUP(A947&amp;B947,ticker_sector[],2,FALSE)</f>
        <v>8</v>
      </c>
      <c r="I947">
        <f>VLOOKUP(C947,year[],2,FALSE)</f>
        <v>1</v>
      </c>
      <c r="J947">
        <f>VLOOKUP(E947,showing[],2,FALSE)</f>
        <v>7</v>
      </c>
      <c r="K947">
        <f>Сектора[[#This Row],[Значение]]</f>
        <v>555613.76421359996</v>
      </c>
      <c r="L947" t="str">
        <f t="shared" si="14"/>
        <v>INSERT INTO msfo.statements (id_company, id_year, id_showing, value) VALUES (8,1,7,555613,7642136);</v>
      </c>
    </row>
    <row r="948" spans="1:12">
      <c r="A948" s="28" t="s">
        <v>42</v>
      </c>
      <c r="B948" s="28" t="s">
        <v>32</v>
      </c>
      <c r="C948" s="28">
        <v>2012</v>
      </c>
      <c r="D948" s="28" t="s">
        <v>1</v>
      </c>
      <c r="E948" s="28" t="s">
        <v>10</v>
      </c>
      <c r="F948" s="28">
        <v>560604.71770399995</v>
      </c>
      <c r="H948">
        <f>VLOOKUP(A948&amp;B948,ticker_sector[],2,FALSE)</f>
        <v>8</v>
      </c>
      <c r="I948">
        <f>VLOOKUP(C948,year[],2,FALSE)</f>
        <v>2</v>
      </c>
      <c r="J948">
        <f>VLOOKUP(E948,showing[],2,FALSE)</f>
        <v>7</v>
      </c>
      <c r="K948">
        <f>Сектора[[#This Row],[Значение]]</f>
        <v>560604.71770399995</v>
      </c>
      <c r="L948" t="str">
        <f t="shared" si="14"/>
        <v>INSERT INTO msfo.statements (id_company, id_year, id_showing, value) VALUES (8,2,7,560604,717704);</v>
      </c>
    </row>
    <row r="949" spans="1:12">
      <c r="A949" s="28" t="s">
        <v>42</v>
      </c>
      <c r="B949" s="28" t="s">
        <v>32</v>
      </c>
      <c r="C949" s="28">
        <v>2013</v>
      </c>
      <c r="D949" s="28" t="s">
        <v>1</v>
      </c>
      <c r="E949" s="28" t="s">
        <v>10</v>
      </c>
      <c r="F949" s="28">
        <v>532964.94386520004</v>
      </c>
      <c r="H949">
        <f>VLOOKUP(A949&amp;B949,ticker_sector[],2,FALSE)</f>
        <v>8</v>
      </c>
      <c r="I949">
        <f>VLOOKUP(C949,year[],2,FALSE)</f>
        <v>3</v>
      </c>
      <c r="J949">
        <f>VLOOKUP(E949,showing[],2,FALSE)</f>
        <v>7</v>
      </c>
      <c r="K949">
        <f>Сектора[[#This Row],[Значение]]</f>
        <v>532964.94386520004</v>
      </c>
      <c r="L949" t="str">
        <f t="shared" si="14"/>
        <v>INSERT INTO msfo.statements (id_company, id_year, id_showing, value) VALUES (8,3,7,532964,9438652);</v>
      </c>
    </row>
    <row r="950" spans="1:12">
      <c r="A950" s="28" t="s">
        <v>42</v>
      </c>
      <c r="B950" s="28" t="s">
        <v>32</v>
      </c>
      <c r="C950" s="28">
        <v>2014</v>
      </c>
      <c r="D950" s="28" t="s">
        <v>1</v>
      </c>
      <c r="E950" s="28" t="s">
        <v>10</v>
      </c>
      <c r="F950" s="28">
        <v>582240.68495999998</v>
      </c>
      <c r="H950">
        <f>VLOOKUP(A950&amp;B950,ticker_sector[],2,FALSE)</f>
        <v>8</v>
      </c>
      <c r="I950">
        <f>VLOOKUP(C950,year[],2,FALSE)</f>
        <v>4</v>
      </c>
      <c r="J950">
        <f>VLOOKUP(E950,showing[],2,FALSE)</f>
        <v>7</v>
      </c>
      <c r="K950">
        <f>Сектора[[#This Row],[Значение]]</f>
        <v>582240.68495999998</v>
      </c>
      <c r="L950" t="str">
        <f t="shared" si="14"/>
        <v>INSERT INTO msfo.statements (id_company, id_year, id_showing, value) VALUES (8,4,7,582240,68496);</v>
      </c>
    </row>
    <row r="951" spans="1:12">
      <c r="A951" s="28" t="s">
        <v>42</v>
      </c>
      <c r="B951" s="28" t="s">
        <v>32</v>
      </c>
      <c r="C951" s="28">
        <v>2015</v>
      </c>
      <c r="D951" s="28" t="s">
        <v>1</v>
      </c>
      <c r="E951" s="28" t="s">
        <v>10</v>
      </c>
      <c r="F951" s="28">
        <v>650063.30000000005</v>
      </c>
      <c r="H951">
        <f>VLOOKUP(A951&amp;B951,ticker_sector[],2,FALSE)</f>
        <v>8</v>
      </c>
      <c r="I951">
        <f>VLOOKUP(C951,year[],2,FALSE)</f>
        <v>5</v>
      </c>
      <c r="J951">
        <f>VLOOKUP(E951,showing[],2,FALSE)</f>
        <v>7</v>
      </c>
      <c r="K951">
        <f>Сектора[[#This Row],[Значение]]</f>
        <v>650063.30000000005</v>
      </c>
      <c r="L951" t="str">
        <f t="shared" si="14"/>
        <v>INSERT INTO msfo.statements (id_company, id_year, id_showing, value) VALUES (8,5,7,650063,3);</v>
      </c>
    </row>
    <row r="952" spans="1:12">
      <c r="A952" s="28" t="s">
        <v>42</v>
      </c>
      <c r="B952" s="28" t="s">
        <v>32</v>
      </c>
      <c r="C952" s="28">
        <v>2016</v>
      </c>
      <c r="D952" s="28" t="s">
        <v>1</v>
      </c>
      <c r="E952" s="28" t="s">
        <v>10</v>
      </c>
      <c r="F952" s="28">
        <v>621050.4</v>
      </c>
      <c r="H952">
        <f>VLOOKUP(A952&amp;B952,ticker_sector[],2,FALSE)</f>
        <v>8</v>
      </c>
      <c r="I952">
        <f>VLOOKUP(C952,year[],2,FALSE)</f>
        <v>6</v>
      </c>
      <c r="J952">
        <f>VLOOKUP(E952,showing[],2,FALSE)</f>
        <v>7</v>
      </c>
      <c r="K952">
        <f>Сектора[[#This Row],[Значение]]</f>
        <v>621050.4</v>
      </c>
      <c r="L952" t="str">
        <f t="shared" si="14"/>
        <v>INSERT INTO msfo.statements (id_company, id_year, id_showing, value) VALUES (8,6,7,621050,4);</v>
      </c>
    </row>
    <row r="953" spans="1:12">
      <c r="A953" s="28" t="s">
        <v>42</v>
      </c>
      <c r="B953" s="28" t="s">
        <v>32</v>
      </c>
      <c r="C953" s="28">
        <v>2017</v>
      </c>
      <c r="D953" s="28" t="s">
        <v>1</v>
      </c>
      <c r="E953" s="28" t="s">
        <v>10</v>
      </c>
      <c r="F953" s="28">
        <v>633345</v>
      </c>
      <c r="H953">
        <f>VLOOKUP(A953&amp;B953,ticker_sector[],2,FALSE)</f>
        <v>8</v>
      </c>
      <c r="I953">
        <f>VLOOKUP(C953,year[],2,FALSE)</f>
        <v>7</v>
      </c>
      <c r="J953">
        <f>VLOOKUP(E953,showing[],2,FALSE)</f>
        <v>7</v>
      </c>
      <c r="K953">
        <f>Сектора[[#This Row],[Значение]]</f>
        <v>633345</v>
      </c>
      <c r="L953" t="str">
        <f t="shared" si="14"/>
        <v>INSERT INTO msfo.statements (id_company, id_year, id_showing, value) VALUES (8,7,7,633345);</v>
      </c>
    </row>
    <row r="954" spans="1:12">
      <c r="A954" s="28" t="s">
        <v>42</v>
      </c>
      <c r="B954" s="28" t="s">
        <v>32</v>
      </c>
      <c r="C954" s="28">
        <v>2010</v>
      </c>
      <c r="D954" s="28" t="s">
        <v>1</v>
      </c>
      <c r="E954" s="28" t="s">
        <v>11</v>
      </c>
      <c r="F954" s="28">
        <v>0.31262703678855175</v>
      </c>
      <c r="H954">
        <f>VLOOKUP(A954&amp;B954,ticker_sector[],2,FALSE)</f>
        <v>8</v>
      </c>
      <c r="I954">
        <f>VLOOKUP(C954,year[],2,FALSE)</f>
        <v>0</v>
      </c>
      <c r="J954">
        <f>VLOOKUP(E954,showing[],2,FALSE)</f>
        <v>8</v>
      </c>
      <c r="K954">
        <f>Сектора[[#This Row],[Значение]]</f>
        <v>0.31262703678855175</v>
      </c>
      <c r="L954" t="str">
        <f t="shared" si="14"/>
        <v>INSERT INTO msfo.statements (id_company, id_year, id_showing, value) VALUES (8,0,8,0,312627036788552);</v>
      </c>
    </row>
    <row r="955" spans="1:12">
      <c r="A955" s="28" t="s">
        <v>42</v>
      </c>
      <c r="B955" s="28" t="s">
        <v>32</v>
      </c>
      <c r="C955" s="28">
        <v>2011</v>
      </c>
      <c r="D955" s="28" t="s">
        <v>1</v>
      </c>
      <c r="E955" s="28" t="s">
        <v>11</v>
      </c>
      <c r="F955" s="28">
        <v>0.41443715935909797</v>
      </c>
      <c r="H955">
        <f>VLOOKUP(A955&amp;B955,ticker_sector[],2,FALSE)</f>
        <v>8</v>
      </c>
      <c r="I955">
        <f>VLOOKUP(C955,year[],2,FALSE)</f>
        <v>1</v>
      </c>
      <c r="J955">
        <f>VLOOKUP(E955,showing[],2,FALSE)</f>
        <v>8</v>
      </c>
      <c r="K955">
        <f>Сектора[[#This Row],[Значение]]</f>
        <v>0.41443715935909797</v>
      </c>
      <c r="L955" t="str">
        <f t="shared" si="14"/>
        <v>INSERT INTO msfo.statements (id_company, id_year, id_showing, value) VALUES (8,1,8,0,414437159359098);</v>
      </c>
    </row>
    <row r="956" spans="1:12">
      <c r="A956" s="28" t="s">
        <v>42</v>
      </c>
      <c r="B956" s="28" t="s">
        <v>32</v>
      </c>
      <c r="C956" s="28">
        <v>2012</v>
      </c>
      <c r="D956" s="28" t="s">
        <v>1</v>
      </c>
      <c r="E956" s="28" t="s">
        <v>11</v>
      </c>
      <c r="F956" s="28">
        <v>0.39914517226582985</v>
      </c>
      <c r="H956">
        <f>VLOOKUP(A956&amp;B956,ticker_sector[],2,FALSE)</f>
        <v>8</v>
      </c>
      <c r="I956">
        <f>VLOOKUP(C956,year[],2,FALSE)</f>
        <v>2</v>
      </c>
      <c r="J956">
        <f>VLOOKUP(E956,showing[],2,FALSE)</f>
        <v>8</v>
      </c>
      <c r="K956">
        <f>Сектора[[#This Row],[Значение]]</f>
        <v>0.39914517226582985</v>
      </c>
      <c r="L956" t="str">
        <f t="shared" si="14"/>
        <v>INSERT INTO msfo.statements (id_company, id_year, id_showing, value) VALUES (8,2,8,0,39914517226583);</v>
      </c>
    </row>
    <row r="957" spans="1:12">
      <c r="A957" s="28" t="s">
        <v>42</v>
      </c>
      <c r="B957" s="28" t="s">
        <v>32</v>
      </c>
      <c r="C957" s="28">
        <v>2013</v>
      </c>
      <c r="D957" s="28" t="s">
        <v>1</v>
      </c>
      <c r="E957" s="28" t="s">
        <v>11</v>
      </c>
      <c r="F957" s="28">
        <v>0.36902739552818487</v>
      </c>
      <c r="H957">
        <f>VLOOKUP(A957&amp;B957,ticker_sector[],2,FALSE)</f>
        <v>8</v>
      </c>
      <c r="I957">
        <f>VLOOKUP(C957,year[],2,FALSE)</f>
        <v>3</v>
      </c>
      <c r="J957">
        <f>VLOOKUP(E957,showing[],2,FALSE)</f>
        <v>8</v>
      </c>
      <c r="K957">
        <f>Сектора[[#This Row],[Значение]]</f>
        <v>0.36902739552818487</v>
      </c>
      <c r="L957" t="str">
        <f t="shared" si="14"/>
        <v>INSERT INTO msfo.statements (id_company, id_year, id_showing, value) VALUES (8,3,8,0,369027395528185);</v>
      </c>
    </row>
    <row r="958" spans="1:12">
      <c r="A958" s="28" t="s">
        <v>42</v>
      </c>
      <c r="B958" s="28" t="s">
        <v>32</v>
      </c>
      <c r="C958" s="28">
        <v>2014</v>
      </c>
      <c r="D958" s="28" t="s">
        <v>1</v>
      </c>
      <c r="E958" s="28" t="s">
        <v>11</v>
      </c>
      <c r="F958" s="28">
        <v>0.39545287649525579</v>
      </c>
      <c r="H958">
        <f>VLOOKUP(A958&amp;B958,ticker_sector[],2,FALSE)</f>
        <v>8</v>
      </c>
      <c r="I958">
        <f>VLOOKUP(C958,year[],2,FALSE)</f>
        <v>4</v>
      </c>
      <c r="J958">
        <f>VLOOKUP(E958,showing[],2,FALSE)</f>
        <v>8</v>
      </c>
      <c r="K958">
        <f>Сектора[[#This Row],[Значение]]</f>
        <v>0.39545287649525579</v>
      </c>
      <c r="L958" t="str">
        <f t="shared" si="14"/>
        <v>INSERT INTO msfo.statements (id_company, id_year, id_showing, value) VALUES (8,4,8,0,395452876495256);</v>
      </c>
    </row>
    <row r="959" spans="1:12">
      <c r="A959" s="28" t="s">
        <v>42</v>
      </c>
      <c r="B959" s="28" t="s">
        <v>32</v>
      </c>
      <c r="C959" s="28">
        <v>2015</v>
      </c>
      <c r="D959" s="28" t="s">
        <v>1</v>
      </c>
      <c r="E959" s="28" t="s">
        <v>11</v>
      </c>
      <c r="F959" s="28">
        <v>0.42399793989293039</v>
      </c>
      <c r="H959">
        <f>VLOOKUP(A959&amp;B959,ticker_sector[],2,FALSE)</f>
        <v>8</v>
      </c>
      <c r="I959">
        <f>VLOOKUP(C959,year[],2,FALSE)</f>
        <v>5</v>
      </c>
      <c r="J959">
        <f>VLOOKUP(E959,showing[],2,FALSE)</f>
        <v>8</v>
      </c>
      <c r="K959">
        <f>Сектора[[#This Row],[Значение]]</f>
        <v>0.42399793989293039</v>
      </c>
      <c r="L959" t="str">
        <f t="shared" si="14"/>
        <v>INSERT INTO msfo.statements (id_company, id_year, id_showing, value) VALUES (8,5,8,0,42399793989293);</v>
      </c>
    </row>
    <row r="960" spans="1:12">
      <c r="A960" s="28" t="s">
        <v>42</v>
      </c>
      <c r="B960" s="28" t="s">
        <v>32</v>
      </c>
      <c r="C960" s="28">
        <v>2016</v>
      </c>
      <c r="D960" s="28" t="s">
        <v>1</v>
      </c>
      <c r="E960" s="28" t="s">
        <v>11</v>
      </c>
      <c r="F960" s="28">
        <v>0.38363907341497566</v>
      </c>
      <c r="H960">
        <f>VLOOKUP(A960&amp;B960,ticker_sector[],2,FALSE)</f>
        <v>8</v>
      </c>
      <c r="I960">
        <f>VLOOKUP(C960,year[],2,FALSE)</f>
        <v>6</v>
      </c>
      <c r="J960">
        <f>VLOOKUP(E960,showing[],2,FALSE)</f>
        <v>8</v>
      </c>
      <c r="K960">
        <f>Сектора[[#This Row],[Значение]]</f>
        <v>0.38363907341497566</v>
      </c>
      <c r="L960" t="str">
        <f t="shared" si="14"/>
        <v>INSERT INTO msfo.statements (id_company, id_year, id_showing, value) VALUES (8,6,8,0,383639073414976);</v>
      </c>
    </row>
    <row r="961" spans="1:12">
      <c r="A961" s="28" t="s">
        <v>42</v>
      </c>
      <c r="B961" s="28" t="s">
        <v>32</v>
      </c>
      <c r="C961" s="28">
        <v>2017</v>
      </c>
      <c r="D961" s="28" t="s">
        <v>1</v>
      </c>
      <c r="E961" s="28" t="s">
        <v>11</v>
      </c>
      <c r="F961" s="28">
        <v>0.39564692229353671</v>
      </c>
      <c r="H961">
        <f>VLOOKUP(A961&amp;B961,ticker_sector[],2,FALSE)</f>
        <v>8</v>
      </c>
      <c r="I961">
        <f>VLOOKUP(C961,year[],2,FALSE)</f>
        <v>7</v>
      </c>
      <c r="J961">
        <f>VLOOKUP(E961,showing[],2,FALSE)</f>
        <v>8</v>
      </c>
      <c r="K961">
        <f>Сектора[[#This Row],[Значение]]</f>
        <v>0.39564692229353671</v>
      </c>
      <c r="L961" t="str">
        <f t="shared" si="14"/>
        <v>INSERT INTO msfo.statements (id_company, id_year, id_showing, value) VALUES (8,7,8,0,395646922293537);</v>
      </c>
    </row>
    <row r="962" spans="1:12">
      <c r="A962" s="28" t="s">
        <v>42</v>
      </c>
      <c r="B962" s="28" t="s">
        <v>32</v>
      </c>
      <c r="C962" s="28">
        <v>2010</v>
      </c>
      <c r="D962" s="28" t="s">
        <v>4</v>
      </c>
      <c r="E962" s="28" t="s">
        <v>12</v>
      </c>
      <c r="F962" s="28">
        <v>254504.91172119998</v>
      </c>
      <c r="H962">
        <f>VLOOKUP(A962&amp;B962,ticker_sector[],2,FALSE)</f>
        <v>8</v>
      </c>
      <c r="I962">
        <f>VLOOKUP(C962,year[],2,FALSE)</f>
        <v>0</v>
      </c>
      <c r="J962">
        <f>VLOOKUP(E962,showing[],2,FALSE)</f>
        <v>9</v>
      </c>
      <c r="K962">
        <f>Сектора[[#This Row],[Значение]]</f>
        <v>254504.91172119998</v>
      </c>
      <c r="L962" t="str">
        <f t="shared" si="14"/>
        <v>INSERT INTO msfo.statements (id_company, id_year, id_showing, value) VALUES (8,0,9,254504,9117212);</v>
      </c>
    </row>
    <row r="963" spans="1:12">
      <c r="A963" s="28" t="s">
        <v>42</v>
      </c>
      <c r="B963" s="28" t="s">
        <v>32</v>
      </c>
      <c r="C963" s="28">
        <v>2011</v>
      </c>
      <c r="D963" s="28" t="s">
        <v>4</v>
      </c>
      <c r="E963" s="28" t="s">
        <v>12</v>
      </c>
      <c r="F963" s="28">
        <v>377613.76183160004</v>
      </c>
      <c r="H963">
        <f>VLOOKUP(A963&amp;B963,ticker_sector[],2,FALSE)</f>
        <v>8</v>
      </c>
      <c r="I963">
        <f>VLOOKUP(C963,year[],2,FALSE)</f>
        <v>1</v>
      </c>
      <c r="J963">
        <f>VLOOKUP(E963,showing[],2,FALSE)</f>
        <v>9</v>
      </c>
      <c r="K963">
        <f>Сектора[[#This Row],[Значение]]</f>
        <v>377613.76183160004</v>
      </c>
      <c r="L963" t="str">
        <f t="shared" ref="L963:L1026" si="15">"INSERT INTO msfo.statements (id_company, id_year, id_showing, value) VALUES ("&amp;H963&amp; ","&amp;I963&amp; ","&amp;J963&amp; ","&amp;K963&amp;");"</f>
        <v>INSERT INTO msfo.statements (id_company, id_year, id_showing, value) VALUES (8,1,9,377613,7618316);</v>
      </c>
    </row>
    <row r="964" spans="1:12">
      <c r="A964" s="28" t="s">
        <v>42</v>
      </c>
      <c r="B964" s="28" t="s">
        <v>32</v>
      </c>
      <c r="C964" s="28">
        <v>2012</v>
      </c>
      <c r="D964" s="28" t="s">
        <v>4</v>
      </c>
      <c r="E964" s="28" t="s">
        <v>12</v>
      </c>
      <c r="F964" s="28">
        <v>369228.52183839999</v>
      </c>
      <c r="H964">
        <f>VLOOKUP(A964&amp;B964,ticker_sector[],2,FALSE)</f>
        <v>8</v>
      </c>
      <c r="I964">
        <f>VLOOKUP(C964,year[],2,FALSE)</f>
        <v>2</v>
      </c>
      <c r="J964">
        <f>VLOOKUP(E964,showing[],2,FALSE)</f>
        <v>9</v>
      </c>
      <c r="K964">
        <f>Сектора[[#This Row],[Значение]]</f>
        <v>369228.52183839999</v>
      </c>
      <c r="L964" t="str">
        <f t="shared" si="15"/>
        <v>INSERT INTO msfo.statements (id_company, id_year, id_showing, value) VALUES (8,2,9,369228,5218384);</v>
      </c>
    </row>
    <row r="965" spans="1:12">
      <c r="A965" s="28" t="s">
        <v>42</v>
      </c>
      <c r="B965" s="28" t="s">
        <v>32</v>
      </c>
      <c r="C965" s="28">
        <v>2013</v>
      </c>
      <c r="D965" s="28" t="s">
        <v>4</v>
      </c>
      <c r="E965" s="28" t="s">
        <v>12</v>
      </c>
      <c r="F965" s="28">
        <v>357057.30910639995</v>
      </c>
      <c r="H965">
        <f>VLOOKUP(A965&amp;B965,ticker_sector[],2,FALSE)</f>
        <v>8</v>
      </c>
      <c r="I965">
        <f>VLOOKUP(C965,year[],2,FALSE)</f>
        <v>3</v>
      </c>
      <c r="J965">
        <f>VLOOKUP(E965,showing[],2,FALSE)</f>
        <v>9</v>
      </c>
      <c r="K965">
        <f>Сектора[[#This Row],[Значение]]</f>
        <v>357057.30910639995</v>
      </c>
      <c r="L965" t="str">
        <f t="shared" si="15"/>
        <v>INSERT INTO msfo.statements (id_company, id_year, id_showing, value) VALUES (8,3,9,357057,3091064);</v>
      </c>
    </row>
    <row r="966" spans="1:12">
      <c r="A966" s="28" t="s">
        <v>42</v>
      </c>
      <c r="B966" s="28" t="s">
        <v>32</v>
      </c>
      <c r="C966" s="28">
        <v>2014</v>
      </c>
      <c r="D966" s="28" t="s">
        <v>4</v>
      </c>
      <c r="E966" s="28" t="s">
        <v>12</v>
      </c>
      <c r="F966" s="28">
        <v>395954.3</v>
      </c>
      <c r="H966">
        <f>VLOOKUP(A966&amp;B966,ticker_sector[],2,FALSE)</f>
        <v>8</v>
      </c>
      <c r="I966">
        <f>VLOOKUP(C966,year[],2,FALSE)</f>
        <v>4</v>
      </c>
      <c r="J966">
        <f>VLOOKUP(E966,showing[],2,FALSE)</f>
        <v>9</v>
      </c>
      <c r="K966">
        <f>Сектора[[#This Row],[Значение]]</f>
        <v>395954.3</v>
      </c>
      <c r="L966" t="str">
        <f t="shared" si="15"/>
        <v>INSERT INTO msfo.statements (id_company, id_year, id_showing, value) VALUES (8,4,9,395954,3);</v>
      </c>
    </row>
    <row r="967" spans="1:12">
      <c r="A967" s="28" t="s">
        <v>42</v>
      </c>
      <c r="B967" s="28" t="s">
        <v>32</v>
      </c>
      <c r="C967" s="28">
        <v>2015</v>
      </c>
      <c r="D967" s="28" t="s">
        <v>4</v>
      </c>
      <c r="E967" s="28" t="s">
        <v>12</v>
      </c>
      <c r="F967" s="28">
        <v>485371</v>
      </c>
      <c r="H967">
        <f>VLOOKUP(A967&amp;B967,ticker_sector[],2,FALSE)</f>
        <v>8</v>
      </c>
      <c r="I967">
        <f>VLOOKUP(C967,year[],2,FALSE)</f>
        <v>5</v>
      </c>
      <c r="J967">
        <f>VLOOKUP(E967,showing[],2,FALSE)</f>
        <v>9</v>
      </c>
      <c r="K967">
        <f>Сектора[[#This Row],[Значение]]</f>
        <v>485371</v>
      </c>
      <c r="L967" t="str">
        <f t="shared" si="15"/>
        <v>INSERT INTO msfo.statements (id_company, id_year, id_showing, value) VALUES (8,5,9,485371);</v>
      </c>
    </row>
    <row r="968" spans="1:12">
      <c r="A968" s="28" t="s">
        <v>42</v>
      </c>
      <c r="B968" s="28" t="s">
        <v>32</v>
      </c>
      <c r="C968" s="28">
        <v>2016</v>
      </c>
      <c r="D968" s="28" t="s">
        <v>4</v>
      </c>
      <c r="E968" s="28" t="s">
        <v>12</v>
      </c>
      <c r="F968" s="28">
        <v>508158.9</v>
      </c>
      <c r="H968">
        <f>VLOOKUP(A968&amp;B968,ticker_sector[],2,FALSE)</f>
        <v>8</v>
      </c>
      <c r="I968">
        <f>VLOOKUP(C968,year[],2,FALSE)</f>
        <v>6</v>
      </c>
      <c r="J968">
        <f>VLOOKUP(E968,showing[],2,FALSE)</f>
        <v>9</v>
      </c>
      <c r="K968">
        <f>Сектора[[#This Row],[Значение]]</f>
        <v>508158.9</v>
      </c>
      <c r="L968" t="str">
        <f t="shared" si="15"/>
        <v>INSERT INTO msfo.statements (id_company, id_year, id_showing, value) VALUES (8,6,9,508158,9);</v>
      </c>
    </row>
    <row r="969" spans="1:12">
      <c r="A969" s="28" t="s">
        <v>42</v>
      </c>
      <c r="B969" s="28" t="s">
        <v>32</v>
      </c>
      <c r="C969" s="28">
        <v>2017</v>
      </c>
      <c r="D969" s="28" t="s">
        <v>4</v>
      </c>
      <c r="E969" s="28" t="s">
        <v>12</v>
      </c>
      <c r="F969" s="28">
        <v>587146</v>
      </c>
      <c r="H969">
        <f>VLOOKUP(A969&amp;B969,ticker_sector[],2,FALSE)</f>
        <v>8</v>
      </c>
      <c r="I969">
        <f>VLOOKUP(C969,year[],2,FALSE)</f>
        <v>7</v>
      </c>
      <c r="J969">
        <f>VLOOKUP(E969,showing[],2,FALSE)</f>
        <v>9</v>
      </c>
      <c r="K969">
        <f>Сектора[[#This Row],[Значение]]</f>
        <v>587146</v>
      </c>
      <c r="L969" t="str">
        <f t="shared" si="15"/>
        <v>INSERT INTO msfo.statements (id_company, id_year, id_showing, value) VALUES (8,7,9,587146);</v>
      </c>
    </row>
    <row r="970" spans="1:12">
      <c r="A970" s="28" t="s">
        <v>42</v>
      </c>
      <c r="B970" s="28" t="s">
        <v>32</v>
      </c>
      <c r="C970" s="28">
        <v>2010</v>
      </c>
      <c r="D970" s="28" t="s">
        <v>4</v>
      </c>
      <c r="E970" s="28" t="s">
        <v>13</v>
      </c>
      <c r="F970" s="28">
        <v>37303.055108200002</v>
      </c>
      <c r="H970">
        <f>VLOOKUP(A970&amp;B970,ticker_sector[],2,FALSE)</f>
        <v>8</v>
      </c>
      <c r="I970">
        <f>VLOOKUP(C970,year[],2,FALSE)</f>
        <v>0</v>
      </c>
      <c r="J970">
        <f>VLOOKUP(E970,showing[],2,FALSE)</f>
        <v>10</v>
      </c>
      <c r="K970">
        <f>Сектора[[#This Row],[Значение]]</f>
        <v>37303.055108200002</v>
      </c>
      <c r="L970" t="str">
        <f t="shared" si="15"/>
        <v>INSERT INTO msfo.statements (id_company, id_year, id_showing, value) VALUES (8,0,10,37303,0551082);</v>
      </c>
    </row>
    <row r="971" spans="1:12">
      <c r="A971" s="28" t="s">
        <v>42</v>
      </c>
      <c r="B971" s="28" t="s">
        <v>32</v>
      </c>
      <c r="C971" s="28">
        <v>2011</v>
      </c>
      <c r="D971" s="28" t="s">
        <v>4</v>
      </c>
      <c r="E971" s="28" t="s">
        <v>13</v>
      </c>
      <c r="F971" s="28">
        <v>42350.814332200003</v>
      </c>
      <c r="H971">
        <f>VLOOKUP(A971&amp;B971,ticker_sector[],2,FALSE)</f>
        <v>8</v>
      </c>
      <c r="I971">
        <f>VLOOKUP(C971,year[],2,FALSE)</f>
        <v>1</v>
      </c>
      <c r="J971">
        <f>VLOOKUP(E971,showing[],2,FALSE)</f>
        <v>10</v>
      </c>
      <c r="K971">
        <f>Сектора[[#This Row],[Значение]]</f>
        <v>42350.814332200003</v>
      </c>
      <c r="L971" t="str">
        <f t="shared" si="15"/>
        <v>INSERT INTO msfo.statements (id_company, id_year, id_showing, value) VALUES (8,1,10,42350,8143322);</v>
      </c>
    </row>
    <row r="972" spans="1:12">
      <c r="A972" s="28" t="s">
        <v>42</v>
      </c>
      <c r="B972" s="28" t="s">
        <v>32</v>
      </c>
      <c r="C972" s="28">
        <v>2012</v>
      </c>
      <c r="D972" s="28" t="s">
        <v>4</v>
      </c>
      <c r="E972" s="28" t="s">
        <v>13</v>
      </c>
      <c r="F972" s="28">
        <v>18540.498379099998</v>
      </c>
      <c r="H972">
        <f>VLOOKUP(A972&amp;B972,ticker_sector[],2,FALSE)</f>
        <v>8</v>
      </c>
      <c r="I972">
        <f>VLOOKUP(C972,year[],2,FALSE)</f>
        <v>2</v>
      </c>
      <c r="J972">
        <f>VLOOKUP(E972,showing[],2,FALSE)</f>
        <v>10</v>
      </c>
      <c r="K972">
        <f>Сектора[[#This Row],[Значение]]</f>
        <v>18540.498379099998</v>
      </c>
      <c r="L972" t="str">
        <f t="shared" si="15"/>
        <v>INSERT INTO msfo.statements (id_company, id_year, id_showing, value) VALUES (8,2,10,18540,4983791);</v>
      </c>
    </row>
    <row r="973" spans="1:12">
      <c r="A973" s="28" t="s">
        <v>42</v>
      </c>
      <c r="B973" s="28" t="s">
        <v>32</v>
      </c>
      <c r="C973" s="28">
        <v>2013</v>
      </c>
      <c r="D973" s="28" t="s">
        <v>4</v>
      </c>
      <c r="E973" s="28" t="s">
        <v>13</v>
      </c>
      <c r="F973" s="28">
        <v>6794.1237111999999</v>
      </c>
      <c r="H973">
        <f>VLOOKUP(A973&amp;B973,ticker_sector[],2,FALSE)</f>
        <v>8</v>
      </c>
      <c r="I973">
        <f>VLOOKUP(C973,year[],2,FALSE)</f>
        <v>3</v>
      </c>
      <c r="J973">
        <f>VLOOKUP(E973,showing[],2,FALSE)</f>
        <v>10</v>
      </c>
      <c r="K973">
        <f>Сектора[[#This Row],[Значение]]</f>
        <v>6794.1237111999999</v>
      </c>
      <c r="L973" t="str">
        <f t="shared" si="15"/>
        <v>INSERT INTO msfo.statements (id_company, id_year, id_showing, value) VALUES (8,3,10,6794,1237112);</v>
      </c>
    </row>
    <row r="974" spans="1:12">
      <c r="A974" s="28" t="s">
        <v>42</v>
      </c>
      <c r="B974" s="28" t="s">
        <v>32</v>
      </c>
      <c r="C974" s="28">
        <v>2014</v>
      </c>
      <c r="D974" s="28" t="s">
        <v>4</v>
      </c>
      <c r="E974" s="28" t="s">
        <v>13</v>
      </c>
      <c r="F974" s="28">
        <v>23638</v>
      </c>
      <c r="H974">
        <f>VLOOKUP(A974&amp;B974,ticker_sector[],2,FALSE)</f>
        <v>8</v>
      </c>
      <c r="I974">
        <f>VLOOKUP(C974,year[],2,FALSE)</f>
        <v>4</v>
      </c>
      <c r="J974">
        <f>VLOOKUP(E974,showing[],2,FALSE)</f>
        <v>10</v>
      </c>
      <c r="K974">
        <f>Сектора[[#This Row],[Значение]]</f>
        <v>23638</v>
      </c>
      <c r="L974" t="str">
        <f t="shared" si="15"/>
        <v>INSERT INTO msfo.statements (id_company, id_year, id_showing, value) VALUES (8,4,10,23638);</v>
      </c>
    </row>
    <row r="975" spans="1:12">
      <c r="A975" s="28" t="s">
        <v>42</v>
      </c>
      <c r="B975" s="28" t="s">
        <v>32</v>
      </c>
      <c r="C975" s="28">
        <v>2015</v>
      </c>
      <c r="D975" s="28" t="s">
        <v>4</v>
      </c>
      <c r="E975" s="28" t="s">
        <v>13</v>
      </c>
      <c r="F975" s="28">
        <v>58668.5</v>
      </c>
      <c r="H975">
        <f>VLOOKUP(A975&amp;B975,ticker_sector[],2,FALSE)</f>
        <v>8</v>
      </c>
      <c r="I975">
        <f>VLOOKUP(C975,year[],2,FALSE)</f>
        <v>5</v>
      </c>
      <c r="J975">
        <f>VLOOKUP(E975,showing[],2,FALSE)</f>
        <v>10</v>
      </c>
      <c r="K975">
        <f>Сектора[[#This Row],[Значение]]</f>
        <v>58668.5</v>
      </c>
      <c r="L975" t="str">
        <f t="shared" si="15"/>
        <v>INSERT INTO msfo.statements (id_company, id_year, id_showing, value) VALUES (8,5,10,58668,5);</v>
      </c>
    </row>
    <row r="976" spans="1:12">
      <c r="A976" s="28" t="s">
        <v>42</v>
      </c>
      <c r="B976" s="28" t="s">
        <v>32</v>
      </c>
      <c r="C976" s="28">
        <v>2016</v>
      </c>
      <c r="D976" s="28" t="s">
        <v>4</v>
      </c>
      <c r="E976" s="28" t="s">
        <v>13</v>
      </c>
      <c r="F976" s="28">
        <v>61277.9</v>
      </c>
      <c r="H976">
        <f>VLOOKUP(A976&amp;B976,ticker_sector[],2,FALSE)</f>
        <v>8</v>
      </c>
      <c r="I976">
        <f>VLOOKUP(C976,year[],2,FALSE)</f>
        <v>6</v>
      </c>
      <c r="J976">
        <f>VLOOKUP(E976,showing[],2,FALSE)</f>
        <v>10</v>
      </c>
      <c r="K976">
        <f>Сектора[[#This Row],[Значение]]</f>
        <v>61277.9</v>
      </c>
      <c r="L976" t="str">
        <f t="shared" si="15"/>
        <v>INSERT INTO msfo.statements (id_company, id_year, id_showing, value) VALUES (8,6,10,61277,9);</v>
      </c>
    </row>
    <row r="977" spans="1:12">
      <c r="A977" s="28" t="s">
        <v>42</v>
      </c>
      <c r="B977" s="28" t="s">
        <v>32</v>
      </c>
      <c r="C977" s="28">
        <v>2017</v>
      </c>
      <c r="D977" s="28" t="s">
        <v>4</v>
      </c>
      <c r="E977" s="28" t="s">
        <v>13</v>
      </c>
      <c r="F977" s="28">
        <v>84782</v>
      </c>
      <c r="H977">
        <f>VLOOKUP(A977&amp;B977,ticker_sector[],2,FALSE)</f>
        <v>8</v>
      </c>
      <c r="I977">
        <f>VLOOKUP(C977,year[],2,FALSE)</f>
        <v>7</v>
      </c>
      <c r="J977">
        <f>VLOOKUP(E977,showing[],2,FALSE)</f>
        <v>10</v>
      </c>
      <c r="K977">
        <f>Сектора[[#This Row],[Значение]]</f>
        <v>84782</v>
      </c>
      <c r="L977" t="str">
        <f t="shared" si="15"/>
        <v>INSERT INTO msfo.statements (id_company, id_year, id_showing, value) VALUES (8,7,10,84782);</v>
      </c>
    </row>
    <row r="978" spans="1:12">
      <c r="A978" s="28" t="s">
        <v>42</v>
      </c>
      <c r="B978" s="28" t="s">
        <v>32</v>
      </c>
      <c r="C978" s="28">
        <v>2010</v>
      </c>
      <c r="D978" s="28" t="s">
        <v>4</v>
      </c>
      <c r="E978" s="28" t="s">
        <v>14</v>
      </c>
      <c r="F978" s="28">
        <v>8350.7479999999996</v>
      </c>
      <c r="H978">
        <f>VLOOKUP(A978&amp;B978,ticker_sector[],2,FALSE)</f>
        <v>8</v>
      </c>
      <c r="I978">
        <f>VLOOKUP(C978,year[],2,FALSE)</f>
        <v>0</v>
      </c>
      <c r="J978">
        <f>VLOOKUP(E978,showing[],2,FALSE)</f>
        <v>11</v>
      </c>
      <c r="K978">
        <f>Сектора[[#This Row],[Значение]]</f>
        <v>8350.7479999999996</v>
      </c>
      <c r="L978" t="str">
        <f t="shared" si="15"/>
        <v>INSERT INTO msfo.statements (id_company, id_year, id_showing, value) VALUES (8,0,11,8350,748);</v>
      </c>
    </row>
    <row r="979" spans="1:12">
      <c r="A979" s="28" t="s">
        <v>42</v>
      </c>
      <c r="B979" s="28" t="s">
        <v>32</v>
      </c>
      <c r="C979" s="28">
        <v>2011</v>
      </c>
      <c r="D979" s="28" t="s">
        <v>4</v>
      </c>
      <c r="E979" s="28" t="s">
        <v>14</v>
      </c>
      <c r="F979" s="28">
        <v>11728.556</v>
      </c>
      <c r="H979">
        <f>VLOOKUP(A979&amp;B979,ticker_sector[],2,FALSE)</f>
        <v>8</v>
      </c>
      <c r="I979">
        <f>VLOOKUP(C979,year[],2,FALSE)</f>
        <v>1</v>
      </c>
      <c r="J979">
        <f>VLOOKUP(E979,showing[],2,FALSE)</f>
        <v>11</v>
      </c>
      <c r="K979">
        <f>Сектора[[#This Row],[Значение]]</f>
        <v>11728.556</v>
      </c>
      <c r="L979" t="str">
        <f t="shared" si="15"/>
        <v>INSERT INTO msfo.statements (id_company, id_year, id_showing, value) VALUES (8,1,11,11728,556);</v>
      </c>
    </row>
    <row r="980" spans="1:12">
      <c r="A980" s="28" t="s">
        <v>42</v>
      </c>
      <c r="B980" s="28" t="s">
        <v>32</v>
      </c>
      <c r="C980" s="28">
        <v>2012</v>
      </c>
      <c r="D980" s="28" t="s">
        <v>4</v>
      </c>
      <c r="E980" s="28" t="s">
        <v>14</v>
      </c>
      <c r="F980" s="28">
        <v>12156.592000000001</v>
      </c>
      <c r="H980">
        <f>VLOOKUP(A980&amp;B980,ticker_sector[],2,FALSE)</f>
        <v>8</v>
      </c>
      <c r="I980">
        <f>VLOOKUP(C980,year[],2,FALSE)</f>
        <v>2</v>
      </c>
      <c r="J980">
        <f>VLOOKUP(E980,showing[],2,FALSE)</f>
        <v>11</v>
      </c>
      <c r="K980">
        <f>Сектора[[#This Row],[Значение]]</f>
        <v>12156.592000000001</v>
      </c>
      <c r="L980" t="str">
        <f t="shared" si="15"/>
        <v>INSERT INTO msfo.statements (id_company, id_year, id_showing, value) VALUES (8,2,11,12156,592);</v>
      </c>
    </row>
    <row r="981" spans="1:12">
      <c r="A981" s="28" t="s">
        <v>42</v>
      </c>
      <c r="B981" s="28" t="s">
        <v>32</v>
      </c>
      <c r="C981" s="28">
        <v>2013</v>
      </c>
      <c r="D981" s="28" t="s">
        <v>4</v>
      </c>
      <c r="E981" s="28" t="s">
        <v>14</v>
      </c>
      <c r="F981" s="28">
        <v>10909.441999999999</v>
      </c>
      <c r="H981">
        <f>VLOOKUP(A981&amp;B981,ticker_sector[],2,FALSE)</f>
        <v>8</v>
      </c>
      <c r="I981">
        <f>VLOOKUP(C981,year[],2,FALSE)</f>
        <v>3</v>
      </c>
      <c r="J981">
        <f>VLOOKUP(E981,showing[],2,FALSE)</f>
        <v>11</v>
      </c>
      <c r="K981">
        <f>Сектора[[#This Row],[Значение]]</f>
        <v>10909.441999999999</v>
      </c>
      <c r="L981" t="str">
        <f t="shared" si="15"/>
        <v>INSERT INTO msfo.statements (id_company, id_year, id_showing, value) VALUES (8,3,11,10909,442);</v>
      </c>
    </row>
    <row r="982" spans="1:12">
      <c r="A982" s="28" t="s">
        <v>42</v>
      </c>
      <c r="B982" s="28" t="s">
        <v>32</v>
      </c>
      <c r="C982" s="28">
        <v>2014</v>
      </c>
      <c r="D982" s="28" t="s">
        <v>4</v>
      </c>
      <c r="E982" s="28" t="s">
        <v>14</v>
      </c>
      <c r="F982" s="28">
        <v>7038.1365271674986</v>
      </c>
      <c r="H982">
        <f>VLOOKUP(A982&amp;B982,ticker_sector[],2,FALSE)</f>
        <v>8</v>
      </c>
      <c r="I982">
        <f>VLOOKUP(C982,year[],2,FALSE)</f>
        <v>4</v>
      </c>
      <c r="J982">
        <f>VLOOKUP(E982,showing[],2,FALSE)</f>
        <v>11</v>
      </c>
      <c r="K982">
        <f>Сектора[[#This Row],[Значение]]</f>
        <v>7038.1365271674986</v>
      </c>
      <c r="L982" t="str">
        <f t="shared" si="15"/>
        <v>INSERT INTO msfo.statements (id_company, id_year, id_showing, value) VALUES (8,4,11,7038,1365271675);</v>
      </c>
    </row>
    <row r="983" spans="1:12">
      <c r="A983" s="28" t="s">
        <v>42</v>
      </c>
      <c r="B983" s="28" t="s">
        <v>32</v>
      </c>
      <c r="C983" s="28">
        <v>2015</v>
      </c>
      <c r="D983" s="28" t="s">
        <v>4</v>
      </c>
      <c r="E983" s="28" t="s">
        <v>14</v>
      </c>
      <c r="F983" s="28">
        <v>6659.6188121460928</v>
      </c>
      <c r="H983">
        <f>VLOOKUP(A983&amp;B983,ticker_sector[],2,FALSE)</f>
        <v>8</v>
      </c>
      <c r="I983">
        <f>VLOOKUP(C983,year[],2,FALSE)</f>
        <v>5</v>
      </c>
      <c r="J983">
        <f>VLOOKUP(E983,showing[],2,FALSE)</f>
        <v>11</v>
      </c>
      <c r="K983">
        <f>Сектора[[#This Row],[Значение]]</f>
        <v>6659.6188121460928</v>
      </c>
      <c r="L983" t="str">
        <f t="shared" si="15"/>
        <v>INSERT INTO msfo.statements (id_company, id_year, id_showing, value) VALUES (8,5,11,6659,61881214609);</v>
      </c>
    </row>
    <row r="984" spans="1:12">
      <c r="A984" s="28" t="s">
        <v>42</v>
      </c>
      <c r="B984" s="28" t="s">
        <v>32</v>
      </c>
      <c r="C984" s="28">
        <v>2016</v>
      </c>
      <c r="D984" s="28" t="s">
        <v>4</v>
      </c>
      <c r="E984" s="28" t="s">
        <v>14</v>
      </c>
      <c r="F984" s="28">
        <v>8377.5943050172373</v>
      </c>
      <c r="H984">
        <f>VLOOKUP(A984&amp;B984,ticker_sector[],2,FALSE)</f>
        <v>8</v>
      </c>
      <c r="I984">
        <f>VLOOKUP(C984,year[],2,FALSE)</f>
        <v>6</v>
      </c>
      <c r="J984">
        <f>VLOOKUP(E984,showing[],2,FALSE)</f>
        <v>11</v>
      </c>
      <c r="K984">
        <f>Сектора[[#This Row],[Значение]]</f>
        <v>8377.5943050172373</v>
      </c>
      <c r="L984" t="str">
        <f t="shared" si="15"/>
        <v>INSERT INTO msfo.statements (id_company, id_year, id_showing, value) VALUES (8,6,11,8377,59430501724);</v>
      </c>
    </row>
    <row r="985" spans="1:12">
      <c r="A985" s="28" t="s">
        <v>42</v>
      </c>
      <c r="B985" s="28" t="s">
        <v>32</v>
      </c>
      <c r="C985" s="28">
        <v>2017</v>
      </c>
      <c r="D985" s="28" t="s">
        <v>4</v>
      </c>
      <c r="E985" s="28" t="s">
        <v>14</v>
      </c>
      <c r="F985" s="28">
        <v>10193.471550446005</v>
      </c>
      <c r="H985">
        <f>VLOOKUP(A985&amp;B985,ticker_sector[],2,FALSE)</f>
        <v>8</v>
      </c>
      <c r="I985">
        <f>VLOOKUP(C985,year[],2,FALSE)</f>
        <v>7</v>
      </c>
      <c r="J985">
        <f>VLOOKUP(E985,showing[],2,FALSE)</f>
        <v>11</v>
      </c>
      <c r="K985">
        <f>Сектора[[#This Row],[Значение]]</f>
        <v>10193.471550446005</v>
      </c>
      <c r="L985" t="str">
        <f t="shared" si="15"/>
        <v>INSERT INTO msfo.statements (id_company, id_year, id_showing, value) VALUES (8,7,11,10193,471550446);</v>
      </c>
    </row>
    <row r="986" spans="1:12">
      <c r="A986" s="28" t="s">
        <v>42</v>
      </c>
      <c r="B986" s="28" t="s">
        <v>32</v>
      </c>
      <c r="C986" s="28">
        <v>2010</v>
      </c>
      <c r="D986" s="28" t="s">
        <v>4</v>
      </c>
      <c r="E986" s="28" t="s">
        <v>15</v>
      </c>
      <c r="F986" s="28">
        <v>1223.9780000000001</v>
      </c>
      <c r="H986">
        <f>VLOOKUP(A986&amp;B986,ticker_sector[],2,FALSE)</f>
        <v>8</v>
      </c>
      <c r="I986">
        <f>VLOOKUP(C986,year[],2,FALSE)</f>
        <v>0</v>
      </c>
      <c r="J986">
        <f>VLOOKUP(E986,showing[],2,FALSE)</f>
        <v>12</v>
      </c>
      <c r="K986">
        <f>Сектора[[#This Row],[Значение]]</f>
        <v>1223.9780000000001</v>
      </c>
      <c r="L986" t="str">
        <f t="shared" si="15"/>
        <v>INSERT INTO msfo.statements (id_company, id_year, id_showing, value) VALUES (8,0,12,1223,978);</v>
      </c>
    </row>
    <row r="987" spans="1:12">
      <c r="A987" s="28" t="s">
        <v>42</v>
      </c>
      <c r="B987" s="28" t="s">
        <v>32</v>
      </c>
      <c r="C987" s="28">
        <v>2011</v>
      </c>
      <c r="D987" s="28" t="s">
        <v>4</v>
      </c>
      <c r="E987" s="28" t="s">
        <v>15</v>
      </c>
      <c r="F987" s="28">
        <v>1315.402</v>
      </c>
      <c r="H987">
        <f>VLOOKUP(A987&amp;B987,ticker_sector[],2,FALSE)</f>
        <v>8</v>
      </c>
      <c r="I987">
        <f>VLOOKUP(C987,year[],2,FALSE)</f>
        <v>1</v>
      </c>
      <c r="J987">
        <f>VLOOKUP(E987,showing[],2,FALSE)</f>
        <v>12</v>
      </c>
      <c r="K987">
        <f>Сектора[[#This Row],[Значение]]</f>
        <v>1315.402</v>
      </c>
      <c r="L987" t="str">
        <f t="shared" si="15"/>
        <v>INSERT INTO msfo.statements (id_company, id_year, id_showing, value) VALUES (8,1,12,1315,402);</v>
      </c>
    </row>
    <row r="988" spans="1:12">
      <c r="A988" s="28" t="s">
        <v>42</v>
      </c>
      <c r="B988" s="28" t="s">
        <v>32</v>
      </c>
      <c r="C988" s="28">
        <v>2012</v>
      </c>
      <c r="D988" s="28" t="s">
        <v>4</v>
      </c>
      <c r="E988" s="28" t="s">
        <v>15</v>
      </c>
      <c r="F988" s="28">
        <v>610.43299999999999</v>
      </c>
      <c r="H988">
        <f>VLOOKUP(A988&amp;B988,ticker_sector[],2,FALSE)</f>
        <v>8</v>
      </c>
      <c r="I988">
        <f>VLOOKUP(C988,year[],2,FALSE)</f>
        <v>2</v>
      </c>
      <c r="J988">
        <f>VLOOKUP(E988,showing[],2,FALSE)</f>
        <v>12</v>
      </c>
      <c r="K988">
        <f>Сектора[[#This Row],[Значение]]</f>
        <v>610.43299999999999</v>
      </c>
      <c r="L988" t="str">
        <f t="shared" si="15"/>
        <v>INSERT INTO msfo.statements (id_company, id_year, id_showing, value) VALUES (8,2,12,610,433);</v>
      </c>
    </row>
    <row r="989" spans="1:12">
      <c r="A989" s="28" t="s">
        <v>42</v>
      </c>
      <c r="B989" s="28" t="s">
        <v>32</v>
      </c>
      <c r="C989" s="28">
        <v>2013</v>
      </c>
      <c r="D989" s="28" t="s">
        <v>4</v>
      </c>
      <c r="E989" s="28" t="s">
        <v>15</v>
      </c>
      <c r="F989" s="28">
        <v>207.58600000000001</v>
      </c>
      <c r="H989">
        <f>VLOOKUP(A989&amp;B989,ticker_sector[],2,FALSE)</f>
        <v>8</v>
      </c>
      <c r="I989">
        <f>VLOOKUP(C989,year[],2,FALSE)</f>
        <v>3</v>
      </c>
      <c r="J989">
        <f>VLOOKUP(E989,showing[],2,FALSE)</f>
        <v>12</v>
      </c>
      <c r="K989">
        <f>Сектора[[#This Row],[Значение]]</f>
        <v>207.58600000000001</v>
      </c>
      <c r="L989" t="str">
        <f t="shared" si="15"/>
        <v>INSERT INTO msfo.statements (id_company, id_year, id_showing, value) VALUES (8,3,12,207,586);</v>
      </c>
    </row>
    <row r="990" spans="1:12">
      <c r="A990" s="28" t="s">
        <v>42</v>
      </c>
      <c r="B990" s="28" t="s">
        <v>32</v>
      </c>
      <c r="C990" s="28">
        <v>2014</v>
      </c>
      <c r="D990" s="28" t="s">
        <v>4</v>
      </c>
      <c r="E990" s="28" t="s">
        <v>15</v>
      </c>
      <c r="F990" s="28">
        <v>420.1683659684598</v>
      </c>
      <c r="H990">
        <f>VLOOKUP(A990&amp;B990,ticker_sector[],2,FALSE)</f>
        <v>8</v>
      </c>
      <c r="I990">
        <f>VLOOKUP(C990,year[],2,FALSE)</f>
        <v>4</v>
      </c>
      <c r="J990">
        <f>VLOOKUP(E990,showing[],2,FALSE)</f>
        <v>12</v>
      </c>
      <c r="K990">
        <f>Сектора[[#This Row],[Значение]]</f>
        <v>420.1683659684598</v>
      </c>
      <c r="L990" t="str">
        <f t="shared" si="15"/>
        <v>INSERT INTO msfo.statements (id_company, id_year, id_showing, value) VALUES (8,4,12,420,16836596846);</v>
      </c>
    </row>
    <row r="991" spans="1:12">
      <c r="A991" s="28" t="s">
        <v>42</v>
      </c>
      <c r="B991" s="28" t="s">
        <v>32</v>
      </c>
      <c r="C991" s="28">
        <v>2015</v>
      </c>
      <c r="D991" s="28" t="s">
        <v>4</v>
      </c>
      <c r="E991" s="28" t="s">
        <v>15</v>
      </c>
      <c r="F991" s="28">
        <v>804.97155017583043</v>
      </c>
      <c r="H991">
        <f>VLOOKUP(A991&amp;B991,ticker_sector[],2,FALSE)</f>
        <v>8</v>
      </c>
      <c r="I991">
        <f>VLOOKUP(C991,year[],2,FALSE)</f>
        <v>5</v>
      </c>
      <c r="J991">
        <f>VLOOKUP(E991,showing[],2,FALSE)</f>
        <v>12</v>
      </c>
      <c r="K991">
        <f>Сектора[[#This Row],[Значение]]</f>
        <v>804.97155017583043</v>
      </c>
      <c r="L991" t="str">
        <f t="shared" si="15"/>
        <v>INSERT INTO msfo.statements (id_company, id_year, id_showing, value) VALUES (8,5,12,804,97155017583);</v>
      </c>
    </row>
    <row r="992" spans="1:12">
      <c r="A992" s="28" t="s">
        <v>42</v>
      </c>
      <c r="B992" s="28" t="s">
        <v>32</v>
      </c>
      <c r="C992" s="28">
        <v>2016</v>
      </c>
      <c r="D992" s="28" t="s">
        <v>4</v>
      </c>
      <c r="E992" s="28" t="s">
        <v>15</v>
      </c>
      <c r="F992" s="28">
        <v>1010.2379119275796</v>
      </c>
      <c r="H992">
        <f>VLOOKUP(A992&amp;B992,ticker_sector[],2,FALSE)</f>
        <v>8</v>
      </c>
      <c r="I992">
        <f>VLOOKUP(C992,year[],2,FALSE)</f>
        <v>6</v>
      </c>
      <c r="J992">
        <f>VLOOKUP(E992,showing[],2,FALSE)</f>
        <v>12</v>
      </c>
      <c r="K992">
        <f>Сектора[[#This Row],[Значение]]</f>
        <v>1010.2379119275796</v>
      </c>
      <c r="L992" t="str">
        <f t="shared" si="15"/>
        <v>INSERT INTO msfo.statements (id_company, id_year, id_showing, value) VALUES (8,6,12,1010,23791192758);</v>
      </c>
    </row>
    <row r="993" spans="1:12">
      <c r="A993" s="28" t="s">
        <v>42</v>
      </c>
      <c r="B993" s="28" t="s">
        <v>32</v>
      </c>
      <c r="C993" s="28">
        <v>2017</v>
      </c>
      <c r="D993" s="28" t="s">
        <v>4</v>
      </c>
      <c r="E993" s="28" t="s">
        <v>15</v>
      </c>
      <c r="F993" s="28">
        <v>1471.9046114423213</v>
      </c>
      <c r="H993">
        <f>VLOOKUP(A993&amp;B993,ticker_sector[],2,FALSE)</f>
        <v>8</v>
      </c>
      <c r="I993">
        <f>VLOOKUP(C993,year[],2,FALSE)</f>
        <v>7</v>
      </c>
      <c r="J993">
        <f>VLOOKUP(E993,showing[],2,FALSE)</f>
        <v>12</v>
      </c>
      <c r="K993">
        <f>Сектора[[#This Row],[Значение]]</f>
        <v>1471.9046114423213</v>
      </c>
      <c r="L993" t="str">
        <f t="shared" si="15"/>
        <v>INSERT INTO msfo.statements (id_company, id_year, id_showing, value) VALUES (8,7,12,1471,90461144232);</v>
      </c>
    </row>
    <row r="994" spans="1:12">
      <c r="A994" s="28" t="s">
        <v>42</v>
      </c>
      <c r="B994" s="28" t="s">
        <v>32</v>
      </c>
      <c r="C994" s="28">
        <v>2010</v>
      </c>
      <c r="D994" s="28" t="s">
        <v>7</v>
      </c>
      <c r="E994" s="28" t="s">
        <v>16</v>
      </c>
      <c r="F994" s="28">
        <v>50304.470171300003</v>
      </c>
      <c r="H994">
        <f>VLOOKUP(A994&amp;B994,ticker_sector[],2,FALSE)</f>
        <v>8</v>
      </c>
      <c r="I994">
        <f>VLOOKUP(C994,year[],2,FALSE)</f>
        <v>0</v>
      </c>
      <c r="J994">
        <f>VLOOKUP(E994,showing[],2,FALSE)</f>
        <v>13</v>
      </c>
      <c r="K994">
        <f>Сектора[[#This Row],[Значение]]</f>
        <v>50304.470171300003</v>
      </c>
      <c r="L994" t="str">
        <f t="shared" si="15"/>
        <v>INSERT INTO msfo.statements (id_company, id_year, id_showing, value) VALUES (8,0,13,50304,4701713);</v>
      </c>
    </row>
    <row r="995" spans="1:12">
      <c r="A995" s="28" t="s">
        <v>42</v>
      </c>
      <c r="B995" s="28" t="s">
        <v>32</v>
      </c>
      <c r="C995" s="28">
        <v>2011</v>
      </c>
      <c r="D995" s="28" t="s">
        <v>7</v>
      </c>
      <c r="E995" s="28" t="s">
        <v>16</v>
      </c>
      <c r="F995" s="28">
        <v>50487.155155399996</v>
      </c>
      <c r="H995">
        <f>VLOOKUP(A995&amp;B995,ticker_sector[],2,FALSE)</f>
        <v>8</v>
      </c>
      <c r="I995">
        <f>VLOOKUP(C995,year[],2,FALSE)</f>
        <v>1</v>
      </c>
      <c r="J995">
        <f>VLOOKUP(E995,showing[],2,FALSE)</f>
        <v>13</v>
      </c>
      <c r="K995">
        <f>Сектора[[#This Row],[Значение]]</f>
        <v>50487.155155399996</v>
      </c>
      <c r="L995" t="str">
        <f t="shared" si="15"/>
        <v>INSERT INTO msfo.statements (id_company, id_year, id_showing, value) VALUES (8,1,13,50487,1551554);</v>
      </c>
    </row>
    <row r="996" spans="1:12">
      <c r="A996" s="28" t="s">
        <v>42</v>
      </c>
      <c r="B996" s="28" t="s">
        <v>32</v>
      </c>
      <c r="C996" s="28">
        <v>2012</v>
      </c>
      <c r="D996" s="28" t="s">
        <v>7</v>
      </c>
      <c r="E996" s="28" t="s">
        <v>16</v>
      </c>
      <c r="F996" s="28">
        <v>35664.565893699997</v>
      </c>
      <c r="H996">
        <f>VLOOKUP(A996&amp;B996,ticker_sector[],2,FALSE)</f>
        <v>8</v>
      </c>
      <c r="I996">
        <f>VLOOKUP(C996,year[],2,FALSE)</f>
        <v>2</v>
      </c>
      <c r="J996">
        <f>VLOOKUP(E996,showing[],2,FALSE)</f>
        <v>13</v>
      </c>
      <c r="K996">
        <f>Сектора[[#This Row],[Значение]]</f>
        <v>35664.565893699997</v>
      </c>
      <c r="L996" t="str">
        <f t="shared" si="15"/>
        <v>INSERT INTO msfo.statements (id_company, id_year, id_showing, value) VALUES (8,2,13,35664,5658937);</v>
      </c>
    </row>
    <row r="997" spans="1:12">
      <c r="A997" s="28" t="s">
        <v>42</v>
      </c>
      <c r="B997" s="28" t="s">
        <v>32</v>
      </c>
      <c r="C997" s="28">
        <v>2013</v>
      </c>
      <c r="D997" s="28" t="s">
        <v>7</v>
      </c>
      <c r="E997" s="28" t="s">
        <v>16</v>
      </c>
      <c r="F997" s="28">
        <v>34182.245563199998</v>
      </c>
      <c r="H997">
        <f>VLOOKUP(A997&amp;B997,ticker_sector[],2,FALSE)</f>
        <v>8</v>
      </c>
      <c r="I997">
        <f>VLOOKUP(C997,year[],2,FALSE)</f>
        <v>3</v>
      </c>
      <c r="J997">
        <f>VLOOKUP(E997,showing[],2,FALSE)</f>
        <v>13</v>
      </c>
      <c r="K997">
        <f>Сектора[[#This Row],[Значение]]</f>
        <v>34182.245563199998</v>
      </c>
      <c r="L997" t="str">
        <f t="shared" si="15"/>
        <v>INSERT INTO msfo.statements (id_company, id_year, id_showing, value) VALUES (8,3,13,34182,2455632);</v>
      </c>
    </row>
    <row r="998" spans="1:12">
      <c r="A998" s="28" t="s">
        <v>42</v>
      </c>
      <c r="B998" s="28" t="s">
        <v>32</v>
      </c>
      <c r="C998" s="28">
        <v>2014</v>
      </c>
      <c r="D998" s="28" t="s">
        <v>7</v>
      </c>
      <c r="E998" s="28" t="s">
        <v>16</v>
      </c>
      <c r="F998" s="28">
        <v>49411.665680000006</v>
      </c>
      <c r="H998">
        <f>VLOOKUP(A998&amp;B998,ticker_sector[],2,FALSE)</f>
        <v>8</v>
      </c>
      <c r="I998">
        <f>VLOOKUP(C998,year[],2,FALSE)</f>
        <v>4</v>
      </c>
      <c r="J998">
        <f>VLOOKUP(E998,showing[],2,FALSE)</f>
        <v>13</v>
      </c>
      <c r="K998">
        <f>Сектора[[#This Row],[Значение]]</f>
        <v>49411.665680000006</v>
      </c>
      <c r="L998" t="str">
        <f t="shared" si="15"/>
        <v>INSERT INTO msfo.statements (id_company, id_year, id_showing, value) VALUES (8,4,13,49411,66568);</v>
      </c>
    </row>
    <row r="999" spans="1:12">
      <c r="A999" s="28" t="s">
        <v>42</v>
      </c>
      <c r="B999" s="28" t="s">
        <v>32</v>
      </c>
      <c r="C999" s="28">
        <v>2015</v>
      </c>
      <c r="D999" s="28" t="s">
        <v>7</v>
      </c>
      <c r="E999" s="28" t="s">
        <v>16</v>
      </c>
      <c r="F999" s="28">
        <v>73046.499999999985</v>
      </c>
      <c r="H999">
        <f>VLOOKUP(A999&amp;B999,ticker_sector[],2,FALSE)</f>
        <v>8</v>
      </c>
      <c r="I999">
        <f>VLOOKUP(C999,year[],2,FALSE)</f>
        <v>5</v>
      </c>
      <c r="J999">
        <f>VLOOKUP(E999,showing[],2,FALSE)</f>
        <v>13</v>
      </c>
      <c r="K999">
        <f>Сектора[[#This Row],[Значение]]</f>
        <v>73046.499999999985</v>
      </c>
      <c r="L999" t="str">
        <f t="shared" si="15"/>
        <v>INSERT INTO msfo.statements (id_company, id_year, id_showing, value) VALUES (8,5,13,73046,5);</v>
      </c>
    </row>
    <row r="1000" spans="1:12">
      <c r="A1000" s="28" t="s">
        <v>42</v>
      </c>
      <c r="B1000" s="28" t="s">
        <v>32</v>
      </c>
      <c r="C1000" s="28">
        <v>2016</v>
      </c>
      <c r="D1000" s="28" t="s">
        <v>7</v>
      </c>
      <c r="E1000" s="28" t="s">
        <v>16</v>
      </c>
      <c r="F1000" s="28">
        <v>61695.7</v>
      </c>
      <c r="H1000">
        <f>VLOOKUP(A1000&amp;B1000,ticker_sector[],2,FALSE)</f>
        <v>8</v>
      </c>
      <c r="I1000">
        <f>VLOOKUP(C1000,year[],2,FALSE)</f>
        <v>6</v>
      </c>
      <c r="J1000">
        <f>VLOOKUP(E1000,showing[],2,FALSE)</f>
        <v>13</v>
      </c>
      <c r="K1000">
        <f>Сектора[[#This Row],[Значение]]</f>
        <v>61695.7</v>
      </c>
      <c r="L1000" t="str">
        <f t="shared" si="15"/>
        <v>INSERT INTO msfo.statements (id_company, id_year, id_showing, value) VALUES (8,6,13,61695,7);</v>
      </c>
    </row>
    <row r="1001" spans="1:12">
      <c r="A1001" s="28" t="s">
        <v>42</v>
      </c>
      <c r="B1001" s="28" t="s">
        <v>32</v>
      </c>
      <c r="C1001" s="28">
        <v>2017</v>
      </c>
      <c r="D1001" s="28" t="s">
        <v>7</v>
      </c>
      <c r="E1001" s="28" t="s">
        <v>16</v>
      </c>
      <c r="F1001" s="28">
        <v>130644</v>
      </c>
      <c r="H1001">
        <f>VLOOKUP(A1001&amp;B1001,ticker_sector[],2,FALSE)</f>
        <v>8</v>
      </c>
      <c r="I1001">
        <f>VLOOKUP(C1001,year[],2,FALSE)</f>
        <v>7</v>
      </c>
      <c r="J1001">
        <f>VLOOKUP(E1001,showing[],2,FALSE)</f>
        <v>13</v>
      </c>
      <c r="K1001">
        <f>Сектора[[#This Row],[Значение]]</f>
        <v>130644</v>
      </c>
      <c r="L1001" t="str">
        <f t="shared" si="15"/>
        <v>INSERT INTO msfo.statements (id_company, id_year, id_showing, value) VALUES (8,7,13,130644);</v>
      </c>
    </row>
    <row r="1002" spans="1:12">
      <c r="A1002" s="28" t="s">
        <v>42</v>
      </c>
      <c r="B1002" s="28" t="s">
        <v>32</v>
      </c>
      <c r="C1002" s="28">
        <v>2010</v>
      </c>
      <c r="D1002" s="28" t="s">
        <v>7</v>
      </c>
      <c r="E1002" s="28" t="s">
        <v>17</v>
      </c>
      <c r="F1002" s="28">
        <v>1650.577</v>
      </c>
      <c r="H1002">
        <f>VLOOKUP(A1002&amp;B1002,ticker_sector[],2,FALSE)</f>
        <v>8</v>
      </c>
      <c r="I1002">
        <f>VLOOKUP(C1002,year[],2,FALSE)</f>
        <v>0</v>
      </c>
      <c r="J1002">
        <f>VLOOKUP(E1002,showing[],2,FALSE)</f>
        <v>14</v>
      </c>
      <c r="K1002">
        <f>Сектора[[#This Row],[Значение]]</f>
        <v>1650.577</v>
      </c>
      <c r="L1002" t="str">
        <f t="shared" si="15"/>
        <v>INSERT INTO msfo.statements (id_company, id_year, id_showing, value) VALUES (8,0,14,1650,577);</v>
      </c>
    </row>
    <row r="1003" spans="1:12">
      <c r="A1003" s="28" t="s">
        <v>42</v>
      </c>
      <c r="B1003" s="28" t="s">
        <v>32</v>
      </c>
      <c r="C1003" s="28">
        <v>2011</v>
      </c>
      <c r="D1003" s="28" t="s">
        <v>7</v>
      </c>
      <c r="E1003" s="28" t="s">
        <v>17</v>
      </c>
      <c r="F1003" s="28">
        <v>1568.1139999999998</v>
      </c>
      <c r="H1003">
        <f>VLOOKUP(A1003&amp;B1003,ticker_sector[],2,FALSE)</f>
        <v>8</v>
      </c>
      <c r="I1003">
        <f>VLOOKUP(C1003,year[],2,FALSE)</f>
        <v>1</v>
      </c>
      <c r="J1003">
        <f>VLOOKUP(E1003,showing[],2,FALSE)</f>
        <v>14</v>
      </c>
      <c r="K1003">
        <f>Сектора[[#This Row],[Значение]]</f>
        <v>1568.1139999999998</v>
      </c>
      <c r="L1003" t="str">
        <f t="shared" si="15"/>
        <v>INSERT INTO msfo.statements (id_company, id_year, id_showing, value) VALUES (8,1,14,1568,114);</v>
      </c>
    </row>
    <row r="1004" spans="1:12">
      <c r="A1004" s="28" t="s">
        <v>42</v>
      </c>
      <c r="B1004" s="28" t="s">
        <v>32</v>
      </c>
      <c r="C1004" s="28">
        <v>2012</v>
      </c>
      <c r="D1004" s="28" t="s">
        <v>7</v>
      </c>
      <c r="E1004" s="28" t="s">
        <v>17</v>
      </c>
      <c r="F1004" s="28">
        <v>1174.231</v>
      </c>
      <c r="H1004">
        <f>VLOOKUP(A1004&amp;B1004,ticker_sector[],2,FALSE)</f>
        <v>8</v>
      </c>
      <c r="I1004">
        <f>VLOOKUP(C1004,year[],2,FALSE)</f>
        <v>2</v>
      </c>
      <c r="J1004">
        <f>VLOOKUP(E1004,showing[],2,FALSE)</f>
        <v>14</v>
      </c>
      <c r="K1004">
        <f>Сектора[[#This Row],[Значение]]</f>
        <v>1174.231</v>
      </c>
      <c r="L1004" t="str">
        <f t="shared" si="15"/>
        <v>INSERT INTO msfo.statements (id_company, id_year, id_showing, value) VALUES (8,2,14,1174,231);</v>
      </c>
    </row>
    <row r="1005" spans="1:12">
      <c r="A1005" s="28" t="s">
        <v>42</v>
      </c>
      <c r="B1005" s="28" t="s">
        <v>32</v>
      </c>
      <c r="C1005" s="28">
        <v>2013</v>
      </c>
      <c r="D1005" s="28" t="s">
        <v>7</v>
      </c>
      <c r="E1005" s="28" t="s">
        <v>17</v>
      </c>
      <c r="F1005" s="28">
        <v>1044.396</v>
      </c>
      <c r="H1005">
        <f>VLOOKUP(A1005&amp;B1005,ticker_sector[],2,FALSE)</f>
        <v>8</v>
      </c>
      <c r="I1005">
        <f>VLOOKUP(C1005,year[],2,FALSE)</f>
        <v>3</v>
      </c>
      <c r="J1005">
        <f>VLOOKUP(E1005,showing[],2,FALSE)</f>
        <v>14</v>
      </c>
      <c r="K1005">
        <f>Сектора[[#This Row],[Значение]]</f>
        <v>1044.396</v>
      </c>
      <c r="L1005" t="str">
        <f t="shared" si="15"/>
        <v>INSERT INTO msfo.statements (id_company, id_year, id_showing, value) VALUES (8,3,14,1044,396);</v>
      </c>
    </row>
    <row r="1006" spans="1:12">
      <c r="A1006" s="28" t="s">
        <v>42</v>
      </c>
      <c r="B1006" s="28" t="s">
        <v>32</v>
      </c>
      <c r="C1006" s="28">
        <v>2014</v>
      </c>
      <c r="D1006" s="28" t="s">
        <v>7</v>
      </c>
      <c r="E1006" s="28" t="s">
        <v>17</v>
      </c>
      <c r="F1006" s="28">
        <v>878.29845285326292</v>
      </c>
      <c r="H1006">
        <f>VLOOKUP(A1006&amp;B1006,ticker_sector[],2,FALSE)</f>
        <v>8</v>
      </c>
      <c r="I1006">
        <f>VLOOKUP(C1006,year[],2,FALSE)</f>
        <v>4</v>
      </c>
      <c r="J1006">
        <f>VLOOKUP(E1006,showing[],2,FALSE)</f>
        <v>14</v>
      </c>
      <c r="K1006">
        <f>Сектора[[#This Row],[Значение]]</f>
        <v>878.29845285326292</v>
      </c>
      <c r="L1006" t="str">
        <f t="shared" si="15"/>
        <v>INSERT INTO msfo.statements (id_company, id_year, id_showing, value) VALUES (8,4,14,878,298452853263);</v>
      </c>
    </row>
    <row r="1007" spans="1:12">
      <c r="A1007" s="28" t="s">
        <v>42</v>
      </c>
      <c r="B1007" s="28" t="s">
        <v>32</v>
      </c>
      <c r="C1007" s="28">
        <v>2015</v>
      </c>
      <c r="D1007" s="28" t="s">
        <v>7</v>
      </c>
      <c r="E1007" s="28" t="s">
        <v>17</v>
      </c>
      <c r="F1007" s="28">
        <v>1002.2474469249902</v>
      </c>
      <c r="H1007">
        <f>VLOOKUP(A1007&amp;B1007,ticker_sector[],2,FALSE)</f>
        <v>8</v>
      </c>
      <c r="I1007">
        <f>VLOOKUP(C1007,year[],2,FALSE)</f>
        <v>5</v>
      </c>
      <c r="J1007">
        <f>VLOOKUP(E1007,showing[],2,FALSE)</f>
        <v>14</v>
      </c>
      <c r="K1007">
        <f>Сектора[[#This Row],[Значение]]</f>
        <v>1002.2474469249902</v>
      </c>
      <c r="L1007" t="str">
        <f t="shared" si="15"/>
        <v>INSERT INTO msfo.statements (id_company, id_year, id_showing, value) VALUES (8,5,14,1002,24744692499);</v>
      </c>
    </row>
    <row r="1008" spans="1:12">
      <c r="A1008" s="28" t="s">
        <v>42</v>
      </c>
      <c r="B1008" s="28" t="s">
        <v>32</v>
      </c>
      <c r="C1008" s="28">
        <v>2016</v>
      </c>
      <c r="D1008" s="28" t="s">
        <v>7</v>
      </c>
      <c r="E1008" s="28" t="s">
        <v>17</v>
      </c>
      <c r="F1008" s="28">
        <v>1017.1258339941539</v>
      </c>
      <c r="H1008">
        <f>VLOOKUP(A1008&amp;B1008,ticker_sector[],2,FALSE)</f>
        <v>8</v>
      </c>
      <c r="I1008">
        <f>VLOOKUP(C1008,year[],2,FALSE)</f>
        <v>6</v>
      </c>
      <c r="J1008">
        <f>VLOOKUP(E1008,showing[],2,FALSE)</f>
        <v>14</v>
      </c>
      <c r="K1008">
        <f>Сектора[[#This Row],[Значение]]</f>
        <v>1017.1258339941539</v>
      </c>
      <c r="L1008" t="str">
        <f t="shared" si="15"/>
        <v>INSERT INTO msfo.statements (id_company, id_year, id_showing, value) VALUES (8,6,14,1017,12583399415);</v>
      </c>
    </row>
    <row r="1009" spans="1:12">
      <c r="A1009" s="28" t="s">
        <v>42</v>
      </c>
      <c r="B1009" s="28" t="s">
        <v>32</v>
      </c>
      <c r="C1009" s="28">
        <v>2017</v>
      </c>
      <c r="D1009" s="28" t="s">
        <v>7</v>
      </c>
      <c r="E1009" s="28" t="s">
        <v>17</v>
      </c>
      <c r="F1009" s="28">
        <v>2268.1171245933174</v>
      </c>
      <c r="H1009">
        <f>VLOOKUP(A1009&amp;B1009,ticker_sector[],2,FALSE)</f>
        <v>8</v>
      </c>
      <c r="I1009">
        <f>VLOOKUP(C1009,year[],2,FALSE)</f>
        <v>7</v>
      </c>
      <c r="J1009">
        <f>VLOOKUP(E1009,showing[],2,FALSE)</f>
        <v>14</v>
      </c>
      <c r="K1009">
        <f>Сектора[[#This Row],[Значение]]</f>
        <v>2268.1171245933174</v>
      </c>
      <c r="L1009" t="str">
        <f t="shared" si="15"/>
        <v>INSERT INTO msfo.statements (id_company, id_year, id_showing, value) VALUES (8,7,14,2268,11712459332);</v>
      </c>
    </row>
    <row r="1010" spans="1:12">
      <c r="A1010" s="28" t="s">
        <v>42</v>
      </c>
      <c r="B1010" s="28" t="s">
        <v>32</v>
      </c>
      <c r="C1010" s="28">
        <v>2010</v>
      </c>
      <c r="D1010" s="28" t="s">
        <v>20</v>
      </c>
      <c r="E1010" s="28" t="s">
        <v>18</v>
      </c>
      <c r="F1010" s="28">
        <v>5993.2269999999999</v>
      </c>
      <c r="H1010">
        <f>VLOOKUP(A1010&amp;B1010,ticker_sector[],2,FALSE)</f>
        <v>8</v>
      </c>
      <c r="I1010">
        <f>VLOOKUP(C1010,year[],2,FALSE)</f>
        <v>0</v>
      </c>
      <c r="J1010">
        <f>VLOOKUP(E1010,showing[],2,FALSE)</f>
        <v>15</v>
      </c>
      <c r="K1010">
        <f>Сектора[[#This Row],[Значение]]</f>
        <v>5993.2269999999999</v>
      </c>
      <c r="L1010" t="str">
        <f t="shared" si="15"/>
        <v>INSERT INTO msfo.statements (id_company, id_year, id_showing, value) VALUES (8,0,15,5993,227);</v>
      </c>
    </row>
    <row r="1011" spans="1:12">
      <c r="A1011" s="28" t="s">
        <v>42</v>
      </c>
      <c r="B1011" s="28" t="s">
        <v>32</v>
      </c>
      <c r="C1011" s="28">
        <v>2011</v>
      </c>
      <c r="D1011" s="28" t="s">
        <v>20</v>
      </c>
      <c r="E1011" s="28" t="s">
        <v>18</v>
      </c>
      <c r="F1011" s="28">
        <v>5993.2269999999999</v>
      </c>
      <c r="H1011">
        <f>VLOOKUP(A1011&amp;B1011,ticker_sector[],2,FALSE)</f>
        <v>8</v>
      </c>
      <c r="I1011">
        <f>VLOOKUP(C1011,year[],2,FALSE)</f>
        <v>1</v>
      </c>
      <c r="J1011">
        <f>VLOOKUP(E1011,showing[],2,FALSE)</f>
        <v>15</v>
      </c>
      <c r="K1011">
        <f>Сектора[[#This Row],[Значение]]</f>
        <v>5993.2269999999999</v>
      </c>
      <c r="L1011" t="str">
        <f t="shared" si="15"/>
        <v>INSERT INTO msfo.statements (id_company, id_year, id_showing, value) VALUES (8,1,15,5993,227);</v>
      </c>
    </row>
    <row r="1012" spans="1:12">
      <c r="A1012" s="28" t="s">
        <v>42</v>
      </c>
      <c r="B1012" s="28" t="s">
        <v>32</v>
      </c>
      <c r="C1012" s="28">
        <v>2012</v>
      </c>
      <c r="D1012" s="28" t="s">
        <v>20</v>
      </c>
      <c r="E1012" s="28" t="s">
        <v>18</v>
      </c>
      <c r="F1012" s="28">
        <v>5993.2269999999999</v>
      </c>
      <c r="H1012">
        <f>VLOOKUP(A1012&amp;B1012,ticker_sector[],2,FALSE)</f>
        <v>8</v>
      </c>
      <c r="I1012">
        <f>VLOOKUP(C1012,year[],2,FALSE)</f>
        <v>2</v>
      </c>
      <c r="J1012">
        <f>VLOOKUP(E1012,showing[],2,FALSE)</f>
        <v>15</v>
      </c>
      <c r="K1012">
        <f>Сектора[[#This Row],[Значение]]</f>
        <v>5993.2269999999999</v>
      </c>
      <c r="L1012" t="str">
        <f t="shared" si="15"/>
        <v>INSERT INTO msfo.statements (id_company, id_year, id_showing, value) VALUES (8,2,15,5993,227);</v>
      </c>
    </row>
    <row r="1013" spans="1:12">
      <c r="A1013" s="28" t="s">
        <v>42</v>
      </c>
      <c r="B1013" s="28" t="s">
        <v>32</v>
      </c>
      <c r="C1013" s="28">
        <v>2013</v>
      </c>
      <c r="D1013" s="28" t="s">
        <v>20</v>
      </c>
      <c r="E1013" s="28" t="s">
        <v>18</v>
      </c>
      <c r="F1013" s="28">
        <v>5993.2269999999999</v>
      </c>
      <c r="H1013">
        <f>VLOOKUP(A1013&amp;B1013,ticker_sector[],2,FALSE)</f>
        <v>8</v>
      </c>
      <c r="I1013">
        <f>VLOOKUP(C1013,year[],2,FALSE)</f>
        <v>3</v>
      </c>
      <c r="J1013">
        <f>VLOOKUP(E1013,showing[],2,FALSE)</f>
        <v>15</v>
      </c>
      <c r="K1013">
        <f>Сектора[[#This Row],[Значение]]</f>
        <v>5993.2269999999999</v>
      </c>
      <c r="L1013" t="str">
        <f t="shared" si="15"/>
        <v>INSERT INTO msfo.statements (id_company, id_year, id_showing, value) VALUES (8,3,15,5993,227);</v>
      </c>
    </row>
    <row r="1014" spans="1:12">
      <c r="A1014" s="28" t="s">
        <v>42</v>
      </c>
      <c r="B1014" s="28" t="s">
        <v>32</v>
      </c>
      <c r="C1014" s="28">
        <v>2014</v>
      </c>
      <c r="D1014" s="28" t="s">
        <v>20</v>
      </c>
      <c r="E1014" s="28" t="s">
        <v>18</v>
      </c>
      <c r="F1014" s="28">
        <v>5993.2269999999999</v>
      </c>
      <c r="H1014">
        <f>VLOOKUP(A1014&amp;B1014,ticker_sector[],2,FALSE)</f>
        <v>8</v>
      </c>
      <c r="I1014">
        <f>VLOOKUP(C1014,year[],2,FALSE)</f>
        <v>4</v>
      </c>
      <c r="J1014">
        <f>VLOOKUP(E1014,showing[],2,FALSE)</f>
        <v>15</v>
      </c>
      <c r="K1014">
        <f>Сектора[[#This Row],[Значение]]</f>
        <v>5993.2269999999999</v>
      </c>
      <c r="L1014" t="str">
        <f t="shared" si="15"/>
        <v>INSERT INTO msfo.statements (id_company, id_year, id_showing, value) VALUES (8,4,15,5993,227);</v>
      </c>
    </row>
    <row r="1015" spans="1:12">
      <c r="A1015" s="28" t="s">
        <v>42</v>
      </c>
      <c r="B1015" s="28" t="s">
        <v>32</v>
      </c>
      <c r="C1015" s="28">
        <v>2015</v>
      </c>
      <c r="D1015" s="28" t="s">
        <v>20</v>
      </c>
      <c r="E1015" s="28" t="s">
        <v>18</v>
      </c>
      <c r="F1015" s="28">
        <v>5993.2269999999999</v>
      </c>
      <c r="H1015">
        <f>VLOOKUP(A1015&amp;B1015,ticker_sector[],2,FALSE)</f>
        <v>8</v>
      </c>
      <c r="I1015">
        <f>VLOOKUP(C1015,year[],2,FALSE)</f>
        <v>5</v>
      </c>
      <c r="J1015">
        <f>VLOOKUP(E1015,showing[],2,FALSE)</f>
        <v>15</v>
      </c>
      <c r="K1015">
        <f>Сектора[[#This Row],[Значение]]</f>
        <v>5993.2269999999999</v>
      </c>
      <c r="L1015" t="str">
        <f t="shared" si="15"/>
        <v>INSERT INTO msfo.statements (id_company, id_year, id_showing, value) VALUES (8,5,15,5993,227);</v>
      </c>
    </row>
    <row r="1016" spans="1:12">
      <c r="A1016" s="28" t="s">
        <v>42</v>
      </c>
      <c r="B1016" s="28" t="s">
        <v>32</v>
      </c>
      <c r="C1016" s="28">
        <v>2016</v>
      </c>
      <c r="D1016" s="28" t="s">
        <v>20</v>
      </c>
      <c r="E1016" s="28" t="s">
        <v>18</v>
      </c>
      <c r="F1016" s="28">
        <v>5993.2269999999999</v>
      </c>
      <c r="H1016">
        <f>VLOOKUP(A1016&amp;B1016,ticker_sector[],2,FALSE)</f>
        <v>8</v>
      </c>
      <c r="I1016">
        <f>VLOOKUP(C1016,year[],2,FALSE)</f>
        <v>6</v>
      </c>
      <c r="J1016">
        <f>VLOOKUP(E1016,showing[],2,FALSE)</f>
        <v>15</v>
      </c>
      <c r="K1016">
        <f>Сектора[[#This Row],[Значение]]</f>
        <v>5993.2269999999999</v>
      </c>
      <c r="L1016" t="str">
        <f t="shared" si="15"/>
        <v>INSERT INTO msfo.statements (id_company, id_year, id_showing, value) VALUES (8,6,15,5993,227);</v>
      </c>
    </row>
    <row r="1017" spans="1:12">
      <c r="A1017" s="28" t="s">
        <v>42</v>
      </c>
      <c r="B1017" s="28" t="s">
        <v>32</v>
      </c>
      <c r="C1017" s="28">
        <v>2017</v>
      </c>
      <c r="D1017" s="28" t="s">
        <v>20</v>
      </c>
      <c r="E1017" s="28" t="s">
        <v>18</v>
      </c>
      <c r="F1017" s="28">
        <v>5993.2269999999999</v>
      </c>
      <c r="H1017">
        <f>VLOOKUP(A1017&amp;B1017,ticker_sector[],2,FALSE)</f>
        <v>8</v>
      </c>
      <c r="I1017">
        <f>VLOOKUP(C1017,year[],2,FALSE)</f>
        <v>7</v>
      </c>
      <c r="J1017">
        <f>VLOOKUP(E1017,showing[],2,FALSE)</f>
        <v>15</v>
      </c>
      <c r="K1017">
        <f>Сектора[[#This Row],[Значение]]</f>
        <v>5993.2269999999999</v>
      </c>
      <c r="L1017" t="str">
        <f t="shared" si="15"/>
        <v>INSERT INTO msfo.statements (id_company, id_year, id_showing, value) VALUES (8,7,15,5993,227);</v>
      </c>
    </row>
    <row r="1018" spans="1:12">
      <c r="A1018" s="28" t="s">
        <v>42</v>
      </c>
      <c r="B1018" s="28" t="s">
        <v>32</v>
      </c>
      <c r="C1018" s="28">
        <v>2010</v>
      </c>
      <c r="D1018" s="28" t="s">
        <v>20</v>
      </c>
      <c r="E1018" s="28" t="s">
        <v>19</v>
      </c>
      <c r="F1018" s="28">
        <v>144.54</v>
      </c>
      <c r="H1018">
        <f>VLOOKUP(A1018&amp;B1018,ticker_sector[],2,FALSE)</f>
        <v>8</v>
      </c>
      <c r="I1018">
        <f>VLOOKUP(C1018,year[],2,FALSE)</f>
        <v>0</v>
      </c>
      <c r="J1018">
        <f>VLOOKUP(E1018,showing[],2,FALSE)</f>
        <v>16</v>
      </c>
      <c r="K1018">
        <f>Сектора[[#This Row],[Значение]]</f>
        <v>144.54</v>
      </c>
      <c r="L1018" t="str">
        <f t="shared" si="15"/>
        <v>INSERT INTO msfo.statements (id_company, id_year, id_showing, value) VALUES (8,0,16,144,54);</v>
      </c>
    </row>
    <row r="1019" spans="1:12">
      <c r="A1019" s="28" t="s">
        <v>42</v>
      </c>
      <c r="B1019" s="28" t="s">
        <v>32</v>
      </c>
      <c r="C1019" s="28">
        <v>2011</v>
      </c>
      <c r="D1019" s="28" t="s">
        <v>20</v>
      </c>
      <c r="E1019" s="28" t="s">
        <v>19</v>
      </c>
      <c r="F1019" s="28">
        <v>62.8</v>
      </c>
      <c r="H1019">
        <f>VLOOKUP(A1019&amp;B1019,ticker_sector[],2,FALSE)</f>
        <v>8</v>
      </c>
      <c r="I1019">
        <f>VLOOKUP(C1019,year[],2,FALSE)</f>
        <v>1</v>
      </c>
      <c r="J1019">
        <f>VLOOKUP(E1019,showing[],2,FALSE)</f>
        <v>16</v>
      </c>
      <c r="K1019">
        <f>Сектора[[#This Row],[Значение]]</f>
        <v>62.8</v>
      </c>
      <c r="L1019" t="str">
        <f t="shared" si="15"/>
        <v>INSERT INTO msfo.statements (id_company, id_year, id_showing, value) VALUES (8,1,16,62,8);</v>
      </c>
    </row>
    <row r="1020" spans="1:12">
      <c r="A1020" s="28" t="s">
        <v>42</v>
      </c>
      <c r="B1020" s="28" t="s">
        <v>32</v>
      </c>
      <c r="C1020" s="28">
        <v>2012</v>
      </c>
      <c r="D1020" s="28" t="s">
        <v>20</v>
      </c>
      <c r="E1020" s="28" t="s">
        <v>19</v>
      </c>
      <c r="F1020" s="28">
        <v>61.2</v>
      </c>
      <c r="H1020">
        <f>VLOOKUP(A1020&amp;B1020,ticker_sector[],2,FALSE)</f>
        <v>8</v>
      </c>
      <c r="I1020">
        <f>VLOOKUP(C1020,year[],2,FALSE)</f>
        <v>2</v>
      </c>
      <c r="J1020">
        <f>VLOOKUP(E1020,showing[],2,FALSE)</f>
        <v>16</v>
      </c>
      <c r="K1020">
        <f>Сектора[[#This Row],[Значение]]</f>
        <v>61.2</v>
      </c>
      <c r="L1020" t="str">
        <f t="shared" si="15"/>
        <v>INSERT INTO msfo.statements (id_company, id_year, id_showing, value) VALUES (8,2,16,61,2);</v>
      </c>
    </row>
    <row r="1021" spans="1:12">
      <c r="A1021" s="28" t="s">
        <v>42</v>
      </c>
      <c r="B1021" s="28" t="s">
        <v>32</v>
      </c>
      <c r="C1021" s="28">
        <v>2013</v>
      </c>
      <c r="D1021" s="28" t="s">
        <v>20</v>
      </c>
      <c r="E1021" s="28" t="s">
        <v>19</v>
      </c>
      <c r="F1021" s="28">
        <v>55.18</v>
      </c>
      <c r="H1021">
        <f>VLOOKUP(A1021&amp;B1021,ticker_sector[],2,FALSE)</f>
        <v>8</v>
      </c>
      <c r="I1021">
        <f>VLOOKUP(C1021,year[],2,FALSE)</f>
        <v>3</v>
      </c>
      <c r="J1021">
        <f>VLOOKUP(E1021,showing[],2,FALSE)</f>
        <v>16</v>
      </c>
      <c r="K1021">
        <f>Сектора[[#This Row],[Значение]]</f>
        <v>55.18</v>
      </c>
      <c r="L1021" t="str">
        <f t="shared" si="15"/>
        <v>INSERT INTO msfo.statements (id_company, id_year, id_showing, value) VALUES (8,3,16,55,18);</v>
      </c>
    </row>
    <row r="1022" spans="1:12">
      <c r="A1022" s="28" t="s">
        <v>42</v>
      </c>
      <c r="B1022" s="28" t="s">
        <v>32</v>
      </c>
      <c r="C1022" s="28">
        <v>2014</v>
      </c>
      <c r="D1022" s="28" t="s">
        <v>20</v>
      </c>
      <c r="E1022" s="28" t="s">
        <v>19</v>
      </c>
      <c r="F1022" s="28">
        <v>66.8</v>
      </c>
      <c r="H1022">
        <f>VLOOKUP(A1022&amp;B1022,ticker_sector[],2,FALSE)</f>
        <v>8</v>
      </c>
      <c r="I1022">
        <f>VLOOKUP(C1022,year[],2,FALSE)</f>
        <v>4</v>
      </c>
      <c r="J1022">
        <f>VLOOKUP(E1022,showing[],2,FALSE)</f>
        <v>16</v>
      </c>
      <c r="K1022">
        <f>Сектора[[#This Row],[Значение]]</f>
        <v>66.8</v>
      </c>
      <c r="L1022" t="str">
        <f t="shared" si="15"/>
        <v>INSERT INTO msfo.statements (id_company, id_year, id_showing, value) VALUES (8,4,16,66,8);</v>
      </c>
    </row>
    <row r="1023" spans="1:12">
      <c r="A1023" s="28" t="s">
        <v>42</v>
      </c>
      <c r="B1023" s="28" t="s">
        <v>32</v>
      </c>
      <c r="C1023" s="28">
        <v>2015</v>
      </c>
      <c r="D1023" s="28" t="s">
        <v>20</v>
      </c>
      <c r="E1023" s="28" t="s">
        <v>19</v>
      </c>
      <c r="F1023" s="28">
        <v>62.6</v>
      </c>
      <c r="H1023">
        <f>VLOOKUP(A1023&amp;B1023,ticker_sector[],2,FALSE)</f>
        <v>8</v>
      </c>
      <c r="I1023">
        <f>VLOOKUP(C1023,year[],2,FALSE)</f>
        <v>5</v>
      </c>
      <c r="J1023">
        <f>VLOOKUP(E1023,showing[],2,FALSE)</f>
        <v>16</v>
      </c>
      <c r="K1023">
        <f>Сектора[[#This Row],[Значение]]</f>
        <v>62.6</v>
      </c>
      <c r="L1023" t="str">
        <f t="shared" si="15"/>
        <v>INSERT INTO msfo.statements (id_company, id_year, id_showing, value) VALUES (8,5,16,62,6);</v>
      </c>
    </row>
    <row r="1024" spans="1:12">
      <c r="A1024" s="28" t="s">
        <v>42</v>
      </c>
      <c r="B1024" s="28" t="s">
        <v>32</v>
      </c>
      <c r="C1024" s="28">
        <v>2016</v>
      </c>
      <c r="D1024" s="28" t="s">
        <v>20</v>
      </c>
      <c r="E1024" s="28" t="s">
        <v>19</v>
      </c>
      <c r="F1024" s="28">
        <v>114.98</v>
      </c>
      <c r="H1024">
        <f>VLOOKUP(A1024&amp;B1024,ticker_sector[],2,FALSE)</f>
        <v>8</v>
      </c>
      <c r="I1024">
        <f>VLOOKUP(C1024,year[],2,FALSE)</f>
        <v>6</v>
      </c>
      <c r="J1024">
        <f>VLOOKUP(E1024,showing[],2,FALSE)</f>
        <v>16</v>
      </c>
      <c r="K1024">
        <f>Сектора[[#This Row],[Значение]]</f>
        <v>114.98</v>
      </c>
      <c r="L1024" t="str">
        <f t="shared" si="15"/>
        <v>INSERT INTO msfo.statements (id_company, id_year, id_showing, value) VALUES (8,6,16,114,98);</v>
      </c>
    </row>
    <row r="1025" spans="1:12">
      <c r="A1025" s="28" t="s">
        <v>42</v>
      </c>
      <c r="B1025" s="28" t="s">
        <v>32</v>
      </c>
      <c r="C1025" s="28">
        <v>2017</v>
      </c>
      <c r="D1025" s="28" t="s">
        <v>20</v>
      </c>
      <c r="E1025" s="28" t="s">
        <v>19</v>
      </c>
      <c r="F1025" s="28">
        <v>147.22</v>
      </c>
      <c r="H1025">
        <f>VLOOKUP(A1025&amp;B1025,ticker_sector[],2,FALSE)</f>
        <v>8</v>
      </c>
      <c r="I1025">
        <f>VLOOKUP(C1025,year[],2,FALSE)</f>
        <v>7</v>
      </c>
      <c r="J1025">
        <f>VLOOKUP(E1025,showing[],2,FALSE)</f>
        <v>16</v>
      </c>
      <c r="K1025">
        <f>Сектора[[#This Row],[Значение]]</f>
        <v>147.22</v>
      </c>
      <c r="L1025" t="str">
        <f t="shared" si="15"/>
        <v>INSERT INTO msfo.statements (id_company, id_year, id_showing, value) VALUES (8,7,16,147,22);</v>
      </c>
    </row>
    <row r="1026" spans="1:12">
      <c r="A1026" s="28" t="s">
        <v>43</v>
      </c>
      <c r="B1026" s="28" t="s">
        <v>33</v>
      </c>
      <c r="C1026" s="28">
        <v>2010</v>
      </c>
      <c r="D1026" s="28" t="s">
        <v>1</v>
      </c>
      <c r="E1026" s="28" t="s">
        <v>2</v>
      </c>
      <c r="F1026" s="28">
        <v>342522</v>
      </c>
      <c r="H1026">
        <f>VLOOKUP(A1026&amp;B1026,ticker_sector[],2,FALSE)</f>
        <v>9</v>
      </c>
      <c r="I1026">
        <f>VLOOKUP(C1026,year[],2,FALSE)</f>
        <v>0</v>
      </c>
      <c r="J1026">
        <f>VLOOKUP(E1026,showing[],2,FALSE)</f>
        <v>1</v>
      </c>
      <c r="K1026">
        <f>Сектора[[#This Row],[Значение]]</f>
        <v>342522</v>
      </c>
      <c r="L1026" t="str">
        <f t="shared" si="15"/>
        <v>INSERT INTO msfo.statements (id_company, id_year, id_showing, value) VALUES (9,0,1,342522);</v>
      </c>
    </row>
    <row r="1027" spans="1:12">
      <c r="A1027" s="28" t="s">
        <v>43</v>
      </c>
      <c r="B1027" s="28" t="s">
        <v>33</v>
      </c>
      <c r="C1027" s="28">
        <v>2011</v>
      </c>
      <c r="D1027" s="28" t="s">
        <v>1</v>
      </c>
      <c r="E1027" s="28" t="s">
        <v>2</v>
      </c>
      <c r="F1027" s="28">
        <v>299540</v>
      </c>
      <c r="H1027">
        <f>VLOOKUP(A1027&amp;B1027,ticker_sector[],2,FALSE)</f>
        <v>9</v>
      </c>
      <c r="I1027">
        <f>VLOOKUP(C1027,year[],2,FALSE)</f>
        <v>1</v>
      </c>
      <c r="J1027">
        <f>VLOOKUP(E1027,showing[],2,FALSE)</f>
        <v>1</v>
      </c>
      <c r="K1027">
        <f>Сектора[[#This Row],[Значение]]</f>
        <v>299540</v>
      </c>
      <c r="L1027" t="str">
        <f t="shared" ref="L1027:L1090" si="16">"INSERT INTO msfo.statements (id_company, id_year, id_showing, value) VALUES ("&amp;H1027&amp; ","&amp;I1027&amp; ","&amp;J1027&amp; ","&amp;K1027&amp;");"</f>
        <v>INSERT INTO msfo.statements (id_company, id_year, id_showing, value) VALUES (9,1,1,299540);</v>
      </c>
    </row>
    <row r="1028" spans="1:12">
      <c r="A1028" s="28" t="s">
        <v>43</v>
      </c>
      <c r="B1028" s="28" t="s">
        <v>33</v>
      </c>
      <c r="C1028" s="28">
        <v>2012</v>
      </c>
      <c r="D1028" s="28" t="s">
        <v>1</v>
      </c>
      <c r="E1028" s="28" t="s">
        <v>2</v>
      </c>
      <c r="F1028" s="28">
        <v>341897</v>
      </c>
      <c r="H1028">
        <f>VLOOKUP(A1028&amp;B1028,ticker_sector[],2,FALSE)</f>
        <v>9</v>
      </c>
      <c r="I1028">
        <f>VLOOKUP(C1028,year[],2,FALSE)</f>
        <v>2</v>
      </c>
      <c r="J1028">
        <f>VLOOKUP(E1028,showing[],2,FALSE)</f>
        <v>1</v>
      </c>
      <c r="K1028">
        <f>Сектора[[#This Row],[Значение]]</f>
        <v>341897</v>
      </c>
      <c r="L1028" t="str">
        <f t="shared" si="16"/>
        <v>INSERT INTO msfo.statements (id_company, id_year, id_showing, value) VALUES (9,2,1,341897);</v>
      </c>
    </row>
    <row r="1029" spans="1:12">
      <c r="A1029" s="28" t="s">
        <v>43</v>
      </c>
      <c r="B1029" s="28" t="s">
        <v>33</v>
      </c>
      <c r="C1029" s="28">
        <v>2013</v>
      </c>
      <c r="D1029" s="28" t="s">
        <v>1</v>
      </c>
      <c r="E1029" s="28" t="s">
        <v>2</v>
      </c>
      <c r="F1029" s="28">
        <v>306424</v>
      </c>
      <c r="H1029">
        <f>VLOOKUP(A1029&amp;B1029,ticker_sector[],2,FALSE)</f>
        <v>9</v>
      </c>
      <c r="I1029">
        <f>VLOOKUP(C1029,year[],2,FALSE)</f>
        <v>3</v>
      </c>
      <c r="J1029">
        <f>VLOOKUP(E1029,showing[],2,FALSE)</f>
        <v>1</v>
      </c>
      <c r="K1029">
        <f>Сектора[[#This Row],[Значение]]</f>
        <v>306424</v>
      </c>
      <c r="L1029" t="str">
        <f t="shared" si="16"/>
        <v>INSERT INTO msfo.statements (id_company, id_year, id_showing, value) VALUES (9,3,1,306424);</v>
      </c>
    </row>
    <row r="1030" spans="1:12">
      <c r="A1030" s="28" t="s">
        <v>43</v>
      </c>
      <c r="B1030" s="28" t="s">
        <v>33</v>
      </c>
      <c r="C1030" s="28">
        <v>2014</v>
      </c>
      <c r="D1030" s="28" t="s">
        <v>1</v>
      </c>
      <c r="E1030" s="28" t="s">
        <v>2</v>
      </c>
      <c r="F1030" s="28">
        <v>388306</v>
      </c>
      <c r="H1030">
        <f>VLOOKUP(A1030&amp;B1030,ticker_sector[],2,FALSE)</f>
        <v>9</v>
      </c>
      <c r="I1030">
        <f>VLOOKUP(C1030,year[],2,FALSE)</f>
        <v>4</v>
      </c>
      <c r="J1030">
        <f>VLOOKUP(E1030,showing[],2,FALSE)</f>
        <v>1</v>
      </c>
      <c r="K1030">
        <f>Сектора[[#This Row],[Значение]]</f>
        <v>388306</v>
      </c>
      <c r="L1030" t="str">
        <f t="shared" si="16"/>
        <v>INSERT INTO msfo.statements (id_company, id_year, id_showing, value) VALUES (9,4,1,388306);</v>
      </c>
    </row>
    <row r="1031" spans="1:12">
      <c r="A1031" s="28" t="s">
        <v>43</v>
      </c>
      <c r="B1031" s="28" t="s">
        <v>33</v>
      </c>
      <c r="C1031" s="28">
        <v>2015</v>
      </c>
      <c r="D1031" s="28" t="s">
        <v>1</v>
      </c>
      <c r="E1031" s="28" t="s">
        <v>2</v>
      </c>
      <c r="F1031" s="28">
        <v>419507</v>
      </c>
      <c r="H1031">
        <f>VLOOKUP(A1031&amp;B1031,ticker_sector[],2,FALSE)</f>
        <v>9</v>
      </c>
      <c r="I1031">
        <f>VLOOKUP(C1031,year[],2,FALSE)</f>
        <v>5</v>
      </c>
      <c r="J1031">
        <f>VLOOKUP(E1031,showing[],2,FALSE)</f>
        <v>1</v>
      </c>
      <c r="K1031">
        <f>Сектора[[#This Row],[Значение]]</f>
        <v>419507</v>
      </c>
      <c r="L1031" t="str">
        <f t="shared" si="16"/>
        <v>INSERT INTO msfo.statements (id_company, id_year, id_showing, value) VALUES (9,5,1,419507);</v>
      </c>
    </row>
    <row r="1032" spans="1:12">
      <c r="A1032" s="28" t="s">
        <v>43</v>
      </c>
      <c r="B1032" s="28" t="s">
        <v>33</v>
      </c>
      <c r="C1032" s="28">
        <v>2016</v>
      </c>
      <c r="D1032" s="28" t="s">
        <v>1</v>
      </c>
      <c r="E1032" s="28" t="s">
        <v>2</v>
      </c>
      <c r="F1032" s="28">
        <v>459833</v>
      </c>
      <c r="H1032">
        <f>VLOOKUP(A1032&amp;B1032,ticker_sector[],2,FALSE)</f>
        <v>9</v>
      </c>
      <c r="I1032">
        <f>VLOOKUP(C1032,year[],2,FALSE)</f>
        <v>6</v>
      </c>
      <c r="J1032">
        <f>VLOOKUP(E1032,showing[],2,FALSE)</f>
        <v>1</v>
      </c>
      <c r="K1032">
        <f>Сектора[[#This Row],[Значение]]</f>
        <v>459833</v>
      </c>
      <c r="L1032" t="str">
        <f t="shared" si="16"/>
        <v>INSERT INTO msfo.statements (id_company, id_year, id_showing, value) VALUES (9,6,1,459833);</v>
      </c>
    </row>
    <row r="1033" spans="1:12">
      <c r="A1033" s="28" t="s">
        <v>43</v>
      </c>
      <c r="B1033" s="28" t="s">
        <v>33</v>
      </c>
      <c r="C1033" s="28">
        <v>2017</v>
      </c>
      <c r="D1033" s="28" t="s">
        <v>1</v>
      </c>
      <c r="E1033" s="28" t="s">
        <v>2</v>
      </c>
      <c r="F1033" s="28">
        <v>474354</v>
      </c>
      <c r="H1033">
        <f>VLOOKUP(A1033&amp;B1033,ticker_sector[],2,FALSE)</f>
        <v>9</v>
      </c>
      <c r="I1033">
        <f>VLOOKUP(C1033,year[],2,FALSE)</f>
        <v>7</v>
      </c>
      <c r="J1033">
        <f>VLOOKUP(E1033,showing[],2,FALSE)</f>
        <v>1</v>
      </c>
      <c r="K1033">
        <f>Сектора[[#This Row],[Значение]]</f>
        <v>474354</v>
      </c>
      <c r="L1033" t="str">
        <f t="shared" si="16"/>
        <v>INSERT INTO msfo.statements (id_company, id_year, id_showing, value) VALUES (9,7,1,474354);</v>
      </c>
    </row>
    <row r="1034" spans="1:12">
      <c r="A1034" s="28" t="s">
        <v>43</v>
      </c>
      <c r="B1034" s="28" t="s">
        <v>33</v>
      </c>
      <c r="C1034" s="28">
        <v>2010</v>
      </c>
      <c r="D1034" s="28" t="s">
        <v>1</v>
      </c>
      <c r="E1034" s="28" t="s">
        <v>3</v>
      </c>
      <c r="F1034" s="28">
        <v>114352</v>
      </c>
      <c r="H1034">
        <f>VLOOKUP(A1034&amp;B1034,ticker_sector[],2,FALSE)</f>
        <v>9</v>
      </c>
      <c r="I1034">
        <f>VLOOKUP(C1034,year[],2,FALSE)</f>
        <v>0</v>
      </c>
      <c r="J1034">
        <f>VLOOKUP(E1034,showing[],2,FALSE)</f>
        <v>2</v>
      </c>
      <c r="K1034">
        <f>Сектора[[#This Row],[Значение]]</f>
        <v>114352</v>
      </c>
      <c r="L1034" t="str">
        <f t="shared" si="16"/>
        <v>INSERT INTO msfo.statements (id_company, id_year, id_showing, value) VALUES (9,0,2,114352);</v>
      </c>
    </row>
    <row r="1035" spans="1:12">
      <c r="A1035" s="28" t="s">
        <v>43</v>
      </c>
      <c r="B1035" s="28" t="s">
        <v>33</v>
      </c>
      <c r="C1035" s="28">
        <v>2011</v>
      </c>
      <c r="D1035" s="28" t="s">
        <v>1</v>
      </c>
      <c r="E1035" s="28" t="s">
        <v>3</v>
      </c>
      <c r="F1035" s="28">
        <v>137438</v>
      </c>
      <c r="H1035">
        <f>VLOOKUP(A1035&amp;B1035,ticker_sector[],2,FALSE)</f>
        <v>9</v>
      </c>
      <c r="I1035">
        <f>VLOOKUP(C1035,year[],2,FALSE)</f>
        <v>1</v>
      </c>
      <c r="J1035">
        <f>VLOOKUP(E1035,showing[],2,FALSE)</f>
        <v>2</v>
      </c>
      <c r="K1035">
        <f>Сектора[[#This Row],[Значение]]</f>
        <v>137438</v>
      </c>
      <c r="L1035" t="str">
        <f t="shared" si="16"/>
        <v>INSERT INTO msfo.statements (id_company, id_year, id_showing, value) VALUES (9,1,2,137438);</v>
      </c>
    </row>
    <row r="1036" spans="1:12">
      <c r="A1036" s="28" t="s">
        <v>43</v>
      </c>
      <c r="B1036" s="28" t="s">
        <v>33</v>
      </c>
      <c r="C1036" s="28">
        <v>2012</v>
      </c>
      <c r="D1036" s="28" t="s">
        <v>1</v>
      </c>
      <c r="E1036" s="28" t="s">
        <v>3</v>
      </c>
      <c r="F1036" s="28">
        <v>121612</v>
      </c>
      <c r="H1036">
        <f>VLOOKUP(A1036&amp;B1036,ticker_sector[],2,FALSE)</f>
        <v>9</v>
      </c>
      <c r="I1036">
        <f>VLOOKUP(C1036,year[],2,FALSE)</f>
        <v>2</v>
      </c>
      <c r="J1036">
        <f>VLOOKUP(E1036,showing[],2,FALSE)</f>
        <v>2</v>
      </c>
      <c r="K1036">
        <f>Сектора[[#This Row],[Значение]]</f>
        <v>121612</v>
      </c>
      <c r="L1036" t="str">
        <f t="shared" si="16"/>
        <v>INSERT INTO msfo.statements (id_company, id_year, id_showing, value) VALUES (9,2,2,121612);</v>
      </c>
    </row>
    <row r="1037" spans="1:12">
      <c r="A1037" s="28" t="s">
        <v>43</v>
      </c>
      <c r="B1037" s="28" t="s">
        <v>33</v>
      </c>
      <c r="C1037" s="28">
        <v>2013</v>
      </c>
      <c r="D1037" s="28" t="s">
        <v>1</v>
      </c>
      <c r="E1037" s="28" t="s">
        <v>3</v>
      </c>
      <c r="F1037" s="28">
        <v>141375</v>
      </c>
      <c r="H1037">
        <f>VLOOKUP(A1037&amp;B1037,ticker_sector[],2,FALSE)</f>
        <v>9</v>
      </c>
      <c r="I1037">
        <f>VLOOKUP(C1037,year[],2,FALSE)</f>
        <v>3</v>
      </c>
      <c r="J1037">
        <f>VLOOKUP(E1037,showing[],2,FALSE)</f>
        <v>2</v>
      </c>
      <c r="K1037">
        <f>Сектора[[#This Row],[Значение]]</f>
        <v>141375</v>
      </c>
      <c r="L1037" t="str">
        <f t="shared" si="16"/>
        <v>INSERT INTO msfo.statements (id_company, id_year, id_showing, value) VALUES (9,3,2,141375);</v>
      </c>
    </row>
    <row r="1038" spans="1:12">
      <c r="A1038" s="28" t="s">
        <v>43</v>
      </c>
      <c r="B1038" s="28" t="s">
        <v>33</v>
      </c>
      <c r="C1038" s="28">
        <v>2014</v>
      </c>
      <c r="D1038" s="28" t="s">
        <v>1</v>
      </c>
      <c r="E1038" s="28" t="s">
        <v>3</v>
      </c>
      <c r="F1038" s="28">
        <v>135375</v>
      </c>
      <c r="H1038">
        <f>VLOOKUP(A1038&amp;B1038,ticker_sector[],2,FALSE)</f>
        <v>9</v>
      </c>
      <c r="I1038">
        <f>VLOOKUP(C1038,year[],2,FALSE)</f>
        <v>4</v>
      </c>
      <c r="J1038">
        <f>VLOOKUP(E1038,showing[],2,FALSE)</f>
        <v>2</v>
      </c>
      <c r="K1038">
        <f>Сектора[[#This Row],[Значение]]</f>
        <v>135375</v>
      </c>
      <c r="L1038" t="str">
        <f t="shared" si="16"/>
        <v>INSERT INTO msfo.statements (id_company, id_year, id_showing, value) VALUES (9,4,2,135375);</v>
      </c>
    </row>
    <row r="1039" spans="1:12">
      <c r="A1039" s="28" t="s">
        <v>43</v>
      </c>
      <c r="B1039" s="28" t="s">
        <v>33</v>
      </c>
      <c r="C1039" s="28">
        <v>2015</v>
      </c>
      <c r="D1039" s="28" t="s">
        <v>1</v>
      </c>
      <c r="E1039" s="28" t="s">
        <v>3</v>
      </c>
      <c r="F1039" s="28">
        <v>100605</v>
      </c>
      <c r="H1039">
        <f>VLOOKUP(A1039&amp;B1039,ticker_sector[],2,FALSE)</f>
        <v>9</v>
      </c>
      <c r="I1039">
        <f>VLOOKUP(C1039,year[],2,FALSE)</f>
        <v>5</v>
      </c>
      <c r="J1039">
        <f>VLOOKUP(E1039,showing[],2,FALSE)</f>
        <v>2</v>
      </c>
      <c r="K1039">
        <f>Сектора[[#This Row],[Значение]]</f>
        <v>100605</v>
      </c>
      <c r="L1039" t="str">
        <f t="shared" si="16"/>
        <v>INSERT INTO msfo.statements (id_company, id_year, id_showing, value) VALUES (9,5,2,100605);</v>
      </c>
    </row>
    <row r="1040" spans="1:12">
      <c r="A1040" s="28" t="s">
        <v>43</v>
      </c>
      <c r="B1040" s="28" t="s">
        <v>33</v>
      </c>
      <c r="C1040" s="28">
        <v>2016</v>
      </c>
      <c r="D1040" s="28" t="s">
        <v>1</v>
      </c>
      <c r="E1040" s="28" t="s">
        <v>3</v>
      </c>
      <c r="F1040" s="28">
        <v>124334</v>
      </c>
      <c r="H1040">
        <f>VLOOKUP(A1040&amp;B1040,ticker_sector[],2,FALSE)</f>
        <v>9</v>
      </c>
      <c r="I1040">
        <f>VLOOKUP(C1040,year[],2,FALSE)</f>
        <v>6</v>
      </c>
      <c r="J1040">
        <f>VLOOKUP(E1040,showing[],2,FALSE)</f>
        <v>2</v>
      </c>
      <c r="K1040">
        <f>Сектора[[#This Row],[Значение]]</f>
        <v>124334</v>
      </c>
      <c r="L1040" t="str">
        <f t="shared" si="16"/>
        <v>INSERT INTO msfo.statements (id_company, id_year, id_showing, value) VALUES (9,6,2,124334);</v>
      </c>
    </row>
    <row r="1041" spans="1:12">
      <c r="A1041" s="28" t="s">
        <v>43</v>
      </c>
      <c r="B1041" s="28" t="s">
        <v>33</v>
      </c>
      <c r="C1041" s="28">
        <v>2017</v>
      </c>
      <c r="D1041" s="28" t="s">
        <v>1</v>
      </c>
      <c r="E1041" s="28" t="s">
        <v>3</v>
      </c>
      <c r="F1041" s="28">
        <v>256002</v>
      </c>
      <c r="H1041">
        <f>VLOOKUP(A1041&amp;B1041,ticker_sector[],2,FALSE)</f>
        <v>9</v>
      </c>
      <c r="I1041">
        <f>VLOOKUP(C1041,year[],2,FALSE)</f>
        <v>7</v>
      </c>
      <c r="J1041">
        <f>VLOOKUP(E1041,showing[],2,FALSE)</f>
        <v>2</v>
      </c>
      <c r="K1041">
        <f>Сектора[[#This Row],[Значение]]</f>
        <v>256002</v>
      </c>
      <c r="L1041" t="str">
        <f t="shared" si="16"/>
        <v>INSERT INTO msfo.statements (id_company, id_year, id_showing, value) VALUES (9,7,2,256002);</v>
      </c>
    </row>
    <row r="1042" spans="1:12">
      <c r="A1042" s="28" t="s">
        <v>43</v>
      </c>
      <c r="B1042" s="28" t="s">
        <v>33</v>
      </c>
      <c r="C1042" s="28">
        <v>2010</v>
      </c>
      <c r="D1042" s="28" t="s">
        <v>1</v>
      </c>
      <c r="E1042" s="28" t="s">
        <v>5</v>
      </c>
      <c r="F1042" s="28">
        <v>456874</v>
      </c>
      <c r="H1042">
        <f>VLOOKUP(A1042&amp;B1042,ticker_sector[],2,FALSE)</f>
        <v>9</v>
      </c>
      <c r="I1042">
        <f>VLOOKUP(C1042,year[],2,FALSE)</f>
        <v>0</v>
      </c>
      <c r="J1042">
        <f>VLOOKUP(E1042,showing[],2,FALSE)</f>
        <v>3</v>
      </c>
      <c r="K1042">
        <f>Сектора[[#This Row],[Значение]]</f>
        <v>456874</v>
      </c>
      <c r="L1042" t="str">
        <f t="shared" si="16"/>
        <v>INSERT INTO msfo.statements (id_company, id_year, id_showing, value) VALUES (9,0,3,456874);</v>
      </c>
    </row>
    <row r="1043" spans="1:12">
      <c r="A1043" s="28" t="s">
        <v>43</v>
      </c>
      <c r="B1043" s="28" t="s">
        <v>33</v>
      </c>
      <c r="C1043" s="28">
        <v>2011</v>
      </c>
      <c r="D1043" s="28" t="s">
        <v>1</v>
      </c>
      <c r="E1043" s="28" t="s">
        <v>5</v>
      </c>
      <c r="F1043" s="28">
        <v>436978</v>
      </c>
      <c r="H1043">
        <f>VLOOKUP(A1043&amp;B1043,ticker_sector[],2,FALSE)</f>
        <v>9</v>
      </c>
      <c r="I1043">
        <f>VLOOKUP(C1043,year[],2,FALSE)</f>
        <v>1</v>
      </c>
      <c r="J1043">
        <f>VLOOKUP(E1043,showing[],2,FALSE)</f>
        <v>3</v>
      </c>
      <c r="K1043">
        <f>Сектора[[#This Row],[Значение]]</f>
        <v>436978</v>
      </c>
      <c r="L1043" t="str">
        <f t="shared" si="16"/>
        <v>INSERT INTO msfo.statements (id_company, id_year, id_showing, value) VALUES (9,1,3,436978);</v>
      </c>
    </row>
    <row r="1044" spans="1:12">
      <c r="A1044" s="28" t="s">
        <v>43</v>
      </c>
      <c r="B1044" s="28" t="s">
        <v>33</v>
      </c>
      <c r="C1044" s="28">
        <v>2012</v>
      </c>
      <c r="D1044" s="28" t="s">
        <v>1</v>
      </c>
      <c r="E1044" s="28" t="s">
        <v>5</v>
      </c>
      <c r="F1044" s="28">
        <v>463509</v>
      </c>
      <c r="H1044">
        <f>VLOOKUP(A1044&amp;B1044,ticker_sector[],2,FALSE)</f>
        <v>9</v>
      </c>
      <c r="I1044">
        <f>VLOOKUP(C1044,year[],2,FALSE)</f>
        <v>2</v>
      </c>
      <c r="J1044">
        <f>VLOOKUP(E1044,showing[],2,FALSE)</f>
        <v>3</v>
      </c>
      <c r="K1044">
        <f>Сектора[[#This Row],[Значение]]</f>
        <v>463509</v>
      </c>
      <c r="L1044" t="str">
        <f t="shared" si="16"/>
        <v>INSERT INTO msfo.statements (id_company, id_year, id_showing, value) VALUES (9,2,3,463509);</v>
      </c>
    </row>
    <row r="1045" spans="1:12">
      <c r="A1045" s="28" t="s">
        <v>43</v>
      </c>
      <c r="B1045" s="28" t="s">
        <v>33</v>
      </c>
      <c r="C1045" s="28">
        <v>2013</v>
      </c>
      <c r="D1045" s="28" t="s">
        <v>1</v>
      </c>
      <c r="E1045" s="28" t="s">
        <v>5</v>
      </c>
      <c r="F1045" s="28">
        <v>447799</v>
      </c>
      <c r="H1045">
        <f>VLOOKUP(A1045&amp;B1045,ticker_sector[],2,FALSE)</f>
        <v>9</v>
      </c>
      <c r="I1045">
        <f>VLOOKUP(C1045,year[],2,FALSE)</f>
        <v>3</v>
      </c>
      <c r="J1045">
        <f>VLOOKUP(E1045,showing[],2,FALSE)</f>
        <v>3</v>
      </c>
      <c r="K1045">
        <f>Сектора[[#This Row],[Значение]]</f>
        <v>447799</v>
      </c>
      <c r="L1045" t="str">
        <f t="shared" si="16"/>
        <v>INSERT INTO msfo.statements (id_company, id_year, id_showing, value) VALUES (9,3,3,447799);</v>
      </c>
    </row>
    <row r="1046" spans="1:12">
      <c r="A1046" s="28" t="s">
        <v>43</v>
      </c>
      <c r="B1046" s="28" t="s">
        <v>33</v>
      </c>
      <c r="C1046" s="28">
        <v>2014</v>
      </c>
      <c r="D1046" s="28" t="s">
        <v>1</v>
      </c>
      <c r="E1046" s="28" t="s">
        <v>5</v>
      </c>
      <c r="F1046" s="28">
        <v>523681</v>
      </c>
      <c r="H1046">
        <f>VLOOKUP(A1046&amp;B1046,ticker_sector[],2,FALSE)</f>
        <v>9</v>
      </c>
      <c r="I1046">
        <f>VLOOKUP(C1046,year[],2,FALSE)</f>
        <v>4</v>
      </c>
      <c r="J1046">
        <f>VLOOKUP(E1046,showing[],2,FALSE)</f>
        <v>3</v>
      </c>
      <c r="K1046">
        <f>Сектора[[#This Row],[Значение]]</f>
        <v>523681</v>
      </c>
      <c r="L1046" t="str">
        <f t="shared" si="16"/>
        <v>INSERT INTO msfo.statements (id_company, id_year, id_showing, value) VALUES (9,4,3,523681);</v>
      </c>
    </row>
    <row r="1047" spans="1:12">
      <c r="A1047" s="28" t="s">
        <v>43</v>
      </c>
      <c r="B1047" s="28" t="s">
        <v>33</v>
      </c>
      <c r="C1047" s="28">
        <v>2015</v>
      </c>
      <c r="D1047" s="28" t="s">
        <v>1</v>
      </c>
      <c r="E1047" s="28" t="s">
        <v>5</v>
      </c>
      <c r="F1047" s="28">
        <v>520112</v>
      </c>
      <c r="H1047">
        <f>VLOOKUP(A1047&amp;B1047,ticker_sector[],2,FALSE)</f>
        <v>9</v>
      </c>
      <c r="I1047">
        <f>VLOOKUP(C1047,year[],2,FALSE)</f>
        <v>5</v>
      </c>
      <c r="J1047">
        <f>VLOOKUP(E1047,showing[],2,FALSE)</f>
        <v>3</v>
      </c>
      <c r="K1047">
        <f>Сектора[[#This Row],[Значение]]</f>
        <v>520112</v>
      </c>
      <c r="L1047" t="str">
        <f t="shared" si="16"/>
        <v>INSERT INTO msfo.statements (id_company, id_year, id_showing, value) VALUES (9,5,3,520112);</v>
      </c>
    </row>
    <row r="1048" spans="1:12">
      <c r="A1048" s="28" t="s">
        <v>43</v>
      </c>
      <c r="B1048" s="28" t="s">
        <v>33</v>
      </c>
      <c r="C1048" s="28">
        <v>2016</v>
      </c>
      <c r="D1048" s="28" t="s">
        <v>1</v>
      </c>
      <c r="E1048" s="28" t="s">
        <v>5</v>
      </c>
      <c r="F1048" s="28">
        <v>584167</v>
      </c>
      <c r="H1048">
        <f>VLOOKUP(A1048&amp;B1048,ticker_sector[],2,FALSE)</f>
        <v>9</v>
      </c>
      <c r="I1048">
        <f>VLOOKUP(C1048,year[],2,FALSE)</f>
        <v>6</v>
      </c>
      <c r="J1048">
        <f>VLOOKUP(E1048,showing[],2,FALSE)</f>
        <v>3</v>
      </c>
      <c r="K1048">
        <f>Сектора[[#This Row],[Значение]]</f>
        <v>584167</v>
      </c>
      <c r="L1048" t="str">
        <f t="shared" si="16"/>
        <v>INSERT INTO msfo.statements (id_company, id_year, id_showing, value) VALUES (9,6,3,584167);</v>
      </c>
    </row>
    <row r="1049" spans="1:12">
      <c r="A1049" s="28" t="s">
        <v>43</v>
      </c>
      <c r="B1049" s="28" t="s">
        <v>33</v>
      </c>
      <c r="C1049" s="28">
        <v>2017</v>
      </c>
      <c r="D1049" s="28" t="s">
        <v>1</v>
      </c>
      <c r="E1049" s="28" t="s">
        <v>5</v>
      </c>
      <c r="F1049" s="28">
        <v>730356</v>
      </c>
      <c r="H1049">
        <f>VLOOKUP(A1049&amp;B1049,ticker_sector[],2,FALSE)</f>
        <v>9</v>
      </c>
      <c r="I1049">
        <f>VLOOKUP(C1049,year[],2,FALSE)</f>
        <v>7</v>
      </c>
      <c r="J1049">
        <f>VLOOKUP(E1049,showing[],2,FALSE)</f>
        <v>3</v>
      </c>
      <c r="K1049">
        <f>Сектора[[#This Row],[Значение]]</f>
        <v>730356</v>
      </c>
      <c r="L1049" t="str">
        <f t="shared" si="16"/>
        <v>INSERT INTO msfo.statements (id_company, id_year, id_showing, value) VALUES (9,7,3,730356);</v>
      </c>
    </row>
    <row r="1050" spans="1:12">
      <c r="A1050" s="28" t="s">
        <v>43</v>
      </c>
      <c r="B1050" s="28" t="s">
        <v>33</v>
      </c>
      <c r="C1050" s="28">
        <v>2010</v>
      </c>
      <c r="D1050" s="28" t="s">
        <v>1</v>
      </c>
      <c r="E1050" s="28" t="s">
        <v>6</v>
      </c>
      <c r="F1050" s="28">
        <v>243585</v>
      </c>
      <c r="H1050">
        <f>VLOOKUP(A1050&amp;B1050,ticker_sector[],2,FALSE)</f>
        <v>9</v>
      </c>
      <c r="I1050">
        <f>VLOOKUP(C1050,year[],2,FALSE)</f>
        <v>0</v>
      </c>
      <c r="J1050">
        <f>VLOOKUP(E1050,showing[],2,FALSE)</f>
        <v>4</v>
      </c>
      <c r="K1050">
        <f>Сектора[[#This Row],[Значение]]</f>
        <v>243585</v>
      </c>
      <c r="L1050" t="str">
        <f t="shared" si="16"/>
        <v>INSERT INTO msfo.statements (id_company, id_year, id_showing, value) VALUES (9,0,4,243585);</v>
      </c>
    </row>
    <row r="1051" spans="1:12">
      <c r="A1051" s="28" t="s">
        <v>43</v>
      </c>
      <c r="B1051" s="28" t="s">
        <v>33</v>
      </c>
      <c r="C1051" s="28">
        <v>2011</v>
      </c>
      <c r="D1051" s="28" t="s">
        <v>1</v>
      </c>
      <c r="E1051" s="28" t="s">
        <v>6</v>
      </c>
      <c r="F1051" s="28">
        <v>226929</v>
      </c>
      <c r="H1051">
        <f>VLOOKUP(A1051&amp;B1051,ticker_sector[],2,FALSE)</f>
        <v>9</v>
      </c>
      <c r="I1051">
        <f>VLOOKUP(C1051,year[],2,FALSE)</f>
        <v>1</v>
      </c>
      <c r="J1051">
        <f>VLOOKUP(E1051,showing[],2,FALSE)</f>
        <v>4</v>
      </c>
      <c r="K1051">
        <f>Сектора[[#This Row],[Значение]]</f>
        <v>226929</v>
      </c>
      <c r="L1051" t="str">
        <f t="shared" si="16"/>
        <v>INSERT INTO msfo.statements (id_company, id_year, id_showing, value) VALUES (9,1,4,226929);</v>
      </c>
    </row>
    <row r="1052" spans="1:12">
      <c r="A1052" s="28" t="s">
        <v>43</v>
      </c>
      <c r="B1052" s="28" t="s">
        <v>33</v>
      </c>
      <c r="C1052" s="28">
        <v>2012</v>
      </c>
      <c r="D1052" s="28" t="s">
        <v>1</v>
      </c>
      <c r="E1052" s="28" t="s">
        <v>6</v>
      </c>
      <c r="F1052" s="28">
        <v>247908</v>
      </c>
      <c r="H1052">
        <f>VLOOKUP(A1052&amp;B1052,ticker_sector[],2,FALSE)</f>
        <v>9</v>
      </c>
      <c r="I1052">
        <f>VLOOKUP(C1052,year[],2,FALSE)</f>
        <v>2</v>
      </c>
      <c r="J1052">
        <f>VLOOKUP(E1052,showing[],2,FALSE)</f>
        <v>4</v>
      </c>
      <c r="K1052">
        <f>Сектора[[#This Row],[Значение]]</f>
        <v>247908</v>
      </c>
      <c r="L1052" t="str">
        <f t="shared" si="16"/>
        <v>INSERT INTO msfo.statements (id_company, id_year, id_showing, value) VALUES (9,2,4,247908);</v>
      </c>
    </row>
    <row r="1053" spans="1:12">
      <c r="A1053" s="28" t="s">
        <v>43</v>
      </c>
      <c r="B1053" s="28" t="s">
        <v>33</v>
      </c>
      <c r="C1053" s="28">
        <v>2013</v>
      </c>
      <c r="D1053" s="28" t="s">
        <v>1</v>
      </c>
      <c r="E1053" s="28" t="s">
        <v>6</v>
      </c>
      <c r="F1053" s="28">
        <v>236322</v>
      </c>
      <c r="H1053">
        <f>VLOOKUP(A1053&amp;B1053,ticker_sector[],2,FALSE)</f>
        <v>9</v>
      </c>
      <c r="I1053">
        <f>VLOOKUP(C1053,year[],2,FALSE)</f>
        <v>3</v>
      </c>
      <c r="J1053">
        <f>VLOOKUP(E1053,showing[],2,FALSE)</f>
        <v>4</v>
      </c>
      <c r="K1053">
        <f>Сектора[[#This Row],[Значение]]</f>
        <v>236322</v>
      </c>
      <c r="L1053" t="str">
        <f t="shared" si="16"/>
        <v>INSERT INTO msfo.statements (id_company, id_year, id_showing, value) VALUES (9,3,4,236322);</v>
      </c>
    </row>
    <row r="1054" spans="1:12">
      <c r="A1054" s="28" t="s">
        <v>43</v>
      </c>
      <c r="B1054" s="28" t="s">
        <v>33</v>
      </c>
      <c r="C1054" s="28">
        <v>2014</v>
      </c>
      <c r="D1054" s="28" t="s">
        <v>1</v>
      </c>
      <c r="E1054" s="28" t="s">
        <v>6</v>
      </c>
      <c r="F1054" s="28">
        <v>203652</v>
      </c>
      <c r="H1054">
        <f>VLOOKUP(A1054&amp;B1054,ticker_sector[],2,FALSE)</f>
        <v>9</v>
      </c>
      <c r="I1054">
        <f>VLOOKUP(C1054,year[],2,FALSE)</f>
        <v>4</v>
      </c>
      <c r="J1054">
        <f>VLOOKUP(E1054,showing[],2,FALSE)</f>
        <v>4</v>
      </c>
      <c r="K1054">
        <f>Сектора[[#This Row],[Значение]]</f>
        <v>203652</v>
      </c>
      <c r="L1054" t="str">
        <f t="shared" si="16"/>
        <v>INSERT INTO msfo.statements (id_company, id_year, id_showing, value) VALUES (9,4,4,203652);</v>
      </c>
    </row>
    <row r="1055" spans="1:12">
      <c r="A1055" s="28" t="s">
        <v>43</v>
      </c>
      <c r="B1055" s="28" t="s">
        <v>33</v>
      </c>
      <c r="C1055" s="28">
        <v>2015</v>
      </c>
      <c r="D1055" s="28" t="s">
        <v>1</v>
      </c>
      <c r="E1055" s="28" t="s">
        <v>6</v>
      </c>
      <c r="F1055" s="28">
        <v>244713</v>
      </c>
      <c r="H1055">
        <f>VLOOKUP(A1055&amp;B1055,ticker_sector[],2,FALSE)</f>
        <v>9</v>
      </c>
      <c r="I1055">
        <f>VLOOKUP(C1055,year[],2,FALSE)</f>
        <v>5</v>
      </c>
      <c r="J1055">
        <f>VLOOKUP(E1055,showing[],2,FALSE)</f>
        <v>4</v>
      </c>
      <c r="K1055">
        <f>Сектора[[#This Row],[Значение]]</f>
        <v>244713</v>
      </c>
      <c r="L1055" t="str">
        <f t="shared" si="16"/>
        <v>INSERT INTO msfo.statements (id_company, id_year, id_showing, value) VALUES (9,5,4,244713);</v>
      </c>
    </row>
    <row r="1056" spans="1:12">
      <c r="A1056" s="28" t="s">
        <v>43</v>
      </c>
      <c r="B1056" s="28" t="s">
        <v>33</v>
      </c>
      <c r="C1056" s="28">
        <v>2016</v>
      </c>
      <c r="D1056" s="28" t="s">
        <v>1</v>
      </c>
      <c r="E1056" s="28" t="s">
        <v>6</v>
      </c>
      <c r="F1056" s="28">
        <v>264536</v>
      </c>
      <c r="H1056">
        <f>VLOOKUP(A1056&amp;B1056,ticker_sector[],2,FALSE)</f>
        <v>9</v>
      </c>
      <c r="I1056">
        <f>VLOOKUP(C1056,year[],2,FALSE)</f>
        <v>6</v>
      </c>
      <c r="J1056">
        <f>VLOOKUP(E1056,showing[],2,FALSE)</f>
        <v>4</v>
      </c>
      <c r="K1056">
        <f>Сектора[[#This Row],[Значение]]</f>
        <v>264536</v>
      </c>
      <c r="L1056" t="str">
        <f t="shared" si="16"/>
        <v>INSERT INTO msfo.statements (id_company, id_year, id_showing, value) VALUES (9,6,4,264536);</v>
      </c>
    </row>
    <row r="1057" spans="1:12">
      <c r="A1057" s="28" t="s">
        <v>43</v>
      </c>
      <c r="B1057" s="28" t="s">
        <v>33</v>
      </c>
      <c r="C1057" s="28">
        <v>2017</v>
      </c>
      <c r="D1057" s="28" t="s">
        <v>1</v>
      </c>
      <c r="E1057" s="28" t="s">
        <v>6</v>
      </c>
      <c r="F1057" s="28">
        <v>381205</v>
      </c>
      <c r="H1057">
        <f>VLOOKUP(A1057&amp;B1057,ticker_sector[],2,FALSE)</f>
        <v>9</v>
      </c>
      <c r="I1057">
        <f>VLOOKUP(C1057,year[],2,FALSE)</f>
        <v>7</v>
      </c>
      <c r="J1057">
        <f>VLOOKUP(E1057,showing[],2,FALSE)</f>
        <v>4</v>
      </c>
      <c r="K1057">
        <f>Сектора[[#This Row],[Значение]]</f>
        <v>381205</v>
      </c>
      <c r="L1057" t="str">
        <f t="shared" si="16"/>
        <v>INSERT INTO msfo.statements (id_company, id_year, id_showing, value) VALUES (9,7,4,381205);</v>
      </c>
    </row>
    <row r="1058" spans="1:12">
      <c r="A1058" s="28" t="s">
        <v>43</v>
      </c>
      <c r="B1058" s="28" t="s">
        <v>33</v>
      </c>
      <c r="C1058" s="28">
        <v>2010</v>
      </c>
      <c r="D1058" s="28" t="s">
        <v>1</v>
      </c>
      <c r="E1058" s="28" t="s">
        <v>8</v>
      </c>
      <c r="F1058" s="28">
        <v>136626</v>
      </c>
      <c r="H1058">
        <f>VLOOKUP(A1058&amp;B1058,ticker_sector[],2,FALSE)</f>
        <v>9</v>
      </c>
      <c r="I1058">
        <f>VLOOKUP(C1058,year[],2,FALSE)</f>
        <v>0</v>
      </c>
      <c r="J1058">
        <f>VLOOKUP(E1058,showing[],2,FALSE)</f>
        <v>5</v>
      </c>
      <c r="K1058">
        <f>Сектора[[#This Row],[Значение]]</f>
        <v>136626</v>
      </c>
      <c r="L1058" t="str">
        <f t="shared" si="16"/>
        <v>INSERT INTO msfo.statements (id_company, id_year, id_showing, value) VALUES (9,0,5,136626);</v>
      </c>
    </row>
    <row r="1059" spans="1:12">
      <c r="A1059" s="28" t="s">
        <v>43</v>
      </c>
      <c r="B1059" s="28" t="s">
        <v>33</v>
      </c>
      <c r="C1059" s="28">
        <v>2011</v>
      </c>
      <c r="D1059" s="28" t="s">
        <v>1</v>
      </c>
      <c r="E1059" s="28" t="s">
        <v>8</v>
      </c>
      <c r="F1059" s="28">
        <v>136211</v>
      </c>
      <c r="H1059">
        <f>VLOOKUP(A1059&amp;B1059,ticker_sector[],2,FALSE)</f>
        <v>9</v>
      </c>
      <c r="I1059">
        <f>VLOOKUP(C1059,year[],2,FALSE)</f>
        <v>1</v>
      </c>
      <c r="J1059">
        <f>VLOOKUP(E1059,showing[],2,FALSE)</f>
        <v>5</v>
      </c>
      <c r="K1059">
        <f>Сектора[[#This Row],[Значение]]</f>
        <v>136211</v>
      </c>
      <c r="L1059" t="str">
        <f t="shared" si="16"/>
        <v>INSERT INTO msfo.statements (id_company, id_year, id_showing, value) VALUES (9,1,5,136211);</v>
      </c>
    </row>
    <row r="1060" spans="1:12">
      <c r="A1060" s="28" t="s">
        <v>43</v>
      </c>
      <c r="B1060" s="28" t="s">
        <v>33</v>
      </c>
      <c r="C1060" s="28">
        <v>2012</v>
      </c>
      <c r="D1060" s="28" t="s">
        <v>1</v>
      </c>
      <c r="E1060" s="28" t="s">
        <v>8</v>
      </c>
      <c r="F1060" s="28">
        <v>128776</v>
      </c>
      <c r="H1060">
        <f>VLOOKUP(A1060&amp;B1060,ticker_sector[],2,FALSE)</f>
        <v>9</v>
      </c>
      <c r="I1060">
        <f>VLOOKUP(C1060,year[],2,FALSE)</f>
        <v>2</v>
      </c>
      <c r="J1060">
        <f>VLOOKUP(E1060,showing[],2,FALSE)</f>
        <v>5</v>
      </c>
      <c r="K1060">
        <f>Сектора[[#This Row],[Значение]]</f>
        <v>128776</v>
      </c>
      <c r="L1060" t="str">
        <f t="shared" si="16"/>
        <v>INSERT INTO msfo.statements (id_company, id_year, id_showing, value) VALUES (9,2,5,128776);</v>
      </c>
    </row>
    <row r="1061" spans="1:12">
      <c r="A1061" s="28" t="s">
        <v>43</v>
      </c>
      <c r="B1061" s="28" t="s">
        <v>33</v>
      </c>
      <c r="C1061" s="28">
        <v>2013</v>
      </c>
      <c r="D1061" s="28" t="s">
        <v>1</v>
      </c>
      <c r="E1061" s="28" t="s">
        <v>8</v>
      </c>
      <c r="F1061" s="28">
        <v>124700</v>
      </c>
      <c r="H1061">
        <f>VLOOKUP(A1061&amp;B1061,ticker_sector[],2,FALSE)</f>
        <v>9</v>
      </c>
      <c r="I1061">
        <f>VLOOKUP(C1061,year[],2,FALSE)</f>
        <v>3</v>
      </c>
      <c r="J1061">
        <f>VLOOKUP(E1061,showing[],2,FALSE)</f>
        <v>5</v>
      </c>
      <c r="K1061">
        <f>Сектора[[#This Row],[Значение]]</f>
        <v>124700</v>
      </c>
      <c r="L1061" t="str">
        <f t="shared" si="16"/>
        <v>INSERT INTO msfo.statements (id_company, id_year, id_showing, value) VALUES (9,3,5,124700);</v>
      </c>
    </row>
    <row r="1062" spans="1:12">
      <c r="A1062" s="28" t="s">
        <v>43</v>
      </c>
      <c r="B1062" s="28" t="s">
        <v>33</v>
      </c>
      <c r="C1062" s="28">
        <v>2014</v>
      </c>
      <c r="D1062" s="28" t="s">
        <v>1</v>
      </c>
      <c r="E1062" s="28" t="s">
        <v>8</v>
      </c>
      <c r="F1062" s="28">
        <v>208812</v>
      </c>
      <c r="H1062">
        <f>VLOOKUP(A1062&amp;B1062,ticker_sector[],2,FALSE)</f>
        <v>9</v>
      </c>
      <c r="I1062">
        <f>VLOOKUP(C1062,year[],2,FALSE)</f>
        <v>4</v>
      </c>
      <c r="J1062">
        <f>VLOOKUP(E1062,showing[],2,FALSE)</f>
        <v>5</v>
      </c>
      <c r="K1062">
        <f>Сектора[[#This Row],[Значение]]</f>
        <v>208812</v>
      </c>
      <c r="L1062" t="str">
        <f t="shared" si="16"/>
        <v>INSERT INTO msfo.statements (id_company, id_year, id_showing, value) VALUES (9,4,5,208812);</v>
      </c>
    </row>
    <row r="1063" spans="1:12">
      <c r="A1063" s="28" t="s">
        <v>43</v>
      </c>
      <c r="B1063" s="28" t="s">
        <v>33</v>
      </c>
      <c r="C1063" s="28">
        <v>2015</v>
      </c>
      <c r="D1063" s="28" t="s">
        <v>1</v>
      </c>
      <c r="E1063" s="28" t="s">
        <v>8</v>
      </c>
      <c r="F1063" s="28">
        <v>180728</v>
      </c>
      <c r="H1063">
        <f>VLOOKUP(A1063&amp;B1063,ticker_sector[],2,FALSE)</f>
        <v>9</v>
      </c>
      <c r="I1063">
        <f>VLOOKUP(C1063,year[],2,FALSE)</f>
        <v>5</v>
      </c>
      <c r="J1063">
        <f>VLOOKUP(E1063,showing[],2,FALSE)</f>
        <v>5</v>
      </c>
      <c r="K1063">
        <f>Сектора[[#This Row],[Значение]]</f>
        <v>180728</v>
      </c>
      <c r="L1063" t="str">
        <f t="shared" si="16"/>
        <v>INSERT INTO msfo.statements (id_company, id_year, id_showing, value) VALUES (9,5,5,180728);</v>
      </c>
    </row>
    <row r="1064" spans="1:12">
      <c r="A1064" s="28" t="s">
        <v>43</v>
      </c>
      <c r="B1064" s="28" t="s">
        <v>33</v>
      </c>
      <c r="C1064" s="28">
        <v>2016</v>
      </c>
      <c r="D1064" s="28" t="s">
        <v>1</v>
      </c>
      <c r="E1064" s="28" t="s">
        <v>8</v>
      </c>
      <c r="F1064" s="28">
        <v>210178</v>
      </c>
      <c r="H1064">
        <f>VLOOKUP(A1064&amp;B1064,ticker_sector[],2,FALSE)</f>
        <v>9</v>
      </c>
      <c r="I1064">
        <f>VLOOKUP(C1064,year[],2,FALSE)</f>
        <v>6</v>
      </c>
      <c r="J1064">
        <f>VLOOKUP(E1064,showing[],2,FALSE)</f>
        <v>5</v>
      </c>
      <c r="K1064">
        <f>Сектора[[#This Row],[Значение]]</f>
        <v>210178</v>
      </c>
      <c r="L1064" t="str">
        <f t="shared" si="16"/>
        <v>INSERT INTO msfo.statements (id_company, id_year, id_showing, value) VALUES (9,6,5,210178);</v>
      </c>
    </row>
    <row r="1065" spans="1:12">
      <c r="A1065" s="28" t="s">
        <v>43</v>
      </c>
      <c r="B1065" s="28" t="s">
        <v>33</v>
      </c>
      <c r="C1065" s="28">
        <v>2017</v>
      </c>
      <c r="D1065" s="28" t="s">
        <v>1</v>
      </c>
      <c r="E1065" s="28" t="s">
        <v>8</v>
      </c>
      <c r="F1065" s="28">
        <v>199848</v>
      </c>
      <c r="H1065">
        <f>VLOOKUP(A1065&amp;B1065,ticker_sector[],2,FALSE)</f>
        <v>9</v>
      </c>
      <c r="I1065">
        <f>VLOOKUP(C1065,year[],2,FALSE)</f>
        <v>7</v>
      </c>
      <c r="J1065">
        <f>VLOOKUP(E1065,showing[],2,FALSE)</f>
        <v>5</v>
      </c>
      <c r="K1065">
        <f>Сектора[[#This Row],[Значение]]</f>
        <v>199848</v>
      </c>
      <c r="L1065" t="str">
        <f t="shared" si="16"/>
        <v>INSERT INTO msfo.statements (id_company, id_year, id_showing, value) VALUES (9,7,5,199848);</v>
      </c>
    </row>
    <row r="1066" spans="1:12">
      <c r="A1066" s="28" t="s">
        <v>43</v>
      </c>
      <c r="B1066" s="28" t="s">
        <v>33</v>
      </c>
      <c r="C1066" s="28">
        <v>2010</v>
      </c>
      <c r="D1066" s="28" t="s">
        <v>1</v>
      </c>
      <c r="E1066" s="28" t="s">
        <v>9</v>
      </c>
      <c r="F1066" s="28">
        <v>76663</v>
      </c>
      <c r="H1066">
        <f>VLOOKUP(A1066&amp;B1066,ticker_sector[],2,FALSE)</f>
        <v>9</v>
      </c>
      <c r="I1066">
        <f>VLOOKUP(C1066,year[],2,FALSE)</f>
        <v>0</v>
      </c>
      <c r="J1066">
        <f>VLOOKUP(E1066,showing[],2,FALSE)</f>
        <v>6</v>
      </c>
      <c r="K1066">
        <f>Сектора[[#This Row],[Значение]]</f>
        <v>76663</v>
      </c>
      <c r="L1066" t="str">
        <f t="shared" si="16"/>
        <v>INSERT INTO msfo.statements (id_company, id_year, id_showing, value) VALUES (9,0,6,76663);</v>
      </c>
    </row>
    <row r="1067" spans="1:12">
      <c r="A1067" s="28" t="s">
        <v>43</v>
      </c>
      <c r="B1067" s="28" t="s">
        <v>33</v>
      </c>
      <c r="C1067" s="28">
        <v>2011</v>
      </c>
      <c r="D1067" s="28" t="s">
        <v>1</v>
      </c>
      <c r="E1067" s="28" t="s">
        <v>9</v>
      </c>
      <c r="F1067" s="28">
        <v>73838</v>
      </c>
      <c r="H1067">
        <f>VLOOKUP(A1067&amp;B1067,ticker_sector[],2,FALSE)</f>
        <v>9</v>
      </c>
      <c r="I1067">
        <f>VLOOKUP(C1067,year[],2,FALSE)</f>
        <v>1</v>
      </c>
      <c r="J1067">
        <f>VLOOKUP(E1067,showing[],2,FALSE)</f>
        <v>6</v>
      </c>
      <c r="K1067">
        <f>Сектора[[#This Row],[Значение]]</f>
        <v>73838</v>
      </c>
      <c r="L1067" t="str">
        <f t="shared" si="16"/>
        <v>INSERT INTO msfo.statements (id_company, id_year, id_showing, value) VALUES (9,1,6,73838);</v>
      </c>
    </row>
    <row r="1068" spans="1:12">
      <c r="A1068" s="28" t="s">
        <v>43</v>
      </c>
      <c r="B1068" s="28" t="s">
        <v>33</v>
      </c>
      <c r="C1068" s="28">
        <v>2012</v>
      </c>
      <c r="D1068" s="28" t="s">
        <v>1</v>
      </c>
      <c r="E1068" s="28" t="s">
        <v>9</v>
      </c>
      <c r="F1068" s="28">
        <v>86825</v>
      </c>
      <c r="H1068">
        <f>VLOOKUP(A1068&amp;B1068,ticker_sector[],2,FALSE)</f>
        <v>9</v>
      </c>
      <c r="I1068">
        <f>VLOOKUP(C1068,year[],2,FALSE)</f>
        <v>2</v>
      </c>
      <c r="J1068">
        <f>VLOOKUP(E1068,showing[],2,FALSE)</f>
        <v>6</v>
      </c>
      <c r="K1068">
        <f>Сектора[[#This Row],[Значение]]</f>
        <v>86825</v>
      </c>
      <c r="L1068" t="str">
        <f t="shared" si="16"/>
        <v>INSERT INTO msfo.statements (id_company, id_year, id_showing, value) VALUES (9,2,6,86825);</v>
      </c>
    </row>
    <row r="1069" spans="1:12">
      <c r="A1069" s="28" t="s">
        <v>43</v>
      </c>
      <c r="B1069" s="28" t="s">
        <v>33</v>
      </c>
      <c r="C1069" s="28">
        <v>2013</v>
      </c>
      <c r="D1069" s="28" t="s">
        <v>1</v>
      </c>
      <c r="E1069" s="28" t="s">
        <v>9</v>
      </c>
      <c r="F1069" s="28">
        <v>86777</v>
      </c>
      <c r="H1069">
        <f>VLOOKUP(A1069&amp;B1069,ticker_sector[],2,FALSE)</f>
        <v>9</v>
      </c>
      <c r="I1069">
        <f>VLOOKUP(C1069,year[],2,FALSE)</f>
        <v>3</v>
      </c>
      <c r="J1069">
        <f>VLOOKUP(E1069,showing[],2,FALSE)</f>
        <v>6</v>
      </c>
      <c r="K1069">
        <f>Сектора[[#This Row],[Значение]]</f>
        <v>86777</v>
      </c>
      <c r="L1069" t="str">
        <f t="shared" si="16"/>
        <v>INSERT INTO msfo.statements (id_company, id_year, id_showing, value) VALUES (9,3,6,86777);</v>
      </c>
    </row>
    <row r="1070" spans="1:12">
      <c r="A1070" s="28" t="s">
        <v>43</v>
      </c>
      <c r="B1070" s="28" t="s">
        <v>33</v>
      </c>
      <c r="C1070" s="28">
        <v>2014</v>
      </c>
      <c r="D1070" s="28" t="s">
        <v>1</v>
      </c>
      <c r="E1070" s="28" t="s">
        <v>9</v>
      </c>
      <c r="F1070" s="28">
        <v>111217</v>
      </c>
      <c r="H1070">
        <f>VLOOKUP(A1070&amp;B1070,ticker_sector[],2,FALSE)</f>
        <v>9</v>
      </c>
      <c r="I1070">
        <f>VLOOKUP(C1070,year[],2,FALSE)</f>
        <v>4</v>
      </c>
      <c r="J1070">
        <f>VLOOKUP(E1070,showing[],2,FALSE)</f>
        <v>6</v>
      </c>
      <c r="K1070">
        <f>Сектора[[#This Row],[Значение]]</f>
        <v>111217</v>
      </c>
      <c r="L1070" t="str">
        <f t="shared" si="16"/>
        <v>INSERT INTO msfo.statements (id_company, id_year, id_showing, value) VALUES (9,4,6,111217);</v>
      </c>
    </row>
    <row r="1071" spans="1:12">
      <c r="A1071" s="28" t="s">
        <v>43</v>
      </c>
      <c r="B1071" s="28" t="s">
        <v>33</v>
      </c>
      <c r="C1071" s="28">
        <v>2015</v>
      </c>
      <c r="D1071" s="28" t="s">
        <v>1</v>
      </c>
      <c r="E1071" s="28" t="s">
        <v>9</v>
      </c>
      <c r="F1071" s="28">
        <v>94671</v>
      </c>
      <c r="H1071">
        <f>VLOOKUP(A1071&amp;B1071,ticker_sector[],2,FALSE)</f>
        <v>9</v>
      </c>
      <c r="I1071">
        <f>VLOOKUP(C1071,year[],2,FALSE)</f>
        <v>5</v>
      </c>
      <c r="J1071">
        <f>VLOOKUP(E1071,showing[],2,FALSE)</f>
        <v>6</v>
      </c>
      <c r="K1071">
        <f>Сектора[[#This Row],[Значение]]</f>
        <v>94671</v>
      </c>
      <c r="L1071" t="str">
        <f t="shared" si="16"/>
        <v>INSERT INTO msfo.statements (id_company, id_year, id_showing, value) VALUES (9,5,6,94671);</v>
      </c>
    </row>
    <row r="1072" spans="1:12">
      <c r="A1072" s="28" t="s">
        <v>43</v>
      </c>
      <c r="B1072" s="28" t="s">
        <v>33</v>
      </c>
      <c r="C1072" s="28">
        <v>2016</v>
      </c>
      <c r="D1072" s="28" t="s">
        <v>1</v>
      </c>
      <c r="E1072" s="28" t="s">
        <v>9</v>
      </c>
      <c r="F1072" s="28">
        <v>109453</v>
      </c>
      <c r="H1072">
        <f>VLOOKUP(A1072&amp;B1072,ticker_sector[],2,FALSE)</f>
        <v>9</v>
      </c>
      <c r="I1072">
        <f>VLOOKUP(C1072,year[],2,FALSE)</f>
        <v>6</v>
      </c>
      <c r="J1072">
        <f>VLOOKUP(E1072,showing[],2,FALSE)</f>
        <v>6</v>
      </c>
      <c r="K1072">
        <f>Сектора[[#This Row],[Значение]]</f>
        <v>109453</v>
      </c>
      <c r="L1072" t="str">
        <f t="shared" si="16"/>
        <v>INSERT INTO msfo.statements (id_company, id_year, id_showing, value) VALUES (9,6,6,109453);</v>
      </c>
    </row>
    <row r="1073" spans="1:12">
      <c r="A1073" s="28" t="s">
        <v>43</v>
      </c>
      <c r="B1073" s="28" t="s">
        <v>33</v>
      </c>
      <c r="C1073" s="28">
        <v>2017</v>
      </c>
      <c r="D1073" s="28" t="s">
        <v>1</v>
      </c>
      <c r="E1073" s="28" t="s">
        <v>9</v>
      </c>
      <c r="F1073" s="28">
        <v>149303</v>
      </c>
      <c r="H1073">
        <f>VLOOKUP(A1073&amp;B1073,ticker_sector[],2,FALSE)</f>
        <v>9</v>
      </c>
      <c r="I1073">
        <f>VLOOKUP(C1073,year[],2,FALSE)</f>
        <v>7</v>
      </c>
      <c r="J1073">
        <f>VLOOKUP(E1073,showing[],2,FALSE)</f>
        <v>6</v>
      </c>
      <c r="K1073">
        <f>Сектора[[#This Row],[Значение]]</f>
        <v>149303</v>
      </c>
      <c r="L1073" t="str">
        <f t="shared" si="16"/>
        <v>INSERT INTO msfo.statements (id_company, id_year, id_showing, value) VALUES (9,7,6,149303);</v>
      </c>
    </row>
    <row r="1074" spans="1:12">
      <c r="A1074" s="28" t="s">
        <v>43</v>
      </c>
      <c r="B1074" s="28" t="s">
        <v>33</v>
      </c>
      <c r="C1074" s="28">
        <v>2010</v>
      </c>
      <c r="D1074" s="28" t="s">
        <v>1</v>
      </c>
      <c r="E1074" s="28" t="s">
        <v>10</v>
      </c>
      <c r="F1074" s="28">
        <v>456874</v>
      </c>
      <c r="H1074">
        <f>VLOOKUP(A1074&amp;B1074,ticker_sector[],2,FALSE)</f>
        <v>9</v>
      </c>
      <c r="I1074">
        <f>VLOOKUP(C1074,year[],2,FALSE)</f>
        <v>0</v>
      </c>
      <c r="J1074">
        <f>VLOOKUP(E1074,showing[],2,FALSE)</f>
        <v>7</v>
      </c>
      <c r="K1074">
        <f>Сектора[[#This Row],[Значение]]</f>
        <v>456874</v>
      </c>
      <c r="L1074" t="str">
        <f t="shared" si="16"/>
        <v>INSERT INTO msfo.statements (id_company, id_year, id_showing, value) VALUES (9,0,7,456874);</v>
      </c>
    </row>
    <row r="1075" spans="1:12">
      <c r="A1075" s="28" t="s">
        <v>43</v>
      </c>
      <c r="B1075" s="28" t="s">
        <v>33</v>
      </c>
      <c r="C1075" s="28">
        <v>2011</v>
      </c>
      <c r="D1075" s="28" t="s">
        <v>1</v>
      </c>
      <c r="E1075" s="28" t="s">
        <v>10</v>
      </c>
      <c r="F1075" s="28">
        <v>436978</v>
      </c>
      <c r="H1075">
        <f>VLOOKUP(A1075&amp;B1075,ticker_sector[],2,FALSE)</f>
        <v>9</v>
      </c>
      <c r="I1075">
        <f>VLOOKUP(C1075,year[],2,FALSE)</f>
        <v>1</v>
      </c>
      <c r="J1075">
        <f>VLOOKUP(E1075,showing[],2,FALSE)</f>
        <v>7</v>
      </c>
      <c r="K1075">
        <f>Сектора[[#This Row],[Значение]]</f>
        <v>436978</v>
      </c>
      <c r="L1075" t="str">
        <f t="shared" si="16"/>
        <v>INSERT INTO msfo.statements (id_company, id_year, id_showing, value) VALUES (9,1,7,436978);</v>
      </c>
    </row>
    <row r="1076" spans="1:12">
      <c r="A1076" s="28" t="s">
        <v>43</v>
      </c>
      <c r="B1076" s="28" t="s">
        <v>33</v>
      </c>
      <c r="C1076" s="28">
        <v>2012</v>
      </c>
      <c r="D1076" s="28" t="s">
        <v>1</v>
      </c>
      <c r="E1076" s="28" t="s">
        <v>10</v>
      </c>
      <c r="F1076" s="28">
        <v>463509</v>
      </c>
      <c r="H1076">
        <f>VLOOKUP(A1076&amp;B1076,ticker_sector[],2,FALSE)</f>
        <v>9</v>
      </c>
      <c r="I1076">
        <f>VLOOKUP(C1076,year[],2,FALSE)</f>
        <v>2</v>
      </c>
      <c r="J1076">
        <f>VLOOKUP(E1076,showing[],2,FALSE)</f>
        <v>7</v>
      </c>
      <c r="K1076">
        <f>Сектора[[#This Row],[Значение]]</f>
        <v>463509</v>
      </c>
      <c r="L1076" t="str">
        <f t="shared" si="16"/>
        <v>INSERT INTO msfo.statements (id_company, id_year, id_showing, value) VALUES (9,2,7,463509);</v>
      </c>
    </row>
    <row r="1077" spans="1:12">
      <c r="A1077" s="28" t="s">
        <v>43</v>
      </c>
      <c r="B1077" s="28" t="s">
        <v>33</v>
      </c>
      <c r="C1077" s="28">
        <v>2013</v>
      </c>
      <c r="D1077" s="28" t="s">
        <v>1</v>
      </c>
      <c r="E1077" s="28" t="s">
        <v>10</v>
      </c>
      <c r="F1077" s="28">
        <v>447799</v>
      </c>
      <c r="H1077">
        <f>VLOOKUP(A1077&amp;B1077,ticker_sector[],2,FALSE)</f>
        <v>9</v>
      </c>
      <c r="I1077">
        <f>VLOOKUP(C1077,year[],2,FALSE)</f>
        <v>3</v>
      </c>
      <c r="J1077">
        <f>VLOOKUP(E1077,showing[],2,FALSE)</f>
        <v>7</v>
      </c>
      <c r="K1077">
        <f>Сектора[[#This Row],[Значение]]</f>
        <v>447799</v>
      </c>
      <c r="L1077" t="str">
        <f t="shared" si="16"/>
        <v>INSERT INTO msfo.statements (id_company, id_year, id_showing, value) VALUES (9,3,7,447799);</v>
      </c>
    </row>
    <row r="1078" spans="1:12">
      <c r="A1078" s="28" t="s">
        <v>43</v>
      </c>
      <c r="B1078" s="28" t="s">
        <v>33</v>
      </c>
      <c r="C1078" s="28">
        <v>2014</v>
      </c>
      <c r="D1078" s="28" t="s">
        <v>1</v>
      </c>
      <c r="E1078" s="28" t="s">
        <v>10</v>
      </c>
      <c r="F1078" s="28">
        <v>523681</v>
      </c>
      <c r="H1078">
        <f>VLOOKUP(A1078&amp;B1078,ticker_sector[],2,FALSE)</f>
        <v>9</v>
      </c>
      <c r="I1078">
        <f>VLOOKUP(C1078,year[],2,FALSE)</f>
        <v>4</v>
      </c>
      <c r="J1078">
        <f>VLOOKUP(E1078,showing[],2,FALSE)</f>
        <v>7</v>
      </c>
      <c r="K1078">
        <f>Сектора[[#This Row],[Значение]]</f>
        <v>523681</v>
      </c>
      <c r="L1078" t="str">
        <f t="shared" si="16"/>
        <v>INSERT INTO msfo.statements (id_company, id_year, id_showing, value) VALUES (9,4,7,523681);</v>
      </c>
    </row>
    <row r="1079" spans="1:12">
      <c r="A1079" s="28" t="s">
        <v>43</v>
      </c>
      <c r="B1079" s="28" t="s">
        <v>33</v>
      </c>
      <c r="C1079" s="28">
        <v>2015</v>
      </c>
      <c r="D1079" s="28" t="s">
        <v>1</v>
      </c>
      <c r="E1079" s="28" t="s">
        <v>10</v>
      </c>
      <c r="F1079" s="28">
        <v>520112</v>
      </c>
      <c r="H1079">
        <f>VLOOKUP(A1079&amp;B1079,ticker_sector[],2,FALSE)</f>
        <v>9</v>
      </c>
      <c r="I1079">
        <f>VLOOKUP(C1079,year[],2,FALSE)</f>
        <v>5</v>
      </c>
      <c r="J1079">
        <f>VLOOKUP(E1079,showing[],2,FALSE)</f>
        <v>7</v>
      </c>
      <c r="K1079">
        <f>Сектора[[#This Row],[Значение]]</f>
        <v>520112</v>
      </c>
      <c r="L1079" t="str">
        <f t="shared" si="16"/>
        <v>INSERT INTO msfo.statements (id_company, id_year, id_showing, value) VALUES (9,5,7,520112);</v>
      </c>
    </row>
    <row r="1080" spans="1:12">
      <c r="A1080" s="28" t="s">
        <v>43</v>
      </c>
      <c r="B1080" s="28" t="s">
        <v>33</v>
      </c>
      <c r="C1080" s="28">
        <v>2016</v>
      </c>
      <c r="D1080" s="28" t="s">
        <v>1</v>
      </c>
      <c r="E1080" s="28" t="s">
        <v>10</v>
      </c>
      <c r="F1080" s="28">
        <v>584167</v>
      </c>
      <c r="H1080">
        <f>VLOOKUP(A1080&amp;B1080,ticker_sector[],2,FALSE)</f>
        <v>9</v>
      </c>
      <c r="I1080">
        <f>VLOOKUP(C1080,year[],2,FALSE)</f>
        <v>6</v>
      </c>
      <c r="J1080">
        <f>VLOOKUP(E1080,showing[],2,FALSE)</f>
        <v>7</v>
      </c>
      <c r="K1080">
        <f>Сектора[[#This Row],[Значение]]</f>
        <v>584167</v>
      </c>
      <c r="L1080" t="str">
        <f t="shared" si="16"/>
        <v>INSERT INTO msfo.statements (id_company, id_year, id_showing, value) VALUES (9,6,7,584167);</v>
      </c>
    </row>
    <row r="1081" spans="1:12">
      <c r="A1081" s="28" t="s">
        <v>43</v>
      </c>
      <c r="B1081" s="28" t="s">
        <v>33</v>
      </c>
      <c r="C1081" s="28">
        <v>2017</v>
      </c>
      <c r="D1081" s="28" t="s">
        <v>1</v>
      </c>
      <c r="E1081" s="28" t="s">
        <v>10</v>
      </c>
      <c r="F1081" s="28">
        <v>730356</v>
      </c>
      <c r="H1081">
        <f>VLOOKUP(A1081&amp;B1081,ticker_sector[],2,FALSE)</f>
        <v>9</v>
      </c>
      <c r="I1081">
        <f>VLOOKUP(C1081,year[],2,FALSE)</f>
        <v>7</v>
      </c>
      <c r="J1081">
        <f>VLOOKUP(E1081,showing[],2,FALSE)</f>
        <v>7</v>
      </c>
      <c r="K1081">
        <f>Сектора[[#This Row],[Значение]]</f>
        <v>730356</v>
      </c>
      <c r="L1081" t="str">
        <f t="shared" si="16"/>
        <v>INSERT INTO msfo.statements (id_company, id_year, id_showing, value) VALUES (9,7,7,730356);</v>
      </c>
    </row>
    <row r="1082" spans="1:12">
      <c r="A1082" s="28" t="s">
        <v>43</v>
      </c>
      <c r="B1082" s="28" t="s">
        <v>33</v>
      </c>
      <c r="C1082" s="28">
        <v>2010</v>
      </c>
      <c r="D1082" s="28" t="s">
        <v>1</v>
      </c>
      <c r="E1082" s="28" t="s">
        <v>11</v>
      </c>
      <c r="F1082" s="28">
        <v>0.46684425027469278</v>
      </c>
      <c r="H1082">
        <f>VLOOKUP(A1082&amp;B1082,ticker_sector[],2,FALSE)</f>
        <v>9</v>
      </c>
      <c r="I1082">
        <f>VLOOKUP(C1082,year[],2,FALSE)</f>
        <v>0</v>
      </c>
      <c r="J1082">
        <f>VLOOKUP(E1082,showing[],2,FALSE)</f>
        <v>8</v>
      </c>
      <c r="K1082">
        <f>Сектора[[#This Row],[Значение]]</f>
        <v>0.46684425027469278</v>
      </c>
      <c r="L1082" t="str">
        <f t="shared" si="16"/>
        <v>INSERT INTO msfo.statements (id_company, id_year, id_showing, value) VALUES (9,0,8,0,466844250274693);</v>
      </c>
    </row>
    <row r="1083" spans="1:12">
      <c r="A1083" s="28" t="s">
        <v>43</v>
      </c>
      <c r="B1083" s="28" t="s">
        <v>33</v>
      </c>
      <c r="C1083" s="28">
        <v>2011</v>
      </c>
      <c r="D1083" s="28" t="s">
        <v>1</v>
      </c>
      <c r="E1083" s="28" t="s">
        <v>11</v>
      </c>
      <c r="F1083" s="28">
        <v>0.48068552650247837</v>
      </c>
      <c r="H1083">
        <f>VLOOKUP(A1083&amp;B1083,ticker_sector[],2,FALSE)</f>
        <v>9</v>
      </c>
      <c r="I1083">
        <f>VLOOKUP(C1083,year[],2,FALSE)</f>
        <v>1</v>
      </c>
      <c r="J1083">
        <f>VLOOKUP(E1083,showing[],2,FALSE)</f>
        <v>8</v>
      </c>
      <c r="K1083">
        <f>Сектора[[#This Row],[Значение]]</f>
        <v>0.48068552650247837</v>
      </c>
      <c r="L1083" t="str">
        <f t="shared" si="16"/>
        <v>INSERT INTO msfo.statements (id_company, id_year, id_showing, value) VALUES (9,1,8,0,480685526502478);</v>
      </c>
    </row>
    <row r="1084" spans="1:12">
      <c r="A1084" s="28" t="s">
        <v>43</v>
      </c>
      <c r="B1084" s="28" t="s">
        <v>33</v>
      </c>
      <c r="C1084" s="28">
        <v>2012</v>
      </c>
      <c r="D1084" s="28" t="s">
        <v>1</v>
      </c>
      <c r="E1084" s="28" t="s">
        <v>11</v>
      </c>
      <c r="F1084" s="28">
        <v>0.46514954402179892</v>
      </c>
      <c r="H1084">
        <f>VLOOKUP(A1084&amp;B1084,ticker_sector[],2,FALSE)</f>
        <v>9</v>
      </c>
      <c r="I1084">
        <f>VLOOKUP(C1084,year[],2,FALSE)</f>
        <v>2</v>
      </c>
      <c r="J1084">
        <f>VLOOKUP(E1084,showing[],2,FALSE)</f>
        <v>8</v>
      </c>
      <c r="K1084">
        <f>Сектора[[#This Row],[Значение]]</f>
        <v>0.46514954402179892</v>
      </c>
      <c r="L1084" t="str">
        <f t="shared" si="16"/>
        <v>INSERT INTO msfo.statements (id_company, id_year, id_showing, value) VALUES (9,2,8,0,465149544021799);</v>
      </c>
    </row>
    <row r="1085" spans="1:12">
      <c r="A1085" s="28" t="s">
        <v>43</v>
      </c>
      <c r="B1085" s="28" t="s">
        <v>33</v>
      </c>
      <c r="C1085" s="28">
        <v>2013</v>
      </c>
      <c r="D1085" s="28" t="s">
        <v>1</v>
      </c>
      <c r="E1085" s="28" t="s">
        <v>11</v>
      </c>
      <c r="F1085" s="28">
        <v>0.47225875895211916</v>
      </c>
      <c r="H1085">
        <f>VLOOKUP(A1085&amp;B1085,ticker_sector[],2,FALSE)</f>
        <v>9</v>
      </c>
      <c r="I1085">
        <f>VLOOKUP(C1085,year[],2,FALSE)</f>
        <v>3</v>
      </c>
      <c r="J1085">
        <f>VLOOKUP(E1085,showing[],2,FALSE)</f>
        <v>8</v>
      </c>
      <c r="K1085">
        <f>Сектора[[#This Row],[Значение]]</f>
        <v>0.47225875895211916</v>
      </c>
      <c r="L1085" t="str">
        <f t="shared" si="16"/>
        <v>INSERT INTO msfo.statements (id_company, id_year, id_showing, value) VALUES (9,3,8,0,472258758952119);</v>
      </c>
    </row>
    <row r="1086" spans="1:12">
      <c r="A1086" s="28" t="s">
        <v>43</v>
      </c>
      <c r="B1086" s="28" t="s">
        <v>33</v>
      </c>
      <c r="C1086" s="28">
        <v>2014</v>
      </c>
      <c r="D1086" s="28" t="s">
        <v>1</v>
      </c>
      <c r="E1086" s="28" t="s">
        <v>11</v>
      </c>
      <c r="F1086" s="28">
        <v>0.61111439979682292</v>
      </c>
      <c r="H1086">
        <f>VLOOKUP(A1086&amp;B1086,ticker_sector[],2,FALSE)</f>
        <v>9</v>
      </c>
      <c r="I1086">
        <f>VLOOKUP(C1086,year[],2,FALSE)</f>
        <v>4</v>
      </c>
      <c r="J1086">
        <f>VLOOKUP(E1086,showing[],2,FALSE)</f>
        <v>8</v>
      </c>
      <c r="K1086">
        <f>Сектора[[#This Row],[Значение]]</f>
        <v>0.61111439979682292</v>
      </c>
      <c r="L1086" t="str">
        <f t="shared" si="16"/>
        <v>INSERT INTO msfo.statements (id_company, id_year, id_showing, value) VALUES (9,4,8,0,611114399796823);</v>
      </c>
    </row>
    <row r="1087" spans="1:12">
      <c r="A1087" s="28" t="s">
        <v>43</v>
      </c>
      <c r="B1087" s="28" t="s">
        <v>33</v>
      </c>
      <c r="C1087" s="28">
        <v>2015</v>
      </c>
      <c r="D1087" s="28" t="s">
        <v>1</v>
      </c>
      <c r="E1087" s="28" t="s">
        <v>11</v>
      </c>
      <c r="F1087" s="28">
        <v>0.52949941551050539</v>
      </c>
      <c r="H1087">
        <f>VLOOKUP(A1087&amp;B1087,ticker_sector[],2,FALSE)</f>
        <v>9</v>
      </c>
      <c r="I1087">
        <f>VLOOKUP(C1087,year[],2,FALSE)</f>
        <v>5</v>
      </c>
      <c r="J1087">
        <f>VLOOKUP(E1087,showing[],2,FALSE)</f>
        <v>8</v>
      </c>
      <c r="K1087">
        <f>Сектора[[#This Row],[Значение]]</f>
        <v>0.52949941551050539</v>
      </c>
      <c r="L1087" t="str">
        <f t="shared" si="16"/>
        <v>INSERT INTO msfo.statements (id_company, id_year, id_showing, value) VALUES (9,5,8,0,529499415510505);</v>
      </c>
    </row>
    <row r="1088" spans="1:12">
      <c r="A1088" s="28" t="s">
        <v>43</v>
      </c>
      <c r="B1088" s="28" t="s">
        <v>33</v>
      </c>
      <c r="C1088" s="28">
        <v>2016</v>
      </c>
      <c r="D1088" s="28" t="s">
        <v>1</v>
      </c>
      <c r="E1088" s="28" t="s">
        <v>11</v>
      </c>
      <c r="F1088" s="28">
        <v>0.54715689177923432</v>
      </c>
      <c r="H1088">
        <f>VLOOKUP(A1088&amp;B1088,ticker_sector[],2,FALSE)</f>
        <v>9</v>
      </c>
      <c r="I1088">
        <f>VLOOKUP(C1088,year[],2,FALSE)</f>
        <v>6</v>
      </c>
      <c r="J1088">
        <f>VLOOKUP(E1088,showing[],2,FALSE)</f>
        <v>8</v>
      </c>
      <c r="K1088">
        <f>Сектора[[#This Row],[Значение]]</f>
        <v>0.54715689177923432</v>
      </c>
      <c r="L1088" t="str">
        <f t="shared" si="16"/>
        <v>INSERT INTO msfo.statements (id_company, id_year, id_showing, value) VALUES (9,6,8,0,547156891779234);</v>
      </c>
    </row>
    <row r="1089" spans="1:12">
      <c r="A1089" s="28" t="s">
        <v>43</v>
      </c>
      <c r="B1089" s="28" t="s">
        <v>33</v>
      </c>
      <c r="C1089" s="28">
        <v>2017</v>
      </c>
      <c r="D1089" s="28" t="s">
        <v>1</v>
      </c>
      <c r="E1089" s="28" t="s">
        <v>11</v>
      </c>
      <c r="F1089" s="28">
        <v>0.47805590698234834</v>
      </c>
      <c r="H1089">
        <f>VLOOKUP(A1089&amp;B1089,ticker_sector[],2,FALSE)</f>
        <v>9</v>
      </c>
      <c r="I1089">
        <f>VLOOKUP(C1089,year[],2,FALSE)</f>
        <v>7</v>
      </c>
      <c r="J1089">
        <f>VLOOKUP(E1089,showing[],2,FALSE)</f>
        <v>8</v>
      </c>
      <c r="K1089">
        <f>Сектора[[#This Row],[Значение]]</f>
        <v>0.47805590698234834</v>
      </c>
      <c r="L1089" t="str">
        <f t="shared" si="16"/>
        <v>INSERT INTO msfo.statements (id_company, id_year, id_showing, value) VALUES (9,7,8,0,478055906982348);</v>
      </c>
    </row>
    <row r="1090" spans="1:12">
      <c r="A1090" s="28" t="s">
        <v>43</v>
      </c>
      <c r="B1090" s="28" t="s">
        <v>33</v>
      </c>
      <c r="C1090" s="28">
        <v>2010</v>
      </c>
      <c r="D1090" s="28" t="s">
        <v>4</v>
      </c>
      <c r="E1090" s="28" t="s">
        <v>12</v>
      </c>
      <c r="F1090" s="28">
        <v>355523</v>
      </c>
      <c r="H1090">
        <f>VLOOKUP(A1090&amp;B1090,ticker_sector[],2,FALSE)</f>
        <v>9</v>
      </c>
      <c r="I1090">
        <f>VLOOKUP(C1090,year[],2,FALSE)</f>
        <v>0</v>
      </c>
      <c r="J1090">
        <f>VLOOKUP(E1090,showing[],2,FALSE)</f>
        <v>9</v>
      </c>
      <c r="K1090">
        <f>Сектора[[#This Row],[Значение]]</f>
        <v>355523</v>
      </c>
      <c r="L1090" t="str">
        <f t="shared" si="16"/>
        <v>INSERT INTO msfo.statements (id_company, id_year, id_showing, value) VALUES (9,0,9,355523);</v>
      </c>
    </row>
    <row r="1091" spans="1:12">
      <c r="A1091" s="28" t="s">
        <v>43</v>
      </c>
      <c r="B1091" s="28" t="s">
        <v>33</v>
      </c>
      <c r="C1091" s="28">
        <v>2011</v>
      </c>
      <c r="D1091" s="28" t="s">
        <v>4</v>
      </c>
      <c r="E1091" s="28" t="s">
        <v>12</v>
      </c>
      <c r="F1091" s="28">
        <v>486328</v>
      </c>
      <c r="H1091">
        <f>VLOOKUP(A1091&amp;B1091,ticker_sector[],2,FALSE)</f>
        <v>9</v>
      </c>
      <c r="I1091">
        <f>VLOOKUP(C1091,year[],2,FALSE)</f>
        <v>1</v>
      </c>
      <c r="J1091">
        <f>VLOOKUP(E1091,showing[],2,FALSE)</f>
        <v>9</v>
      </c>
      <c r="K1091">
        <f>Сектора[[#This Row],[Значение]]</f>
        <v>486328</v>
      </c>
      <c r="L1091" t="str">
        <f t="shared" ref="L1091:L1154" si="17">"INSERT INTO msfo.statements (id_company, id_year, id_showing, value) VALUES ("&amp;H1091&amp; ","&amp;I1091&amp; ","&amp;J1091&amp; ","&amp;K1091&amp;");"</f>
        <v>INSERT INTO msfo.statements (id_company, id_year, id_showing, value) VALUES (9,1,9,486328);</v>
      </c>
    </row>
    <row r="1092" spans="1:12">
      <c r="A1092" s="28" t="s">
        <v>43</v>
      </c>
      <c r="B1092" s="28" t="s">
        <v>33</v>
      </c>
      <c r="C1092" s="28">
        <v>2012</v>
      </c>
      <c r="D1092" s="28" t="s">
        <v>4</v>
      </c>
      <c r="E1092" s="28" t="s">
        <v>12</v>
      </c>
      <c r="F1092" s="28">
        <v>532502</v>
      </c>
      <c r="H1092">
        <f>VLOOKUP(A1092&amp;B1092,ticker_sector[],2,FALSE)</f>
        <v>9</v>
      </c>
      <c r="I1092">
        <f>VLOOKUP(C1092,year[],2,FALSE)</f>
        <v>2</v>
      </c>
      <c r="J1092">
        <f>VLOOKUP(E1092,showing[],2,FALSE)</f>
        <v>9</v>
      </c>
      <c r="K1092">
        <f>Сектора[[#This Row],[Значение]]</f>
        <v>532502</v>
      </c>
      <c r="L1092" t="str">
        <f t="shared" si="17"/>
        <v>INSERT INTO msfo.statements (id_company, id_year, id_showing, value) VALUES (9,2,9,532502);</v>
      </c>
    </row>
    <row r="1093" spans="1:12">
      <c r="A1093" s="28" t="s">
        <v>43</v>
      </c>
      <c r="B1093" s="28" t="s">
        <v>33</v>
      </c>
      <c r="C1093" s="28">
        <v>2013</v>
      </c>
      <c r="D1093" s="28" t="s">
        <v>4</v>
      </c>
      <c r="E1093" s="28" t="s">
        <v>12</v>
      </c>
      <c r="F1093" s="28">
        <v>563296</v>
      </c>
      <c r="H1093">
        <f>VLOOKUP(A1093&amp;B1093,ticker_sector[],2,FALSE)</f>
        <v>9</v>
      </c>
      <c r="I1093">
        <f>VLOOKUP(C1093,year[],2,FALSE)</f>
        <v>3</v>
      </c>
      <c r="J1093">
        <f>VLOOKUP(E1093,showing[],2,FALSE)</f>
        <v>9</v>
      </c>
      <c r="K1093">
        <f>Сектора[[#This Row],[Значение]]</f>
        <v>563296</v>
      </c>
      <c r="L1093" t="str">
        <f t="shared" si="17"/>
        <v>INSERT INTO msfo.statements (id_company, id_year, id_showing, value) VALUES (9,3,9,563296);</v>
      </c>
    </row>
    <row r="1094" spans="1:12">
      <c r="A1094" s="28" t="s">
        <v>43</v>
      </c>
      <c r="B1094" s="28" t="s">
        <v>33</v>
      </c>
      <c r="C1094" s="28">
        <v>2014</v>
      </c>
      <c r="D1094" s="28" t="s">
        <v>4</v>
      </c>
      <c r="E1094" s="28" t="s">
        <v>12</v>
      </c>
      <c r="F1094" s="28">
        <v>637271</v>
      </c>
      <c r="H1094">
        <f>VLOOKUP(A1094&amp;B1094,ticker_sector[],2,FALSE)</f>
        <v>9</v>
      </c>
      <c r="I1094">
        <f>VLOOKUP(C1094,year[],2,FALSE)</f>
        <v>4</v>
      </c>
      <c r="J1094">
        <f>VLOOKUP(E1094,showing[],2,FALSE)</f>
        <v>9</v>
      </c>
      <c r="K1094">
        <f>Сектора[[#This Row],[Значение]]</f>
        <v>637271</v>
      </c>
      <c r="L1094" t="str">
        <f t="shared" si="17"/>
        <v>INSERT INTO msfo.statements (id_company, id_year, id_showing, value) VALUES (9,4,9,637271);</v>
      </c>
    </row>
    <row r="1095" spans="1:12">
      <c r="A1095" s="28" t="s">
        <v>43</v>
      </c>
      <c r="B1095" s="28" t="s">
        <v>33</v>
      </c>
      <c r="C1095" s="28">
        <v>2015</v>
      </c>
      <c r="D1095" s="28" t="s">
        <v>4</v>
      </c>
      <c r="E1095" s="28" t="s">
        <v>12</v>
      </c>
      <c r="F1095" s="28">
        <v>611274</v>
      </c>
      <c r="H1095">
        <f>VLOOKUP(A1095&amp;B1095,ticker_sector[],2,FALSE)</f>
        <v>9</v>
      </c>
      <c r="I1095">
        <f>VLOOKUP(C1095,year[],2,FALSE)</f>
        <v>5</v>
      </c>
      <c r="J1095">
        <f>VLOOKUP(E1095,showing[],2,FALSE)</f>
        <v>9</v>
      </c>
      <c r="K1095">
        <f>Сектора[[#This Row],[Значение]]</f>
        <v>611274</v>
      </c>
      <c r="L1095" t="str">
        <f t="shared" si="17"/>
        <v>INSERT INTO msfo.statements (id_company, id_year, id_showing, value) VALUES (9,5,9,611274);</v>
      </c>
    </row>
    <row r="1096" spans="1:12">
      <c r="A1096" s="28" t="s">
        <v>43</v>
      </c>
      <c r="B1096" s="28" t="s">
        <v>33</v>
      </c>
      <c r="C1096" s="28">
        <v>2016</v>
      </c>
      <c r="D1096" s="28" t="s">
        <v>4</v>
      </c>
      <c r="E1096" s="28" t="s">
        <v>12</v>
      </c>
      <c r="F1096" s="28">
        <v>593065</v>
      </c>
      <c r="H1096">
        <f>VLOOKUP(A1096&amp;B1096,ticker_sector[],2,FALSE)</f>
        <v>9</v>
      </c>
      <c r="I1096">
        <f>VLOOKUP(C1096,year[],2,FALSE)</f>
        <v>6</v>
      </c>
      <c r="J1096">
        <f>VLOOKUP(E1096,showing[],2,FALSE)</f>
        <v>9</v>
      </c>
      <c r="K1096">
        <f>Сектора[[#This Row],[Значение]]</f>
        <v>593065</v>
      </c>
      <c r="L1096" t="str">
        <f t="shared" si="17"/>
        <v>INSERT INTO msfo.statements (id_company, id_year, id_showing, value) VALUES (9,6,9,593065);</v>
      </c>
    </row>
    <row r="1097" spans="1:12">
      <c r="A1097" s="28" t="s">
        <v>43</v>
      </c>
      <c r="B1097" s="28" t="s">
        <v>33</v>
      </c>
      <c r="C1097" s="28">
        <v>2017</v>
      </c>
      <c r="D1097" s="28" t="s">
        <v>4</v>
      </c>
      <c r="E1097" s="28" t="s">
        <v>12</v>
      </c>
      <c r="F1097" s="28">
        <v>670964</v>
      </c>
      <c r="H1097">
        <f>VLOOKUP(A1097&amp;B1097,ticker_sector[],2,FALSE)</f>
        <v>9</v>
      </c>
      <c r="I1097">
        <f>VLOOKUP(C1097,year[],2,FALSE)</f>
        <v>7</v>
      </c>
      <c r="J1097">
        <f>VLOOKUP(E1097,showing[],2,FALSE)</f>
        <v>9</v>
      </c>
      <c r="K1097">
        <f>Сектора[[#This Row],[Значение]]</f>
        <v>670964</v>
      </c>
      <c r="L1097" t="str">
        <f t="shared" si="17"/>
        <v>INSERT INTO msfo.statements (id_company, id_year, id_showing, value) VALUES (9,7,9,670964);</v>
      </c>
    </row>
    <row r="1098" spans="1:12">
      <c r="A1098" s="28" t="s">
        <v>43</v>
      </c>
      <c r="B1098" s="28" t="s">
        <v>33</v>
      </c>
      <c r="C1098" s="28">
        <v>2010</v>
      </c>
      <c r="D1098" s="28" t="s">
        <v>4</v>
      </c>
      <c r="E1098" s="28" t="s">
        <v>13</v>
      </c>
      <c r="F1098" s="28">
        <v>42960</v>
      </c>
      <c r="H1098">
        <f>VLOOKUP(A1098&amp;B1098,ticker_sector[],2,FALSE)</f>
        <v>9</v>
      </c>
      <c r="I1098">
        <f>VLOOKUP(C1098,year[],2,FALSE)</f>
        <v>0</v>
      </c>
      <c r="J1098">
        <f>VLOOKUP(E1098,showing[],2,FALSE)</f>
        <v>10</v>
      </c>
      <c r="K1098">
        <f>Сектора[[#This Row],[Значение]]</f>
        <v>42960</v>
      </c>
      <c r="L1098" t="str">
        <f t="shared" si="17"/>
        <v>INSERT INTO msfo.statements (id_company, id_year, id_showing, value) VALUES (9,0,10,42960);</v>
      </c>
    </row>
    <row r="1099" spans="1:12">
      <c r="A1099" s="28" t="s">
        <v>43</v>
      </c>
      <c r="B1099" s="28" t="s">
        <v>33</v>
      </c>
      <c r="C1099" s="28">
        <v>2011</v>
      </c>
      <c r="D1099" s="28" t="s">
        <v>4</v>
      </c>
      <c r="E1099" s="28" t="s">
        <v>13</v>
      </c>
      <c r="F1099" s="28">
        <v>49889</v>
      </c>
      <c r="H1099">
        <f>VLOOKUP(A1099&amp;B1099,ticker_sector[],2,FALSE)</f>
        <v>9</v>
      </c>
      <c r="I1099">
        <f>VLOOKUP(C1099,year[],2,FALSE)</f>
        <v>1</v>
      </c>
      <c r="J1099">
        <f>VLOOKUP(E1099,showing[],2,FALSE)</f>
        <v>10</v>
      </c>
      <c r="K1099">
        <f>Сектора[[#This Row],[Значение]]</f>
        <v>49889</v>
      </c>
      <c r="L1099" t="str">
        <f t="shared" si="17"/>
        <v>INSERT INTO msfo.statements (id_company, id_year, id_showing, value) VALUES (9,1,10,49889);</v>
      </c>
    </row>
    <row r="1100" spans="1:12">
      <c r="A1100" s="28" t="s">
        <v>43</v>
      </c>
      <c r="B1100" s="28" t="s">
        <v>33</v>
      </c>
      <c r="C1100" s="28">
        <v>2012</v>
      </c>
      <c r="D1100" s="28" t="s">
        <v>4</v>
      </c>
      <c r="E1100" s="28" t="s">
        <v>13</v>
      </c>
      <c r="F1100" s="28">
        <v>52291</v>
      </c>
      <c r="H1100">
        <f>VLOOKUP(A1100&amp;B1100,ticker_sector[],2,FALSE)</f>
        <v>9</v>
      </c>
      <c r="I1100">
        <f>VLOOKUP(C1100,year[],2,FALSE)</f>
        <v>2</v>
      </c>
      <c r="J1100">
        <f>VLOOKUP(E1100,showing[],2,FALSE)</f>
        <v>10</v>
      </c>
      <c r="K1100">
        <f>Сектора[[#This Row],[Значение]]</f>
        <v>52291</v>
      </c>
      <c r="L1100" t="str">
        <f t="shared" si="17"/>
        <v>INSERT INTO msfo.statements (id_company, id_year, id_showing, value) VALUES (9,2,10,52291);</v>
      </c>
    </row>
    <row r="1101" spans="1:12">
      <c r="A1101" s="28" t="s">
        <v>43</v>
      </c>
      <c r="B1101" s="28" t="s">
        <v>33</v>
      </c>
      <c r="C1101" s="28">
        <v>2013</v>
      </c>
      <c r="D1101" s="28" t="s">
        <v>4</v>
      </c>
      <c r="E1101" s="28" t="s">
        <v>13</v>
      </c>
      <c r="F1101" s="28">
        <v>46628</v>
      </c>
      <c r="H1101">
        <f>VLOOKUP(A1101&amp;B1101,ticker_sector[],2,FALSE)</f>
        <v>9</v>
      </c>
      <c r="I1101">
        <f>VLOOKUP(C1101,year[],2,FALSE)</f>
        <v>3</v>
      </c>
      <c r="J1101">
        <f>VLOOKUP(E1101,showing[],2,FALSE)</f>
        <v>10</v>
      </c>
      <c r="K1101">
        <f>Сектора[[#This Row],[Значение]]</f>
        <v>46628</v>
      </c>
      <c r="L1101" t="str">
        <f t="shared" si="17"/>
        <v>INSERT INTO msfo.statements (id_company, id_year, id_showing, value) VALUES (9,3,10,46628);</v>
      </c>
    </row>
    <row r="1102" spans="1:12">
      <c r="A1102" s="28" t="s">
        <v>43</v>
      </c>
      <c r="B1102" s="28" t="s">
        <v>33</v>
      </c>
      <c r="C1102" s="28">
        <v>2014</v>
      </c>
      <c r="D1102" s="28" t="s">
        <v>4</v>
      </c>
      <c r="E1102" s="28" t="s">
        <v>13</v>
      </c>
      <c r="F1102" s="28">
        <v>42896</v>
      </c>
      <c r="H1102">
        <f>VLOOKUP(A1102&amp;B1102,ticker_sector[],2,FALSE)</f>
        <v>9</v>
      </c>
      <c r="I1102">
        <f>VLOOKUP(C1102,year[],2,FALSE)</f>
        <v>4</v>
      </c>
      <c r="J1102">
        <f>VLOOKUP(E1102,showing[],2,FALSE)</f>
        <v>10</v>
      </c>
      <c r="K1102">
        <f>Сектора[[#This Row],[Значение]]</f>
        <v>42896</v>
      </c>
      <c r="L1102" t="str">
        <f t="shared" si="17"/>
        <v>INSERT INTO msfo.statements (id_company, id_year, id_showing, value) VALUES (9,4,10,42896);</v>
      </c>
    </row>
    <row r="1103" spans="1:12">
      <c r="A1103" s="28" t="s">
        <v>43</v>
      </c>
      <c r="B1103" s="28" t="s">
        <v>33</v>
      </c>
      <c r="C1103" s="28">
        <v>2015</v>
      </c>
      <c r="D1103" s="28" t="s">
        <v>4</v>
      </c>
      <c r="E1103" s="28" t="s">
        <v>13</v>
      </c>
      <c r="F1103" s="28">
        <v>60953</v>
      </c>
      <c r="H1103">
        <f>VLOOKUP(A1103&amp;B1103,ticker_sector[],2,FALSE)</f>
        <v>9</v>
      </c>
      <c r="I1103">
        <f>VLOOKUP(C1103,year[],2,FALSE)</f>
        <v>5</v>
      </c>
      <c r="J1103">
        <f>VLOOKUP(E1103,showing[],2,FALSE)</f>
        <v>10</v>
      </c>
      <c r="K1103">
        <f>Сектора[[#This Row],[Значение]]</f>
        <v>60953</v>
      </c>
      <c r="L1103" t="str">
        <f t="shared" si="17"/>
        <v>INSERT INTO msfo.statements (id_company, id_year, id_showing, value) VALUES (9,5,10,60953);</v>
      </c>
    </row>
    <row r="1104" spans="1:12">
      <c r="A1104" s="28" t="s">
        <v>43</v>
      </c>
      <c r="B1104" s="28" t="s">
        <v>33</v>
      </c>
      <c r="C1104" s="28">
        <v>2016</v>
      </c>
      <c r="D1104" s="28" t="s">
        <v>4</v>
      </c>
      <c r="E1104" s="28" t="s">
        <v>13</v>
      </c>
      <c r="F1104" s="28">
        <v>52969</v>
      </c>
      <c r="H1104">
        <f>VLOOKUP(A1104&amp;B1104,ticker_sector[],2,FALSE)</f>
        <v>9</v>
      </c>
      <c r="I1104">
        <f>VLOOKUP(C1104,year[],2,FALSE)</f>
        <v>6</v>
      </c>
      <c r="J1104">
        <f>VLOOKUP(E1104,showing[],2,FALSE)</f>
        <v>10</v>
      </c>
      <c r="K1104">
        <f>Сектора[[#This Row],[Значение]]</f>
        <v>52969</v>
      </c>
      <c r="L1104" t="str">
        <f t="shared" si="17"/>
        <v>INSERT INTO msfo.statements (id_company, id_year, id_showing, value) VALUES (9,6,10,52969);</v>
      </c>
    </row>
    <row r="1105" spans="1:12">
      <c r="A1105" s="28" t="s">
        <v>43</v>
      </c>
      <c r="B1105" s="28" t="s">
        <v>33</v>
      </c>
      <c r="C1105" s="28">
        <v>2017</v>
      </c>
      <c r="D1105" s="28" t="s">
        <v>4</v>
      </c>
      <c r="E1105" s="28" t="s">
        <v>13</v>
      </c>
      <c r="F1105" s="28">
        <v>143047</v>
      </c>
      <c r="H1105">
        <f>VLOOKUP(A1105&amp;B1105,ticker_sector[],2,FALSE)</f>
        <v>9</v>
      </c>
      <c r="I1105">
        <f>VLOOKUP(C1105,year[],2,FALSE)</f>
        <v>7</v>
      </c>
      <c r="J1105">
        <f>VLOOKUP(E1105,showing[],2,FALSE)</f>
        <v>10</v>
      </c>
      <c r="K1105">
        <f>Сектора[[#This Row],[Значение]]</f>
        <v>143047</v>
      </c>
      <c r="L1105" t="str">
        <f t="shared" si="17"/>
        <v>INSERT INTO msfo.statements (id_company, id_year, id_showing, value) VALUES (9,7,10,143047);</v>
      </c>
    </row>
    <row r="1106" spans="1:12">
      <c r="A1106" s="28" t="s">
        <v>43</v>
      </c>
      <c r="B1106" s="28" t="s">
        <v>33</v>
      </c>
      <c r="C1106" s="28">
        <v>2010</v>
      </c>
      <c r="D1106" s="28" t="s">
        <v>4</v>
      </c>
      <c r="E1106" s="28" t="s">
        <v>14</v>
      </c>
      <c r="F1106" s="28">
        <v>11665.326854109178</v>
      </c>
      <c r="H1106">
        <f>VLOOKUP(A1106&amp;B1106,ticker_sector[],2,FALSE)</f>
        <v>9</v>
      </c>
      <c r="I1106">
        <f>VLOOKUP(C1106,year[],2,FALSE)</f>
        <v>0</v>
      </c>
      <c r="J1106">
        <f>VLOOKUP(E1106,showing[],2,FALSE)</f>
        <v>11</v>
      </c>
      <c r="K1106">
        <f>Сектора[[#This Row],[Значение]]</f>
        <v>11665.326854109178</v>
      </c>
      <c r="L1106" t="str">
        <f t="shared" si="17"/>
        <v>INSERT INTO msfo.statements (id_company, id_year, id_showing, value) VALUES (9,0,11,11665,3268541092);</v>
      </c>
    </row>
    <row r="1107" spans="1:12">
      <c r="A1107" s="28" t="s">
        <v>43</v>
      </c>
      <c r="B1107" s="28" t="s">
        <v>33</v>
      </c>
      <c r="C1107" s="28">
        <v>2011</v>
      </c>
      <c r="D1107" s="28" t="s">
        <v>4</v>
      </c>
      <c r="E1107" s="28" t="s">
        <v>14</v>
      </c>
      <c r="F1107" s="28">
        <v>15105.183547075578</v>
      </c>
      <c r="H1107">
        <f>VLOOKUP(A1107&amp;B1107,ticker_sector[],2,FALSE)</f>
        <v>9</v>
      </c>
      <c r="I1107">
        <f>VLOOKUP(C1107,year[],2,FALSE)</f>
        <v>1</v>
      </c>
      <c r="J1107">
        <f>VLOOKUP(E1107,showing[],2,FALSE)</f>
        <v>11</v>
      </c>
      <c r="K1107">
        <f>Сектора[[#This Row],[Значение]]</f>
        <v>15105.183547075578</v>
      </c>
      <c r="L1107" t="str">
        <f t="shared" si="17"/>
        <v>INSERT INTO msfo.statements (id_company, id_year, id_showing, value) VALUES (9,1,11,15105,1835470756);</v>
      </c>
    </row>
    <row r="1108" spans="1:12">
      <c r="A1108" s="28" t="s">
        <v>43</v>
      </c>
      <c r="B1108" s="28" t="s">
        <v>33</v>
      </c>
      <c r="C1108" s="28">
        <v>2012</v>
      </c>
      <c r="D1108" s="28" t="s">
        <v>4</v>
      </c>
      <c r="E1108" s="28" t="s">
        <v>14</v>
      </c>
      <c r="F1108" s="28">
        <v>17532.257586582688</v>
      </c>
      <c r="H1108">
        <f>VLOOKUP(A1108&amp;B1108,ticker_sector[],2,FALSE)</f>
        <v>9</v>
      </c>
      <c r="I1108">
        <f>VLOOKUP(C1108,year[],2,FALSE)</f>
        <v>2</v>
      </c>
      <c r="J1108">
        <f>VLOOKUP(E1108,showing[],2,FALSE)</f>
        <v>11</v>
      </c>
      <c r="K1108">
        <f>Сектора[[#This Row],[Значение]]</f>
        <v>17532.257586582688</v>
      </c>
      <c r="L1108" t="str">
        <f t="shared" si="17"/>
        <v>INSERT INTO msfo.statements (id_company, id_year, id_showing, value) VALUES (9,2,11,17532,2575865827);</v>
      </c>
    </row>
    <row r="1109" spans="1:12">
      <c r="A1109" s="28" t="s">
        <v>43</v>
      </c>
      <c r="B1109" s="28" t="s">
        <v>33</v>
      </c>
      <c r="C1109" s="28">
        <v>2013</v>
      </c>
      <c r="D1109" s="28" t="s">
        <v>4</v>
      </c>
      <c r="E1109" s="28" t="s">
        <v>14</v>
      </c>
      <c r="F1109" s="28">
        <v>17210.808696821186</v>
      </c>
      <c r="H1109">
        <f>VLOOKUP(A1109&amp;B1109,ticker_sector[],2,FALSE)</f>
        <v>9</v>
      </c>
      <c r="I1109">
        <f>VLOOKUP(C1109,year[],2,FALSE)</f>
        <v>3</v>
      </c>
      <c r="J1109">
        <f>VLOOKUP(E1109,showing[],2,FALSE)</f>
        <v>11</v>
      </c>
      <c r="K1109">
        <f>Сектора[[#This Row],[Значение]]</f>
        <v>17210.808696821186</v>
      </c>
      <c r="L1109" t="str">
        <f t="shared" si="17"/>
        <v>INSERT INTO msfo.statements (id_company, id_year, id_showing, value) VALUES (9,3,11,17210,8086968212);</v>
      </c>
    </row>
    <row r="1110" spans="1:12">
      <c r="A1110" s="28" t="s">
        <v>43</v>
      </c>
      <c r="B1110" s="28" t="s">
        <v>33</v>
      </c>
      <c r="C1110" s="28">
        <v>2014</v>
      </c>
      <c r="D1110" s="28" t="s">
        <v>4</v>
      </c>
      <c r="E1110" s="28" t="s">
        <v>14</v>
      </c>
      <c r="F1110" s="28">
        <v>11327.57063834023</v>
      </c>
      <c r="H1110">
        <f>VLOOKUP(A1110&amp;B1110,ticker_sector[],2,FALSE)</f>
        <v>9</v>
      </c>
      <c r="I1110">
        <f>VLOOKUP(C1110,year[],2,FALSE)</f>
        <v>4</v>
      </c>
      <c r="J1110">
        <f>VLOOKUP(E1110,showing[],2,FALSE)</f>
        <v>11</v>
      </c>
      <c r="K1110">
        <f>Сектора[[#This Row],[Значение]]</f>
        <v>11327.57063834023</v>
      </c>
      <c r="L1110" t="str">
        <f t="shared" si="17"/>
        <v>INSERT INTO msfo.statements (id_company, id_year, id_showing, value) VALUES (9,4,11,11327,5706383402);</v>
      </c>
    </row>
    <row r="1111" spans="1:12">
      <c r="A1111" s="28" t="s">
        <v>43</v>
      </c>
      <c r="B1111" s="28" t="s">
        <v>33</v>
      </c>
      <c r="C1111" s="28">
        <v>2015</v>
      </c>
      <c r="D1111" s="28" t="s">
        <v>4</v>
      </c>
      <c r="E1111" s="28" t="s">
        <v>14</v>
      </c>
      <c r="F1111" s="28">
        <v>8387.0932333736273</v>
      </c>
      <c r="H1111">
        <f>VLOOKUP(A1111&amp;B1111,ticker_sector[],2,FALSE)</f>
        <v>9</v>
      </c>
      <c r="I1111">
        <f>VLOOKUP(C1111,year[],2,FALSE)</f>
        <v>5</v>
      </c>
      <c r="J1111">
        <f>VLOOKUP(E1111,showing[],2,FALSE)</f>
        <v>11</v>
      </c>
      <c r="K1111">
        <f>Сектора[[#This Row],[Значение]]</f>
        <v>8387.0932333736273</v>
      </c>
      <c r="L1111" t="str">
        <f t="shared" si="17"/>
        <v>INSERT INTO msfo.statements (id_company, id_year, id_showing, value) VALUES (9,5,11,8387,09323337363);</v>
      </c>
    </row>
    <row r="1112" spans="1:12">
      <c r="A1112" s="28" t="s">
        <v>43</v>
      </c>
      <c r="B1112" s="28" t="s">
        <v>33</v>
      </c>
      <c r="C1112" s="28">
        <v>2016</v>
      </c>
      <c r="D1112" s="28" t="s">
        <v>4</v>
      </c>
      <c r="E1112" s="28" t="s">
        <v>14</v>
      </c>
      <c r="F1112" s="28">
        <v>9777.3707525442278</v>
      </c>
      <c r="H1112">
        <f>VLOOKUP(A1112&amp;B1112,ticker_sector[],2,FALSE)</f>
        <v>9</v>
      </c>
      <c r="I1112">
        <f>VLOOKUP(C1112,year[],2,FALSE)</f>
        <v>6</v>
      </c>
      <c r="J1112">
        <f>VLOOKUP(E1112,showing[],2,FALSE)</f>
        <v>11</v>
      </c>
      <c r="K1112">
        <f>Сектора[[#This Row],[Значение]]</f>
        <v>9777.3707525442278</v>
      </c>
      <c r="L1112" t="str">
        <f t="shared" si="17"/>
        <v>INSERT INTO msfo.statements (id_company, id_year, id_showing, value) VALUES (9,6,11,9777,37075254423);</v>
      </c>
    </row>
    <row r="1113" spans="1:12">
      <c r="A1113" s="28" t="s">
        <v>43</v>
      </c>
      <c r="B1113" s="28" t="s">
        <v>33</v>
      </c>
      <c r="C1113" s="28">
        <v>2017</v>
      </c>
      <c r="D1113" s="28" t="s">
        <v>4</v>
      </c>
      <c r="E1113" s="28" t="s">
        <v>14</v>
      </c>
      <c r="F1113" s="28">
        <v>11648.64010888851</v>
      </c>
      <c r="H1113">
        <f>VLOOKUP(A1113&amp;B1113,ticker_sector[],2,FALSE)</f>
        <v>9</v>
      </c>
      <c r="I1113">
        <f>VLOOKUP(C1113,year[],2,FALSE)</f>
        <v>7</v>
      </c>
      <c r="J1113">
        <f>VLOOKUP(E1113,showing[],2,FALSE)</f>
        <v>11</v>
      </c>
      <c r="K1113">
        <f>Сектора[[#This Row],[Значение]]</f>
        <v>11648.64010888851</v>
      </c>
      <c r="L1113" t="str">
        <f t="shared" si="17"/>
        <v>INSERT INTO msfo.statements (id_company, id_year, id_showing, value) VALUES (9,7,11,11648,6401088885);</v>
      </c>
    </row>
    <row r="1114" spans="1:12">
      <c r="A1114" s="28" t="s">
        <v>43</v>
      </c>
      <c r="B1114" s="28" t="s">
        <v>33</v>
      </c>
      <c r="C1114" s="28">
        <v>2010</v>
      </c>
      <c r="D1114" s="28" t="s">
        <v>4</v>
      </c>
      <c r="E1114" s="28" t="s">
        <v>15</v>
      </c>
      <c r="F1114" s="28">
        <v>1409.5921829319911</v>
      </c>
      <c r="H1114">
        <f>VLOOKUP(A1114&amp;B1114,ticker_sector[],2,FALSE)</f>
        <v>9</v>
      </c>
      <c r="I1114">
        <f>VLOOKUP(C1114,year[],2,FALSE)</f>
        <v>0</v>
      </c>
      <c r="J1114">
        <f>VLOOKUP(E1114,showing[],2,FALSE)</f>
        <v>12</v>
      </c>
      <c r="K1114">
        <f>Сектора[[#This Row],[Значение]]</f>
        <v>1409.5921829319911</v>
      </c>
      <c r="L1114" t="str">
        <f t="shared" si="17"/>
        <v>INSERT INTO msfo.statements (id_company, id_year, id_showing, value) VALUES (9,0,12,1409,59218293199);</v>
      </c>
    </row>
    <row r="1115" spans="1:12">
      <c r="A1115" s="28" t="s">
        <v>43</v>
      </c>
      <c r="B1115" s="28" t="s">
        <v>33</v>
      </c>
      <c r="C1115" s="28">
        <v>2011</v>
      </c>
      <c r="D1115" s="28" t="s">
        <v>4</v>
      </c>
      <c r="E1115" s="28" t="s">
        <v>15</v>
      </c>
      <c r="F1115" s="28">
        <v>1549.5355027472272</v>
      </c>
      <c r="H1115">
        <f>VLOOKUP(A1115&amp;B1115,ticker_sector[],2,FALSE)</f>
        <v>9</v>
      </c>
      <c r="I1115">
        <f>VLOOKUP(C1115,year[],2,FALSE)</f>
        <v>1</v>
      </c>
      <c r="J1115">
        <f>VLOOKUP(E1115,showing[],2,FALSE)</f>
        <v>12</v>
      </c>
      <c r="K1115">
        <f>Сектора[[#This Row],[Значение]]</f>
        <v>1549.5355027472272</v>
      </c>
      <c r="L1115" t="str">
        <f t="shared" si="17"/>
        <v>INSERT INTO msfo.statements (id_company, id_year, id_showing, value) VALUES (9,1,12,1549,53550274723);</v>
      </c>
    </row>
    <row r="1116" spans="1:12">
      <c r="A1116" s="28" t="s">
        <v>43</v>
      </c>
      <c r="B1116" s="28" t="s">
        <v>33</v>
      </c>
      <c r="C1116" s="28">
        <v>2012</v>
      </c>
      <c r="D1116" s="28" t="s">
        <v>4</v>
      </c>
      <c r="E1116" s="28" t="s">
        <v>15</v>
      </c>
      <c r="F1116" s="28">
        <v>1721.6447665173002</v>
      </c>
      <c r="H1116">
        <f>VLOOKUP(A1116&amp;B1116,ticker_sector[],2,FALSE)</f>
        <v>9</v>
      </c>
      <c r="I1116">
        <f>VLOOKUP(C1116,year[],2,FALSE)</f>
        <v>2</v>
      </c>
      <c r="J1116">
        <f>VLOOKUP(E1116,showing[],2,FALSE)</f>
        <v>12</v>
      </c>
      <c r="K1116">
        <f>Сектора[[#This Row],[Значение]]</f>
        <v>1721.6447665173002</v>
      </c>
      <c r="L1116" t="str">
        <f t="shared" si="17"/>
        <v>INSERT INTO msfo.statements (id_company, id_year, id_showing, value) VALUES (9,2,12,1721,6447665173);</v>
      </c>
    </row>
    <row r="1117" spans="1:12">
      <c r="A1117" s="28" t="s">
        <v>43</v>
      </c>
      <c r="B1117" s="28" t="s">
        <v>33</v>
      </c>
      <c r="C1117" s="28">
        <v>2013</v>
      </c>
      <c r="D1117" s="28" t="s">
        <v>4</v>
      </c>
      <c r="E1117" s="28" t="s">
        <v>15</v>
      </c>
      <c r="F1117" s="28">
        <v>1424.6605477677426</v>
      </c>
      <c r="H1117">
        <f>VLOOKUP(A1117&amp;B1117,ticker_sector[],2,FALSE)</f>
        <v>9</v>
      </c>
      <c r="I1117">
        <f>VLOOKUP(C1117,year[],2,FALSE)</f>
        <v>3</v>
      </c>
      <c r="J1117">
        <f>VLOOKUP(E1117,showing[],2,FALSE)</f>
        <v>12</v>
      </c>
      <c r="K1117">
        <f>Сектора[[#This Row],[Значение]]</f>
        <v>1424.6605477677426</v>
      </c>
      <c r="L1117" t="str">
        <f t="shared" si="17"/>
        <v>INSERT INTO msfo.statements (id_company, id_year, id_showing, value) VALUES (9,3,12,1424,66054776774);</v>
      </c>
    </row>
    <row r="1118" spans="1:12">
      <c r="A1118" s="28" t="s">
        <v>43</v>
      </c>
      <c r="B1118" s="28" t="s">
        <v>33</v>
      </c>
      <c r="C1118" s="28">
        <v>2014</v>
      </c>
      <c r="D1118" s="28" t="s">
        <v>4</v>
      </c>
      <c r="E1118" s="28" t="s">
        <v>15</v>
      </c>
      <c r="F1118" s="28">
        <v>762.48169162293982</v>
      </c>
      <c r="H1118">
        <f>VLOOKUP(A1118&amp;B1118,ticker_sector[],2,FALSE)</f>
        <v>9</v>
      </c>
      <c r="I1118">
        <f>VLOOKUP(C1118,year[],2,FALSE)</f>
        <v>4</v>
      </c>
      <c r="J1118">
        <f>VLOOKUP(E1118,showing[],2,FALSE)</f>
        <v>12</v>
      </c>
      <c r="K1118">
        <f>Сектора[[#This Row],[Значение]]</f>
        <v>762.48169162293982</v>
      </c>
      <c r="L1118" t="str">
        <f t="shared" si="17"/>
        <v>INSERT INTO msfo.statements (id_company, id_year, id_showing, value) VALUES (9,4,12,762,48169162294);</v>
      </c>
    </row>
    <row r="1119" spans="1:12">
      <c r="A1119" s="28" t="s">
        <v>43</v>
      </c>
      <c r="B1119" s="28" t="s">
        <v>33</v>
      </c>
      <c r="C1119" s="28">
        <v>2015</v>
      </c>
      <c r="D1119" s="28" t="s">
        <v>4</v>
      </c>
      <c r="E1119" s="28" t="s">
        <v>15</v>
      </c>
      <c r="F1119" s="28">
        <v>836.31643723407615</v>
      </c>
      <c r="H1119">
        <f>VLOOKUP(A1119&amp;B1119,ticker_sector[],2,FALSE)</f>
        <v>9</v>
      </c>
      <c r="I1119">
        <f>VLOOKUP(C1119,year[],2,FALSE)</f>
        <v>5</v>
      </c>
      <c r="J1119">
        <f>VLOOKUP(E1119,showing[],2,FALSE)</f>
        <v>12</v>
      </c>
      <c r="K1119">
        <f>Сектора[[#This Row],[Значение]]</f>
        <v>836.31643723407615</v>
      </c>
      <c r="L1119" t="str">
        <f t="shared" si="17"/>
        <v>INSERT INTO msfo.statements (id_company, id_year, id_showing, value) VALUES (9,5,12,836,316437234076);</v>
      </c>
    </row>
    <row r="1120" spans="1:12">
      <c r="A1120" s="28" t="s">
        <v>43</v>
      </c>
      <c r="B1120" s="28" t="s">
        <v>33</v>
      </c>
      <c r="C1120" s="28">
        <v>2016</v>
      </c>
      <c r="D1120" s="28" t="s">
        <v>4</v>
      </c>
      <c r="E1120" s="28" t="s">
        <v>15</v>
      </c>
      <c r="F1120" s="28">
        <v>873.25596923021124</v>
      </c>
      <c r="H1120">
        <f>VLOOKUP(A1120&amp;B1120,ticker_sector[],2,FALSE)</f>
        <v>9</v>
      </c>
      <c r="I1120">
        <f>VLOOKUP(C1120,year[],2,FALSE)</f>
        <v>6</v>
      </c>
      <c r="J1120">
        <f>VLOOKUP(E1120,showing[],2,FALSE)</f>
        <v>12</v>
      </c>
      <c r="K1120">
        <f>Сектора[[#This Row],[Значение]]</f>
        <v>873.25596923021124</v>
      </c>
      <c r="L1120" t="str">
        <f t="shared" si="17"/>
        <v>INSERT INTO msfo.statements (id_company, id_year, id_showing, value) VALUES (9,6,12,873,255969230211);</v>
      </c>
    </row>
    <row r="1121" spans="1:12">
      <c r="A1121" s="28" t="s">
        <v>43</v>
      </c>
      <c r="B1121" s="28" t="s">
        <v>33</v>
      </c>
      <c r="C1121" s="28">
        <v>2017</v>
      </c>
      <c r="D1121" s="28" t="s">
        <v>4</v>
      </c>
      <c r="E1121" s="28" t="s">
        <v>15</v>
      </c>
      <c r="F1121" s="28">
        <v>2483.4462380338955</v>
      </c>
      <c r="H1121">
        <f>VLOOKUP(A1121&amp;B1121,ticker_sector[],2,FALSE)</f>
        <v>9</v>
      </c>
      <c r="I1121">
        <f>VLOOKUP(C1121,year[],2,FALSE)</f>
        <v>7</v>
      </c>
      <c r="J1121">
        <f>VLOOKUP(E1121,showing[],2,FALSE)</f>
        <v>12</v>
      </c>
      <c r="K1121">
        <f>Сектора[[#This Row],[Значение]]</f>
        <v>2483.4462380338955</v>
      </c>
      <c r="L1121" t="str">
        <f t="shared" si="17"/>
        <v>INSERT INTO msfo.statements (id_company, id_year, id_showing, value) VALUES (9,7,12,2483,4462380339);</v>
      </c>
    </row>
    <row r="1122" spans="1:12">
      <c r="A1122" s="28" t="s">
        <v>43</v>
      </c>
      <c r="B1122" s="28" t="s">
        <v>33</v>
      </c>
      <c r="C1122" s="28">
        <v>2010</v>
      </c>
      <c r="D1122" s="28" t="s">
        <v>7</v>
      </c>
      <c r="E1122" s="28" t="s">
        <v>16</v>
      </c>
      <c r="F1122" s="28">
        <v>60629</v>
      </c>
      <c r="H1122">
        <f>VLOOKUP(A1122&amp;B1122,ticker_sector[],2,FALSE)</f>
        <v>9</v>
      </c>
      <c r="I1122">
        <f>VLOOKUP(C1122,year[],2,FALSE)</f>
        <v>0</v>
      </c>
      <c r="J1122">
        <f>VLOOKUP(E1122,showing[],2,FALSE)</f>
        <v>13</v>
      </c>
      <c r="K1122">
        <f>Сектора[[#This Row],[Значение]]</f>
        <v>60629</v>
      </c>
      <c r="L1122" t="str">
        <f t="shared" si="17"/>
        <v>INSERT INTO msfo.statements (id_company, id_year, id_showing, value) VALUES (9,0,13,60629);</v>
      </c>
    </row>
    <row r="1123" spans="1:12">
      <c r="A1123" s="28" t="s">
        <v>43</v>
      </c>
      <c r="B1123" s="28" t="s">
        <v>33</v>
      </c>
      <c r="C1123" s="28">
        <v>2011</v>
      </c>
      <c r="D1123" s="28" t="s">
        <v>7</v>
      </c>
      <c r="E1123" s="28" t="s">
        <v>16</v>
      </c>
      <c r="F1123" s="28">
        <v>73891</v>
      </c>
      <c r="H1123">
        <f>VLOOKUP(A1123&amp;B1123,ticker_sector[],2,FALSE)</f>
        <v>9</v>
      </c>
      <c r="I1123">
        <f>VLOOKUP(C1123,year[],2,FALSE)</f>
        <v>1</v>
      </c>
      <c r="J1123">
        <f>VLOOKUP(E1123,showing[],2,FALSE)</f>
        <v>13</v>
      </c>
      <c r="K1123">
        <f>Сектора[[#This Row],[Значение]]</f>
        <v>73891</v>
      </c>
      <c r="L1123" t="str">
        <f t="shared" si="17"/>
        <v>INSERT INTO msfo.statements (id_company, id_year, id_showing, value) VALUES (9,1,13,73891);</v>
      </c>
    </row>
    <row r="1124" spans="1:12">
      <c r="A1124" s="28" t="s">
        <v>43</v>
      </c>
      <c r="B1124" s="28" t="s">
        <v>33</v>
      </c>
      <c r="C1124" s="28">
        <v>2012</v>
      </c>
      <c r="D1124" s="28" t="s">
        <v>7</v>
      </c>
      <c r="E1124" s="28" t="s">
        <v>16</v>
      </c>
      <c r="F1124" s="28">
        <v>77951</v>
      </c>
      <c r="H1124">
        <f>VLOOKUP(A1124&amp;B1124,ticker_sector[],2,FALSE)</f>
        <v>9</v>
      </c>
      <c r="I1124">
        <f>VLOOKUP(C1124,year[],2,FALSE)</f>
        <v>2</v>
      </c>
      <c r="J1124">
        <f>VLOOKUP(E1124,showing[],2,FALSE)</f>
        <v>13</v>
      </c>
      <c r="K1124">
        <f>Сектора[[#This Row],[Значение]]</f>
        <v>77951</v>
      </c>
      <c r="L1124" t="str">
        <f t="shared" si="17"/>
        <v>INSERT INTO msfo.statements (id_company, id_year, id_showing, value) VALUES (9,2,13,77951);</v>
      </c>
    </row>
    <row r="1125" spans="1:12">
      <c r="A1125" s="28" t="s">
        <v>43</v>
      </c>
      <c r="B1125" s="28" t="s">
        <v>33</v>
      </c>
      <c r="C1125" s="28">
        <v>2013</v>
      </c>
      <c r="D1125" s="28" t="s">
        <v>7</v>
      </c>
      <c r="E1125" s="28" t="s">
        <v>16</v>
      </c>
      <c r="F1125" s="28">
        <v>84947</v>
      </c>
      <c r="H1125">
        <f>VLOOKUP(A1125&amp;B1125,ticker_sector[],2,FALSE)</f>
        <v>9</v>
      </c>
      <c r="I1125">
        <f>VLOOKUP(C1125,year[],2,FALSE)</f>
        <v>3</v>
      </c>
      <c r="J1125">
        <f>VLOOKUP(E1125,showing[],2,FALSE)</f>
        <v>13</v>
      </c>
      <c r="K1125">
        <f>Сектора[[#This Row],[Значение]]</f>
        <v>84947</v>
      </c>
      <c r="L1125" t="str">
        <f t="shared" si="17"/>
        <v>INSERT INTO msfo.statements (id_company, id_year, id_showing, value) VALUES (9,3,13,84947);</v>
      </c>
    </row>
    <row r="1126" spans="1:12">
      <c r="A1126" s="28" t="s">
        <v>43</v>
      </c>
      <c r="B1126" s="28" t="s">
        <v>33</v>
      </c>
      <c r="C1126" s="28">
        <v>2014</v>
      </c>
      <c r="D1126" s="28" t="s">
        <v>7</v>
      </c>
      <c r="E1126" s="28" t="s">
        <v>16</v>
      </c>
      <c r="F1126" s="28">
        <v>80535</v>
      </c>
      <c r="H1126">
        <f>VLOOKUP(A1126&amp;B1126,ticker_sector[],2,FALSE)</f>
        <v>9</v>
      </c>
      <c r="I1126">
        <f>VLOOKUP(C1126,year[],2,FALSE)</f>
        <v>4</v>
      </c>
      <c r="J1126">
        <f>VLOOKUP(E1126,showing[],2,FALSE)</f>
        <v>13</v>
      </c>
      <c r="K1126">
        <f>Сектора[[#This Row],[Значение]]</f>
        <v>80535</v>
      </c>
      <c r="L1126" t="str">
        <f t="shared" si="17"/>
        <v>INSERT INTO msfo.statements (id_company, id_year, id_showing, value) VALUES (9,4,13,80535);</v>
      </c>
    </row>
    <row r="1127" spans="1:12">
      <c r="A1127" s="28" t="s">
        <v>43</v>
      </c>
      <c r="B1127" s="28" t="s">
        <v>33</v>
      </c>
      <c r="C1127" s="28">
        <v>2015</v>
      </c>
      <c r="D1127" s="28" t="s">
        <v>7</v>
      </c>
      <c r="E1127" s="28" t="s">
        <v>16</v>
      </c>
      <c r="F1127" s="28">
        <v>98890</v>
      </c>
      <c r="H1127">
        <f>VLOOKUP(A1127&amp;B1127,ticker_sector[],2,FALSE)</f>
        <v>9</v>
      </c>
      <c r="I1127">
        <f>VLOOKUP(C1127,year[],2,FALSE)</f>
        <v>5</v>
      </c>
      <c r="J1127">
        <f>VLOOKUP(E1127,showing[],2,FALSE)</f>
        <v>13</v>
      </c>
      <c r="K1127">
        <f>Сектора[[#This Row],[Значение]]</f>
        <v>98890</v>
      </c>
      <c r="L1127" t="str">
        <f t="shared" si="17"/>
        <v>INSERT INTO msfo.statements (id_company, id_year, id_showing, value) VALUES (9,5,13,98890);</v>
      </c>
    </row>
    <row r="1128" spans="1:12">
      <c r="A1128" s="28" t="s">
        <v>43</v>
      </c>
      <c r="B1128" s="28" t="s">
        <v>33</v>
      </c>
      <c r="C1128" s="28">
        <v>2016</v>
      </c>
      <c r="D1128" s="28" t="s">
        <v>7</v>
      </c>
      <c r="E1128" s="28" t="s">
        <v>16</v>
      </c>
      <c r="F1128" s="28">
        <v>77388</v>
      </c>
      <c r="H1128">
        <f>VLOOKUP(A1128&amp;B1128,ticker_sector[],2,FALSE)</f>
        <v>9</v>
      </c>
      <c r="I1128">
        <f>VLOOKUP(C1128,year[],2,FALSE)</f>
        <v>6</v>
      </c>
      <c r="J1128">
        <f>VLOOKUP(E1128,showing[],2,FALSE)</f>
        <v>13</v>
      </c>
      <c r="K1128">
        <f>Сектора[[#This Row],[Значение]]</f>
        <v>77388</v>
      </c>
      <c r="L1128" t="str">
        <f t="shared" si="17"/>
        <v>INSERT INTO msfo.statements (id_company, id_year, id_showing, value) VALUES (9,6,13,77388);</v>
      </c>
    </row>
    <row r="1129" spans="1:12">
      <c r="A1129" s="28" t="s">
        <v>43</v>
      </c>
      <c r="B1129" s="28" t="s">
        <v>33</v>
      </c>
      <c r="C1129" s="28">
        <v>2017</v>
      </c>
      <c r="D1129" s="28" t="s">
        <v>7</v>
      </c>
      <c r="E1129" s="28" t="s">
        <v>16</v>
      </c>
      <c r="F1129" s="28">
        <v>101834</v>
      </c>
      <c r="H1129">
        <f>VLOOKUP(A1129&amp;B1129,ticker_sector[],2,FALSE)</f>
        <v>9</v>
      </c>
      <c r="I1129">
        <f>VLOOKUP(C1129,year[],2,FALSE)</f>
        <v>7</v>
      </c>
      <c r="J1129">
        <f>VLOOKUP(E1129,showing[],2,FALSE)</f>
        <v>13</v>
      </c>
      <c r="K1129">
        <f>Сектора[[#This Row],[Значение]]</f>
        <v>101834</v>
      </c>
      <c r="L1129" t="str">
        <f t="shared" si="17"/>
        <v>INSERT INTO msfo.statements (id_company, id_year, id_showing, value) VALUES (9,7,13,101834);</v>
      </c>
    </row>
    <row r="1130" spans="1:12">
      <c r="A1130" s="28" t="s">
        <v>43</v>
      </c>
      <c r="B1130" s="28" t="s">
        <v>33</v>
      </c>
      <c r="C1130" s="28">
        <v>2010</v>
      </c>
      <c r="D1130" s="28" t="s">
        <v>7</v>
      </c>
      <c r="E1130" s="28" t="s">
        <v>17</v>
      </c>
      <c r="F1130" s="28">
        <v>1989.3427481141455</v>
      </c>
      <c r="H1130">
        <f>VLOOKUP(A1130&amp;B1130,ticker_sector[],2,FALSE)</f>
        <v>9</v>
      </c>
      <c r="I1130">
        <f>VLOOKUP(C1130,year[],2,FALSE)</f>
        <v>0</v>
      </c>
      <c r="J1130">
        <f>VLOOKUP(E1130,showing[],2,FALSE)</f>
        <v>14</v>
      </c>
      <c r="K1130">
        <f>Сектора[[#This Row],[Значение]]</f>
        <v>1989.3427481141455</v>
      </c>
      <c r="L1130" t="str">
        <f t="shared" si="17"/>
        <v>INSERT INTO msfo.statements (id_company, id_year, id_showing, value) VALUES (9,0,14,1989,34274811415);</v>
      </c>
    </row>
    <row r="1131" spans="1:12">
      <c r="A1131" s="28" t="s">
        <v>43</v>
      </c>
      <c r="B1131" s="28" t="s">
        <v>33</v>
      </c>
      <c r="C1131" s="28">
        <v>2011</v>
      </c>
      <c r="D1131" s="28" t="s">
        <v>7</v>
      </c>
      <c r="E1131" s="28" t="s">
        <v>17</v>
      </c>
      <c r="F1131" s="28">
        <v>2295.0295222092118</v>
      </c>
      <c r="H1131">
        <f>VLOOKUP(A1131&amp;B1131,ticker_sector[],2,FALSE)</f>
        <v>9</v>
      </c>
      <c r="I1131">
        <f>VLOOKUP(C1131,year[],2,FALSE)</f>
        <v>1</v>
      </c>
      <c r="J1131">
        <f>VLOOKUP(E1131,showing[],2,FALSE)</f>
        <v>14</v>
      </c>
      <c r="K1131">
        <f>Сектора[[#This Row],[Значение]]</f>
        <v>2295.0295222092118</v>
      </c>
      <c r="L1131" t="str">
        <f t="shared" si="17"/>
        <v>INSERT INTO msfo.statements (id_company, id_year, id_showing, value) VALUES (9,1,14,2295,02952220921);</v>
      </c>
    </row>
    <row r="1132" spans="1:12">
      <c r="A1132" s="28" t="s">
        <v>43</v>
      </c>
      <c r="B1132" s="28" t="s">
        <v>33</v>
      </c>
      <c r="C1132" s="28">
        <v>2012</v>
      </c>
      <c r="D1132" s="28" t="s">
        <v>7</v>
      </c>
      <c r="E1132" s="28" t="s">
        <v>17</v>
      </c>
      <c r="F1132" s="28">
        <v>2566.4824003134395</v>
      </c>
      <c r="H1132">
        <f>VLOOKUP(A1132&amp;B1132,ticker_sector[],2,FALSE)</f>
        <v>9</v>
      </c>
      <c r="I1132">
        <f>VLOOKUP(C1132,year[],2,FALSE)</f>
        <v>2</v>
      </c>
      <c r="J1132">
        <f>VLOOKUP(E1132,showing[],2,FALSE)</f>
        <v>14</v>
      </c>
      <c r="K1132">
        <f>Сектора[[#This Row],[Значение]]</f>
        <v>2566.4824003134395</v>
      </c>
      <c r="L1132" t="str">
        <f t="shared" si="17"/>
        <v>INSERT INTO msfo.statements (id_company, id_year, id_showing, value) VALUES (9,2,14,2566,48240031344);</v>
      </c>
    </row>
    <row r="1133" spans="1:12">
      <c r="A1133" s="28" t="s">
        <v>43</v>
      </c>
      <c r="B1133" s="28" t="s">
        <v>33</v>
      </c>
      <c r="C1133" s="28">
        <v>2013</v>
      </c>
      <c r="D1133" s="28" t="s">
        <v>7</v>
      </c>
      <c r="E1133" s="28" t="s">
        <v>17</v>
      </c>
      <c r="F1133" s="28">
        <v>2595.4499346149619</v>
      </c>
      <c r="H1133">
        <f>VLOOKUP(A1133&amp;B1133,ticker_sector[],2,FALSE)</f>
        <v>9</v>
      </c>
      <c r="I1133">
        <f>VLOOKUP(C1133,year[],2,FALSE)</f>
        <v>3</v>
      </c>
      <c r="J1133">
        <f>VLOOKUP(E1133,showing[],2,FALSE)</f>
        <v>14</v>
      </c>
      <c r="K1133">
        <f>Сектора[[#This Row],[Значение]]</f>
        <v>2595.4499346149619</v>
      </c>
      <c r="L1133" t="str">
        <f t="shared" si="17"/>
        <v>INSERT INTO msfo.statements (id_company, id_year, id_showing, value) VALUES (9,3,14,2595,44993461496);</v>
      </c>
    </row>
    <row r="1134" spans="1:12">
      <c r="A1134" s="28" t="s">
        <v>43</v>
      </c>
      <c r="B1134" s="28" t="s">
        <v>33</v>
      </c>
      <c r="C1134" s="28">
        <v>2014</v>
      </c>
      <c r="D1134" s="28" t="s">
        <v>7</v>
      </c>
      <c r="E1134" s="28" t="s">
        <v>17</v>
      </c>
      <c r="F1134" s="28">
        <v>1431.5195597457446</v>
      </c>
      <c r="H1134">
        <f>VLOOKUP(A1134&amp;B1134,ticker_sector[],2,FALSE)</f>
        <v>9</v>
      </c>
      <c r="I1134">
        <f>VLOOKUP(C1134,year[],2,FALSE)</f>
        <v>4</v>
      </c>
      <c r="J1134">
        <f>VLOOKUP(E1134,showing[],2,FALSE)</f>
        <v>14</v>
      </c>
      <c r="K1134">
        <f>Сектора[[#This Row],[Значение]]</f>
        <v>1431.5195597457446</v>
      </c>
      <c r="L1134" t="str">
        <f t="shared" si="17"/>
        <v>INSERT INTO msfo.statements (id_company, id_year, id_showing, value) VALUES (9,4,14,1431,51955974574);</v>
      </c>
    </row>
    <row r="1135" spans="1:12">
      <c r="A1135" s="28" t="s">
        <v>43</v>
      </c>
      <c r="B1135" s="28" t="s">
        <v>33</v>
      </c>
      <c r="C1135" s="28">
        <v>2015</v>
      </c>
      <c r="D1135" s="28" t="s">
        <v>7</v>
      </c>
      <c r="E1135" s="28" t="s">
        <v>17</v>
      </c>
      <c r="F1135" s="28">
        <v>1356.8377680848816</v>
      </c>
      <c r="H1135">
        <f>VLOOKUP(A1135&amp;B1135,ticker_sector[],2,FALSE)</f>
        <v>9</v>
      </c>
      <c r="I1135">
        <f>VLOOKUP(C1135,year[],2,FALSE)</f>
        <v>5</v>
      </c>
      <c r="J1135">
        <f>VLOOKUP(E1135,showing[],2,FALSE)</f>
        <v>14</v>
      </c>
      <c r="K1135">
        <f>Сектора[[#This Row],[Значение]]</f>
        <v>1356.8377680848816</v>
      </c>
      <c r="L1135" t="str">
        <f t="shared" si="17"/>
        <v>INSERT INTO msfo.statements (id_company, id_year, id_showing, value) VALUES (9,5,14,1356,83776808488);</v>
      </c>
    </row>
    <row r="1136" spans="1:12">
      <c r="A1136" s="28" t="s">
        <v>43</v>
      </c>
      <c r="B1136" s="28" t="s">
        <v>33</v>
      </c>
      <c r="C1136" s="28">
        <v>2016</v>
      </c>
      <c r="D1136" s="28" t="s">
        <v>7</v>
      </c>
      <c r="E1136" s="28" t="s">
        <v>17</v>
      </c>
      <c r="F1136" s="28">
        <v>1275.8317685209761</v>
      </c>
      <c r="H1136">
        <f>VLOOKUP(A1136&amp;B1136,ticker_sector[],2,FALSE)</f>
        <v>9</v>
      </c>
      <c r="I1136">
        <f>VLOOKUP(C1136,year[],2,FALSE)</f>
        <v>6</v>
      </c>
      <c r="J1136">
        <f>VLOOKUP(E1136,showing[],2,FALSE)</f>
        <v>14</v>
      </c>
      <c r="K1136">
        <f>Сектора[[#This Row],[Значение]]</f>
        <v>1275.8317685209761</v>
      </c>
      <c r="L1136" t="str">
        <f t="shared" si="17"/>
        <v>INSERT INTO msfo.statements (id_company, id_year, id_showing, value) VALUES (9,6,14,1275,83176852098);</v>
      </c>
    </row>
    <row r="1137" spans="1:12">
      <c r="A1137" s="28" t="s">
        <v>43</v>
      </c>
      <c r="B1137" s="28" t="s">
        <v>33</v>
      </c>
      <c r="C1137" s="28">
        <v>2017</v>
      </c>
      <c r="D1137" s="28" t="s">
        <v>7</v>
      </c>
      <c r="E1137" s="28" t="s">
        <v>17</v>
      </c>
      <c r="F1137" s="28">
        <v>1767.9452501901035</v>
      </c>
      <c r="H1137">
        <f>VLOOKUP(A1137&amp;B1137,ticker_sector[],2,FALSE)</f>
        <v>9</v>
      </c>
      <c r="I1137">
        <f>VLOOKUP(C1137,year[],2,FALSE)</f>
        <v>7</v>
      </c>
      <c r="J1137">
        <f>VLOOKUP(E1137,showing[],2,FALSE)</f>
        <v>14</v>
      </c>
      <c r="K1137">
        <f>Сектора[[#This Row],[Значение]]</f>
        <v>1767.9452501901035</v>
      </c>
      <c r="L1137" t="str">
        <f t="shared" si="17"/>
        <v>INSERT INTO msfo.statements (id_company, id_year, id_showing, value) VALUES (9,7,14,1767,9452501901);</v>
      </c>
    </row>
    <row r="1138" spans="1:12">
      <c r="A1138" s="28" t="s">
        <v>43</v>
      </c>
      <c r="B1138" s="28" t="s">
        <v>33</v>
      </c>
      <c r="C1138" s="28">
        <v>2010</v>
      </c>
      <c r="D1138" s="28" t="s">
        <v>20</v>
      </c>
      <c r="E1138" s="28" t="s">
        <v>18</v>
      </c>
      <c r="F1138" s="28">
        <v>162.28958069999999</v>
      </c>
      <c r="H1138">
        <f>VLOOKUP(A1138&amp;B1138,ticker_sector[],2,FALSE)</f>
        <v>9</v>
      </c>
      <c r="I1138">
        <f>VLOOKUP(C1138,year[],2,FALSE)</f>
        <v>0</v>
      </c>
      <c r="J1138">
        <f>VLOOKUP(E1138,showing[],2,FALSE)</f>
        <v>15</v>
      </c>
      <c r="K1138">
        <f>Сектора[[#This Row],[Значение]]</f>
        <v>162.28958069999999</v>
      </c>
      <c r="L1138" t="str">
        <f t="shared" si="17"/>
        <v>INSERT INTO msfo.statements (id_company, id_year, id_showing, value) VALUES (9,0,15,162,2895807);</v>
      </c>
    </row>
    <row r="1139" spans="1:12">
      <c r="A1139" s="28" t="s">
        <v>43</v>
      </c>
      <c r="B1139" s="28" t="s">
        <v>33</v>
      </c>
      <c r="C1139" s="28">
        <v>2011</v>
      </c>
      <c r="D1139" s="28" t="s">
        <v>20</v>
      </c>
      <c r="E1139" s="28" t="s">
        <v>18</v>
      </c>
      <c r="F1139" s="28">
        <v>152.27552700000001</v>
      </c>
      <c r="H1139">
        <f>VLOOKUP(A1139&amp;B1139,ticker_sector[],2,FALSE)</f>
        <v>9</v>
      </c>
      <c r="I1139">
        <f>VLOOKUP(C1139,year[],2,FALSE)</f>
        <v>1</v>
      </c>
      <c r="J1139">
        <f>VLOOKUP(E1139,showing[],2,FALSE)</f>
        <v>15</v>
      </c>
      <c r="K1139">
        <f>Сектора[[#This Row],[Значение]]</f>
        <v>152.27552700000001</v>
      </c>
      <c r="L1139" t="str">
        <f t="shared" si="17"/>
        <v>INSERT INTO msfo.statements (id_company, id_year, id_showing, value) VALUES (9,1,15,152,275527);</v>
      </c>
    </row>
    <row r="1140" spans="1:12">
      <c r="A1140" s="28" t="s">
        <v>43</v>
      </c>
      <c r="B1140" s="28" t="s">
        <v>33</v>
      </c>
      <c r="C1140" s="28">
        <v>2012</v>
      </c>
      <c r="D1140" s="28" t="s">
        <v>20</v>
      </c>
      <c r="E1140" s="28" t="s">
        <v>18</v>
      </c>
      <c r="F1140" s="28">
        <v>151.224401</v>
      </c>
      <c r="H1140">
        <f>VLOOKUP(A1140&amp;B1140,ticker_sector[],2,FALSE)</f>
        <v>9</v>
      </c>
      <c r="I1140">
        <f>VLOOKUP(C1140,year[],2,FALSE)</f>
        <v>2</v>
      </c>
      <c r="J1140">
        <f>VLOOKUP(E1140,showing[],2,FALSE)</f>
        <v>15</v>
      </c>
      <c r="K1140">
        <f>Сектора[[#This Row],[Значение]]</f>
        <v>151.224401</v>
      </c>
      <c r="L1140" t="str">
        <f t="shared" si="17"/>
        <v>INSERT INTO msfo.statements (id_company, id_year, id_showing, value) VALUES (9,2,15,151,224401);</v>
      </c>
    </row>
    <row r="1141" spans="1:12">
      <c r="A1141" s="28" t="s">
        <v>43</v>
      </c>
      <c r="B1141" s="28" t="s">
        <v>33</v>
      </c>
      <c r="C1141" s="28">
        <v>2013</v>
      </c>
      <c r="D1141" s="28" t="s">
        <v>20</v>
      </c>
      <c r="E1141" s="28" t="s">
        <v>18</v>
      </c>
      <c r="F1141" s="28">
        <v>157.07550499999999</v>
      </c>
      <c r="H1141">
        <f>VLOOKUP(A1141&amp;B1141,ticker_sector[],2,FALSE)</f>
        <v>9</v>
      </c>
      <c r="I1141">
        <f>VLOOKUP(C1141,year[],2,FALSE)</f>
        <v>3</v>
      </c>
      <c r="J1141">
        <f>VLOOKUP(E1141,showing[],2,FALSE)</f>
        <v>15</v>
      </c>
      <c r="K1141">
        <f>Сектора[[#This Row],[Значение]]</f>
        <v>157.07550499999999</v>
      </c>
      <c r="L1141" t="str">
        <f t="shared" si="17"/>
        <v>INSERT INTO msfo.statements (id_company, id_year, id_showing, value) VALUES (9,3,15,157,075505);</v>
      </c>
    </row>
    <row r="1142" spans="1:12">
      <c r="A1142" s="28" t="s">
        <v>43</v>
      </c>
      <c r="B1142" s="28" t="s">
        <v>33</v>
      </c>
      <c r="C1142" s="28">
        <v>2014</v>
      </c>
      <c r="D1142" s="28" t="s">
        <v>20</v>
      </c>
      <c r="E1142" s="28" t="s">
        <v>18</v>
      </c>
      <c r="F1142" s="28">
        <v>148.58687599999999</v>
      </c>
      <c r="H1142">
        <f>VLOOKUP(A1142&amp;B1142,ticker_sector[],2,FALSE)</f>
        <v>9</v>
      </c>
      <c r="I1142">
        <f>VLOOKUP(C1142,year[],2,FALSE)</f>
        <v>4</v>
      </c>
      <c r="J1142">
        <f>VLOOKUP(E1142,showing[],2,FALSE)</f>
        <v>15</v>
      </c>
      <c r="K1142">
        <f>Сектора[[#This Row],[Значение]]</f>
        <v>148.58687599999999</v>
      </c>
      <c r="L1142" t="str">
        <f t="shared" si="17"/>
        <v>INSERT INTO msfo.statements (id_company, id_year, id_showing, value) VALUES (9,4,15,148,586876);</v>
      </c>
    </row>
    <row r="1143" spans="1:12">
      <c r="A1143" s="28" t="s">
        <v>43</v>
      </c>
      <c r="B1143" s="28" t="s">
        <v>33</v>
      </c>
      <c r="C1143" s="28">
        <v>2015</v>
      </c>
      <c r="D1143" s="28" t="s">
        <v>20</v>
      </c>
      <c r="E1143" s="28" t="s">
        <v>18</v>
      </c>
      <c r="F1143" s="28">
        <v>144.41760199999999</v>
      </c>
      <c r="H1143">
        <f>VLOOKUP(A1143&amp;B1143,ticker_sector[],2,FALSE)</f>
        <v>9</v>
      </c>
      <c r="I1143">
        <f>VLOOKUP(C1143,year[],2,FALSE)</f>
        <v>5</v>
      </c>
      <c r="J1143">
        <f>VLOOKUP(E1143,showing[],2,FALSE)</f>
        <v>15</v>
      </c>
      <c r="K1143">
        <f>Сектора[[#This Row],[Значение]]</f>
        <v>144.41760199999999</v>
      </c>
      <c r="L1143" t="str">
        <f t="shared" si="17"/>
        <v>INSERT INTO msfo.statements (id_company, id_year, id_showing, value) VALUES (9,5,15,144,417602);</v>
      </c>
    </row>
    <row r="1144" spans="1:12">
      <c r="A1144" s="28" t="s">
        <v>43</v>
      </c>
      <c r="B1144" s="28" t="s">
        <v>33</v>
      </c>
      <c r="C1144" s="28">
        <v>2016</v>
      </c>
      <c r="D1144" s="28" t="s">
        <v>20</v>
      </c>
      <c r="E1144" s="28" t="s">
        <v>18</v>
      </c>
      <c r="F1144" s="28">
        <v>169.99631600000001</v>
      </c>
      <c r="H1144">
        <f>VLOOKUP(A1144&amp;B1144,ticker_sector[],2,FALSE)</f>
        <v>9</v>
      </c>
      <c r="I1144">
        <f>VLOOKUP(C1144,year[],2,FALSE)</f>
        <v>6</v>
      </c>
      <c r="J1144">
        <f>VLOOKUP(E1144,showing[],2,FALSE)</f>
        <v>15</v>
      </c>
      <c r="K1144">
        <f>Сектора[[#This Row],[Значение]]</f>
        <v>169.99631600000001</v>
      </c>
      <c r="L1144" t="str">
        <f t="shared" si="17"/>
        <v>INSERT INTO msfo.statements (id_company, id_year, id_showing, value) VALUES (9,6,15,169,996316);</v>
      </c>
    </row>
    <row r="1145" spans="1:12">
      <c r="A1145" s="28" t="s">
        <v>43</v>
      </c>
      <c r="B1145" s="28" t="s">
        <v>33</v>
      </c>
      <c r="C1145" s="28">
        <v>2017</v>
      </c>
      <c r="D1145" s="28" t="s">
        <v>20</v>
      </c>
      <c r="E1145" s="28" t="s">
        <v>18</v>
      </c>
      <c r="F1145" s="28">
        <v>169.79819800000001</v>
      </c>
      <c r="H1145">
        <f>VLOOKUP(A1145&amp;B1145,ticker_sector[],2,FALSE)</f>
        <v>9</v>
      </c>
      <c r="I1145">
        <f>VLOOKUP(C1145,year[],2,FALSE)</f>
        <v>7</v>
      </c>
      <c r="J1145">
        <f>VLOOKUP(E1145,showing[],2,FALSE)</f>
        <v>15</v>
      </c>
      <c r="K1145">
        <f>Сектора[[#This Row],[Значение]]</f>
        <v>169.79819800000001</v>
      </c>
      <c r="L1145" t="str">
        <f t="shared" si="17"/>
        <v>INSERT INTO msfo.statements (id_company, id_year, id_showing, value) VALUES (9,7,15,169,798198);</v>
      </c>
    </row>
    <row r="1146" spans="1:12">
      <c r="A1146" s="28" t="s">
        <v>43</v>
      </c>
      <c r="B1146" s="28" t="s">
        <v>33</v>
      </c>
      <c r="C1146" s="28">
        <v>2010</v>
      </c>
      <c r="D1146" s="28" t="s">
        <v>20</v>
      </c>
      <c r="E1146" s="28" t="s">
        <v>19</v>
      </c>
      <c r="F1146" s="28">
        <v>1342</v>
      </c>
      <c r="H1146">
        <f>VLOOKUP(A1146&amp;B1146,ticker_sector[],2,FALSE)</f>
        <v>9</v>
      </c>
      <c r="I1146">
        <f>VLOOKUP(C1146,year[],2,FALSE)</f>
        <v>0</v>
      </c>
      <c r="J1146">
        <f>VLOOKUP(E1146,showing[],2,FALSE)</f>
        <v>16</v>
      </c>
      <c r="K1146">
        <f>Сектора[[#This Row],[Значение]]</f>
        <v>1342</v>
      </c>
      <c r="L1146" t="str">
        <f t="shared" si="17"/>
        <v>INSERT INTO msfo.statements (id_company, id_year, id_showing, value) VALUES (9,0,16,1342);</v>
      </c>
    </row>
    <row r="1147" spans="1:12">
      <c r="A1147" s="28" t="s">
        <v>43</v>
      </c>
      <c r="B1147" s="28" t="s">
        <v>33</v>
      </c>
      <c r="C1147" s="28">
        <v>2011</v>
      </c>
      <c r="D1147" s="28" t="s">
        <v>20</v>
      </c>
      <c r="E1147" s="28" t="s">
        <v>19</v>
      </c>
      <c r="F1147" s="28">
        <v>1342</v>
      </c>
      <c r="H1147">
        <f>VLOOKUP(A1147&amp;B1147,ticker_sector[],2,FALSE)</f>
        <v>9</v>
      </c>
      <c r="I1147">
        <f>VLOOKUP(C1147,year[],2,FALSE)</f>
        <v>1</v>
      </c>
      <c r="J1147">
        <f>VLOOKUP(E1147,showing[],2,FALSE)</f>
        <v>16</v>
      </c>
      <c r="K1147">
        <f>Сектора[[#This Row],[Значение]]</f>
        <v>1342</v>
      </c>
      <c r="L1147" t="str">
        <f t="shared" si="17"/>
        <v>INSERT INTO msfo.statements (id_company, id_year, id_showing, value) VALUES (9,1,16,1342);</v>
      </c>
    </row>
    <row r="1148" spans="1:12">
      <c r="A1148" s="28" t="s">
        <v>43</v>
      </c>
      <c r="B1148" s="28" t="s">
        <v>33</v>
      </c>
      <c r="C1148" s="28">
        <v>2012</v>
      </c>
      <c r="D1148" s="28" t="s">
        <v>20</v>
      </c>
      <c r="E1148" s="28" t="s">
        <v>19</v>
      </c>
      <c r="F1148" s="28">
        <v>1760</v>
      </c>
      <c r="H1148">
        <f>VLOOKUP(A1148&amp;B1148,ticker_sector[],2,FALSE)</f>
        <v>9</v>
      </c>
      <c r="I1148">
        <f>VLOOKUP(C1148,year[],2,FALSE)</f>
        <v>2</v>
      </c>
      <c r="J1148">
        <f>VLOOKUP(E1148,showing[],2,FALSE)</f>
        <v>16</v>
      </c>
      <c r="K1148">
        <f>Сектора[[#This Row],[Значение]]</f>
        <v>1760</v>
      </c>
      <c r="L1148" t="str">
        <f t="shared" si="17"/>
        <v>INSERT INTO msfo.statements (id_company, id_year, id_showing, value) VALUES (9,2,16,1760);</v>
      </c>
    </row>
    <row r="1149" spans="1:12">
      <c r="A1149" s="28" t="s">
        <v>43</v>
      </c>
      <c r="B1149" s="28" t="s">
        <v>33</v>
      </c>
      <c r="C1149" s="28">
        <v>2013</v>
      </c>
      <c r="D1149" s="28" t="s">
        <v>20</v>
      </c>
      <c r="E1149" s="28" t="s">
        <v>19</v>
      </c>
      <c r="F1149" s="28">
        <v>2000</v>
      </c>
      <c r="H1149">
        <f>VLOOKUP(A1149&amp;B1149,ticker_sector[],2,FALSE)</f>
        <v>9</v>
      </c>
      <c r="I1149">
        <f>VLOOKUP(C1149,year[],2,FALSE)</f>
        <v>3</v>
      </c>
      <c r="J1149">
        <f>VLOOKUP(E1149,showing[],2,FALSE)</f>
        <v>16</v>
      </c>
      <c r="K1149">
        <f>Сектора[[#This Row],[Значение]]</f>
        <v>2000</v>
      </c>
      <c r="L1149" t="str">
        <f t="shared" si="17"/>
        <v>INSERT INTO msfo.statements (id_company, id_year, id_showing, value) VALUES (9,3,16,2000);</v>
      </c>
    </row>
    <row r="1150" spans="1:12">
      <c r="A1150" s="28" t="s">
        <v>43</v>
      </c>
      <c r="B1150" s="28" t="s">
        <v>33</v>
      </c>
      <c r="C1150" s="28">
        <v>2014</v>
      </c>
      <c r="D1150" s="28" t="s">
        <v>20</v>
      </c>
      <c r="E1150" s="28" t="s">
        <v>19</v>
      </c>
      <c r="F1150" s="28">
        <v>1250</v>
      </c>
      <c r="H1150">
        <f>VLOOKUP(A1150&amp;B1150,ticker_sector[],2,FALSE)</f>
        <v>9</v>
      </c>
      <c r="I1150">
        <f>VLOOKUP(C1150,year[],2,FALSE)</f>
        <v>4</v>
      </c>
      <c r="J1150">
        <f>VLOOKUP(E1150,showing[],2,FALSE)</f>
        <v>16</v>
      </c>
      <c r="K1150">
        <f>Сектора[[#This Row],[Значение]]</f>
        <v>1250</v>
      </c>
      <c r="L1150" t="str">
        <f t="shared" si="17"/>
        <v>INSERT INTO msfo.statements (id_company, id_year, id_showing, value) VALUES (9,4,16,1250);</v>
      </c>
    </row>
    <row r="1151" spans="1:12">
      <c r="A1151" s="28" t="s">
        <v>43</v>
      </c>
      <c r="B1151" s="28" t="s">
        <v>33</v>
      </c>
      <c r="C1151" s="28">
        <v>2015</v>
      </c>
      <c r="D1151" s="28" t="s">
        <v>20</v>
      </c>
      <c r="E1151" s="28" t="s">
        <v>19</v>
      </c>
      <c r="F1151" s="28">
        <v>1988</v>
      </c>
      <c r="H1151">
        <f>VLOOKUP(A1151&amp;B1151,ticker_sector[],2,FALSE)</f>
        <v>9</v>
      </c>
      <c r="I1151">
        <f>VLOOKUP(C1151,year[],2,FALSE)</f>
        <v>5</v>
      </c>
      <c r="J1151">
        <f>VLOOKUP(E1151,showing[],2,FALSE)</f>
        <v>16</v>
      </c>
      <c r="K1151">
        <f>Сектора[[#This Row],[Значение]]</f>
        <v>1988</v>
      </c>
      <c r="L1151" t="str">
        <f t="shared" si="17"/>
        <v>INSERT INTO msfo.statements (id_company, id_year, id_showing, value) VALUES (9,5,16,1988);</v>
      </c>
    </row>
    <row r="1152" spans="1:12">
      <c r="A1152" s="28" t="s">
        <v>43</v>
      </c>
      <c r="B1152" s="28" t="s">
        <v>33</v>
      </c>
      <c r="C1152" s="28">
        <v>2016</v>
      </c>
      <c r="D1152" s="28" t="s">
        <v>20</v>
      </c>
      <c r="E1152" s="28" t="s">
        <v>19</v>
      </c>
      <c r="F1152" s="28">
        <v>3589</v>
      </c>
      <c r="H1152">
        <f>VLOOKUP(A1152&amp;B1152,ticker_sector[],2,FALSE)</f>
        <v>9</v>
      </c>
      <c r="I1152">
        <f>VLOOKUP(C1152,year[],2,FALSE)</f>
        <v>6</v>
      </c>
      <c r="J1152">
        <f>VLOOKUP(E1152,showing[],2,FALSE)</f>
        <v>16</v>
      </c>
      <c r="K1152">
        <f>Сектора[[#This Row],[Значение]]</f>
        <v>3589</v>
      </c>
      <c r="L1152" t="str">
        <f t="shared" si="17"/>
        <v>INSERT INTO msfo.statements (id_company, id_year, id_showing, value) VALUES (9,6,16,3589);</v>
      </c>
    </row>
    <row r="1153" spans="1:12">
      <c r="A1153" s="28" t="s">
        <v>43</v>
      </c>
      <c r="B1153" s="28" t="s">
        <v>33</v>
      </c>
      <c r="C1153" s="28">
        <v>2017</v>
      </c>
      <c r="D1153" s="28" t="s">
        <v>20</v>
      </c>
      <c r="E1153" s="28" t="s">
        <v>19</v>
      </c>
      <c r="F1153" s="28">
        <v>2274</v>
      </c>
      <c r="H1153">
        <f>VLOOKUP(A1153&amp;B1153,ticker_sector[],2,FALSE)</f>
        <v>9</v>
      </c>
      <c r="I1153">
        <f>VLOOKUP(C1153,year[],2,FALSE)</f>
        <v>7</v>
      </c>
      <c r="J1153">
        <f>VLOOKUP(E1153,showing[],2,FALSE)</f>
        <v>16</v>
      </c>
      <c r="K1153">
        <f>Сектора[[#This Row],[Значение]]</f>
        <v>2274</v>
      </c>
      <c r="L1153" t="str">
        <f t="shared" si="17"/>
        <v>INSERT INTO msfo.statements (id_company, id_year, id_showing, value) VALUES (9,7,16,2274);</v>
      </c>
    </row>
    <row r="1154" spans="1:12">
      <c r="A1154" s="28" t="s">
        <v>44</v>
      </c>
      <c r="B1154" s="28" t="s">
        <v>33</v>
      </c>
      <c r="C1154" s="28">
        <v>2010</v>
      </c>
      <c r="D1154" s="28" t="s">
        <v>1</v>
      </c>
      <c r="E1154" s="28" t="s">
        <v>2</v>
      </c>
      <c r="F1154" s="28">
        <v>7370098</v>
      </c>
      <c r="H1154">
        <f>VLOOKUP(A1154&amp;B1154,ticker_sector[],2,FALSE)</f>
        <v>10</v>
      </c>
      <c r="I1154">
        <f>VLOOKUP(C1154,year[],2,FALSE)</f>
        <v>0</v>
      </c>
      <c r="J1154">
        <f>VLOOKUP(E1154,showing[],2,FALSE)</f>
        <v>1</v>
      </c>
      <c r="K1154">
        <f>Сектора[[#This Row],[Значение]]</f>
        <v>7370098</v>
      </c>
      <c r="L1154" t="str">
        <f t="shared" si="17"/>
        <v>INSERT INTO msfo.statements (id_company, id_year, id_showing, value) VALUES (10,0,1,7370098);</v>
      </c>
    </row>
    <row r="1155" spans="1:12">
      <c r="A1155" s="28" t="s">
        <v>44</v>
      </c>
      <c r="B1155" s="28" t="s">
        <v>33</v>
      </c>
      <c r="C1155" s="28">
        <v>2011</v>
      </c>
      <c r="D1155" s="28" t="s">
        <v>1</v>
      </c>
      <c r="E1155" s="28" t="s">
        <v>2</v>
      </c>
      <c r="F1155" s="28">
        <v>8660403</v>
      </c>
      <c r="H1155">
        <f>VLOOKUP(A1155&amp;B1155,ticker_sector[],2,FALSE)</f>
        <v>10</v>
      </c>
      <c r="I1155">
        <f>VLOOKUP(C1155,year[],2,FALSE)</f>
        <v>1</v>
      </c>
      <c r="J1155">
        <f>VLOOKUP(E1155,showing[],2,FALSE)</f>
        <v>1</v>
      </c>
      <c r="K1155">
        <f>Сектора[[#This Row],[Значение]]</f>
        <v>8660403</v>
      </c>
      <c r="L1155" t="str">
        <f t="shared" ref="L1155:L1218" si="18">"INSERT INTO msfo.statements (id_company, id_year, id_showing, value) VALUES ("&amp;H1155&amp; ","&amp;I1155&amp; ","&amp;J1155&amp; ","&amp;K1155&amp;");"</f>
        <v>INSERT INTO msfo.statements (id_company, id_year, id_showing, value) VALUES (10,1,1,8660403);</v>
      </c>
    </row>
    <row r="1156" spans="1:12">
      <c r="A1156" s="28" t="s">
        <v>44</v>
      </c>
      <c r="B1156" s="28" t="s">
        <v>33</v>
      </c>
      <c r="C1156" s="28">
        <v>2012</v>
      </c>
      <c r="D1156" s="28" t="s">
        <v>1</v>
      </c>
      <c r="E1156" s="28" t="s">
        <v>2</v>
      </c>
      <c r="F1156" s="28">
        <v>9536033</v>
      </c>
      <c r="H1156">
        <f>VLOOKUP(A1156&amp;B1156,ticker_sector[],2,FALSE)</f>
        <v>10</v>
      </c>
      <c r="I1156">
        <f>VLOOKUP(C1156,year[],2,FALSE)</f>
        <v>2</v>
      </c>
      <c r="J1156">
        <f>VLOOKUP(E1156,showing[],2,FALSE)</f>
        <v>1</v>
      </c>
      <c r="K1156">
        <f>Сектора[[#This Row],[Значение]]</f>
        <v>9536033</v>
      </c>
      <c r="L1156" t="str">
        <f t="shared" si="18"/>
        <v>INSERT INTO msfo.statements (id_company, id_year, id_showing, value) VALUES (10,2,1,9536033);</v>
      </c>
    </row>
    <row r="1157" spans="1:12">
      <c r="A1157" s="28" t="s">
        <v>44</v>
      </c>
      <c r="B1157" s="28" t="s">
        <v>33</v>
      </c>
      <c r="C1157" s="28">
        <v>2013</v>
      </c>
      <c r="D1157" s="28" t="s">
        <v>1</v>
      </c>
      <c r="E1157" s="28" t="s">
        <v>2</v>
      </c>
      <c r="F1157" s="28">
        <v>10573566</v>
      </c>
      <c r="H1157">
        <f>VLOOKUP(A1157&amp;B1157,ticker_sector[],2,FALSE)</f>
        <v>10</v>
      </c>
      <c r="I1157">
        <f>VLOOKUP(C1157,year[],2,FALSE)</f>
        <v>3</v>
      </c>
      <c r="J1157">
        <f>VLOOKUP(E1157,showing[],2,FALSE)</f>
        <v>1</v>
      </c>
      <c r="K1157">
        <f>Сектора[[#This Row],[Значение]]</f>
        <v>10573566</v>
      </c>
      <c r="L1157" t="str">
        <f t="shared" si="18"/>
        <v>INSERT INTO msfo.statements (id_company, id_year, id_showing, value) VALUES (10,3,1,10573566);</v>
      </c>
    </row>
    <row r="1158" spans="1:12">
      <c r="A1158" s="28" t="s">
        <v>44</v>
      </c>
      <c r="B1158" s="28" t="s">
        <v>33</v>
      </c>
      <c r="C1158" s="28">
        <v>2014</v>
      </c>
      <c r="D1158" s="28" t="s">
        <v>1</v>
      </c>
      <c r="E1158" s="28" t="s">
        <v>2</v>
      </c>
      <c r="F1158" s="28">
        <v>11716315</v>
      </c>
      <c r="H1158">
        <f>VLOOKUP(A1158&amp;B1158,ticker_sector[],2,FALSE)</f>
        <v>10</v>
      </c>
      <c r="I1158">
        <f>VLOOKUP(C1158,year[],2,FALSE)</f>
        <v>4</v>
      </c>
      <c r="J1158">
        <f>VLOOKUP(E1158,showing[],2,FALSE)</f>
        <v>1</v>
      </c>
      <c r="K1158">
        <f>Сектора[[#This Row],[Значение]]</f>
        <v>11716315</v>
      </c>
      <c r="L1158" t="str">
        <f t="shared" si="18"/>
        <v>INSERT INTO msfo.statements (id_company, id_year, id_showing, value) VALUES (10,4,1,11716315);</v>
      </c>
    </row>
    <row r="1159" spans="1:12">
      <c r="A1159" s="28" t="s">
        <v>44</v>
      </c>
      <c r="B1159" s="28" t="s">
        <v>33</v>
      </c>
      <c r="C1159" s="28">
        <v>2015</v>
      </c>
      <c r="D1159" s="28" t="s">
        <v>1</v>
      </c>
      <c r="E1159" s="28" t="s">
        <v>2</v>
      </c>
      <c r="F1159" s="28">
        <v>13058318</v>
      </c>
      <c r="H1159">
        <f>VLOOKUP(A1159&amp;B1159,ticker_sector[],2,FALSE)</f>
        <v>10</v>
      </c>
      <c r="I1159">
        <f>VLOOKUP(C1159,year[],2,FALSE)</f>
        <v>5</v>
      </c>
      <c r="J1159">
        <f>VLOOKUP(E1159,showing[],2,FALSE)</f>
        <v>1</v>
      </c>
      <c r="K1159">
        <f>Сектора[[#This Row],[Значение]]</f>
        <v>13058318</v>
      </c>
      <c r="L1159" t="str">
        <f t="shared" si="18"/>
        <v>INSERT INTO msfo.statements (id_company, id_year, id_showing, value) VALUES (10,5,1,13058318);</v>
      </c>
    </row>
    <row r="1160" spans="1:12">
      <c r="A1160" s="28" t="s">
        <v>44</v>
      </c>
      <c r="B1160" s="28" t="s">
        <v>33</v>
      </c>
      <c r="C1160" s="28">
        <v>2016</v>
      </c>
      <c r="D1160" s="28" t="s">
        <v>1</v>
      </c>
      <c r="E1160" s="28" t="s">
        <v>2</v>
      </c>
      <c r="F1160" s="28">
        <v>13684592</v>
      </c>
      <c r="H1160">
        <f>VLOOKUP(A1160&amp;B1160,ticker_sector[],2,FALSE)</f>
        <v>10</v>
      </c>
      <c r="I1160">
        <f>VLOOKUP(C1160,year[],2,FALSE)</f>
        <v>6</v>
      </c>
      <c r="J1160">
        <f>VLOOKUP(E1160,showing[],2,FALSE)</f>
        <v>1</v>
      </c>
      <c r="K1160">
        <f>Сектора[[#This Row],[Значение]]</f>
        <v>13684592</v>
      </c>
      <c r="L1160" t="str">
        <f t="shared" si="18"/>
        <v>INSERT INTO msfo.statements (id_company, id_year, id_showing, value) VALUES (10,6,1,13684592);</v>
      </c>
    </row>
    <row r="1161" spans="1:12">
      <c r="A1161" s="28" t="s">
        <v>44</v>
      </c>
      <c r="B1161" s="28" t="s">
        <v>33</v>
      </c>
      <c r="C1161" s="28">
        <v>2017</v>
      </c>
      <c r="D1161" s="28" t="s">
        <v>1</v>
      </c>
      <c r="E1161" s="28" t="s">
        <v>2</v>
      </c>
      <c r="F1161" s="28">
        <v>14769504</v>
      </c>
      <c r="H1161">
        <f>VLOOKUP(A1161&amp;B1161,ticker_sector[],2,FALSE)</f>
        <v>10</v>
      </c>
      <c r="I1161">
        <f>VLOOKUP(C1161,year[],2,FALSE)</f>
        <v>7</v>
      </c>
      <c r="J1161">
        <f>VLOOKUP(E1161,showing[],2,FALSE)</f>
        <v>1</v>
      </c>
      <c r="K1161">
        <f>Сектора[[#This Row],[Значение]]</f>
        <v>14769504</v>
      </c>
      <c r="L1161" t="str">
        <f t="shared" si="18"/>
        <v>INSERT INTO msfo.statements (id_company, id_year, id_showing, value) VALUES (10,7,1,14769504);</v>
      </c>
    </row>
    <row r="1162" spans="1:12">
      <c r="A1162" s="28" t="s">
        <v>44</v>
      </c>
      <c r="B1162" s="28" t="s">
        <v>33</v>
      </c>
      <c r="C1162" s="28">
        <v>2010</v>
      </c>
      <c r="D1162" s="28" t="s">
        <v>1</v>
      </c>
      <c r="E1162" s="28" t="s">
        <v>3</v>
      </c>
      <c r="F1162" s="28">
        <v>1865895</v>
      </c>
      <c r="H1162">
        <f>VLOOKUP(A1162&amp;B1162,ticker_sector[],2,FALSE)</f>
        <v>10</v>
      </c>
      <c r="I1162">
        <f>VLOOKUP(C1162,year[],2,FALSE)</f>
        <v>0</v>
      </c>
      <c r="J1162">
        <f>VLOOKUP(E1162,showing[],2,FALSE)</f>
        <v>2</v>
      </c>
      <c r="K1162">
        <f>Сектора[[#This Row],[Значение]]</f>
        <v>1865895</v>
      </c>
      <c r="L1162" t="str">
        <f t="shared" si="18"/>
        <v>INSERT INTO msfo.statements (id_company, id_year, id_showing, value) VALUES (10,0,2,1865895);</v>
      </c>
    </row>
    <row r="1163" spans="1:12">
      <c r="A1163" s="28" t="s">
        <v>44</v>
      </c>
      <c r="B1163" s="28" t="s">
        <v>33</v>
      </c>
      <c r="C1163" s="28">
        <v>2011</v>
      </c>
      <c r="D1163" s="28" t="s">
        <v>1</v>
      </c>
      <c r="E1163" s="28" t="s">
        <v>3</v>
      </c>
      <c r="F1163" s="28">
        <v>2240293</v>
      </c>
      <c r="H1163">
        <f>VLOOKUP(A1163&amp;B1163,ticker_sector[],2,FALSE)</f>
        <v>10</v>
      </c>
      <c r="I1163">
        <f>VLOOKUP(C1163,year[],2,FALSE)</f>
        <v>1</v>
      </c>
      <c r="J1163">
        <f>VLOOKUP(E1163,showing[],2,FALSE)</f>
        <v>2</v>
      </c>
      <c r="K1163">
        <f>Сектора[[#This Row],[Значение]]</f>
        <v>2240293</v>
      </c>
      <c r="L1163" t="str">
        <f t="shared" si="18"/>
        <v>INSERT INTO msfo.statements (id_company, id_year, id_showing, value) VALUES (10,1,2,2240293);</v>
      </c>
    </row>
    <row r="1164" spans="1:12">
      <c r="A1164" s="28" t="s">
        <v>44</v>
      </c>
      <c r="B1164" s="28" t="s">
        <v>33</v>
      </c>
      <c r="C1164" s="28">
        <v>2012</v>
      </c>
      <c r="D1164" s="28" t="s">
        <v>1</v>
      </c>
      <c r="E1164" s="28" t="s">
        <v>3</v>
      </c>
      <c r="F1164" s="28">
        <v>2420803</v>
      </c>
      <c r="H1164">
        <f>VLOOKUP(A1164&amp;B1164,ticker_sector[],2,FALSE)</f>
        <v>10</v>
      </c>
      <c r="I1164">
        <f>VLOOKUP(C1164,year[],2,FALSE)</f>
        <v>2</v>
      </c>
      <c r="J1164">
        <f>VLOOKUP(E1164,showing[],2,FALSE)</f>
        <v>2</v>
      </c>
      <c r="K1164">
        <f>Сектора[[#This Row],[Значение]]</f>
        <v>2420803</v>
      </c>
      <c r="L1164" t="str">
        <f t="shared" si="18"/>
        <v>INSERT INTO msfo.statements (id_company, id_year, id_showing, value) VALUES (10,2,2,2420803);</v>
      </c>
    </row>
    <row r="1165" spans="1:12">
      <c r="A1165" s="28" t="s">
        <v>44</v>
      </c>
      <c r="B1165" s="28" t="s">
        <v>33</v>
      </c>
      <c r="C1165" s="28">
        <v>2013</v>
      </c>
      <c r="D1165" s="28" t="s">
        <v>1</v>
      </c>
      <c r="E1165" s="28" t="s">
        <v>3</v>
      </c>
      <c r="F1165" s="28">
        <v>2862670</v>
      </c>
      <c r="H1165">
        <f>VLOOKUP(A1165&amp;B1165,ticker_sector[],2,FALSE)</f>
        <v>10</v>
      </c>
      <c r="I1165">
        <f>VLOOKUP(C1165,year[],2,FALSE)</f>
        <v>3</v>
      </c>
      <c r="J1165">
        <f>VLOOKUP(E1165,showing[],2,FALSE)</f>
        <v>2</v>
      </c>
      <c r="K1165">
        <f>Сектора[[#This Row],[Значение]]</f>
        <v>2862670</v>
      </c>
      <c r="L1165" t="str">
        <f t="shared" si="18"/>
        <v>INSERT INTO msfo.statements (id_company, id_year, id_showing, value) VALUES (10,3,2,2862670);</v>
      </c>
    </row>
    <row r="1166" spans="1:12">
      <c r="A1166" s="28" t="s">
        <v>44</v>
      </c>
      <c r="B1166" s="28" t="s">
        <v>33</v>
      </c>
      <c r="C1166" s="28">
        <v>2014</v>
      </c>
      <c r="D1166" s="28" t="s">
        <v>1</v>
      </c>
      <c r="E1166" s="28" t="s">
        <v>3</v>
      </c>
      <c r="F1166" s="28">
        <v>3461155</v>
      </c>
      <c r="H1166">
        <f>VLOOKUP(A1166&amp;B1166,ticker_sector[],2,FALSE)</f>
        <v>10</v>
      </c>
      <c r="I1166">
        <f>VLOOKUP(C1166,year[],2,FALSE)</f>
        <v>4</v>
      </c>
      <c r="J1166">
        <f>VLOOKUP(E1166,showing[],2,FALSE)</f>
        <v>2</v>
      </c>
      <c r="K1166">
        <f>Сектора[[#This Row],[Значение]]</f>
        <v>3461155</v>
      </c>
      <c r="L1166" t="str">
        <f t="shared" si="18"/>
        <v>INSERT INTO msfo.statements (id_company, id_year, id_showing, value) VALUES (10,4,2,3461155);</v>
      </c>
    </row>
    <row r="1167" spans="1:12">
      <c r="A1167" s="28" t="s">
        <v>44</v>
      </c>
      <c r="B1167" s="28" t="s">
        <v>33</v>
      </c>
      <c r="C1167" s="28">
        <v>2015</v>
      </c>
      <c r="D1167" s="28" t="s">
        <v>1</v>
      </c>
      <c r="E1167" s="28" t="s">
        <v>3</v>
      </c>
      <c r="F1167" s="28">
        <v>3993722</v>
      </c>
      <c r="H1167">
        <f>VLOOKUP(A1167&amp;B1167,ticker_sector[],2,FALSE)</f>
        <v>10</v>
      </c>
      <c r="I1167">
        <f>VLOOKUP(C1167,year[],2,FALSE)</f>
        <v>5</v>
      </c>
      <c r="J1167">
        <f>VLOOKUP(E1167,showing[],2,FALSE)</f>
        <v>2</v>
      </c>
      <c r="K1167">
        <f>Сектора[[#This Row],[Значение]]</f>
        <v>3993722</v>
      </c>
      <c r="L1167" t="str">
        <f t="shared" si="18"/>
        <v>INSERT INTO msfo.statements (id_company, id_year, id_showing, value) VALUES (10,5,2,3993722);</v>
      </c>
    </row>
    <row r="1168" spans="1:12">
      <c r="A1168" s="28" t="s">
        <v>44</v>
      </c>
      <c r="B1168" s="28" t="s">
        <v>33</v>
      </c>
      <c r="C1168" s="28">
        <v>2016</v>
      </c>
      <c r="D1168" s="28" t="s">
        <v>1</v>
      </c>
      <c r="E1168" s="28" t="s">
        <v>3</v>
      </c>
      <c r="F1168" s="28">
        <v>3234346</v>
      </c>
      <c r="H1168">
        <f>VLOOKUP(A1168&amp;B1168,ticker_sector[],2,FALSE)</f>
        <v>10</v>
      </c>
      <c r="I1168">
        <f>VLOOKUP(C1168,year[],2,FALSE)</f>
        <v>6</v>
      </c>
      <c r="J1168">
        <f>VLOOKUP(E1168,showing[],2,FALSE)</f>
        <v>2</v>
      </c>
      <c r="K1168">
        <f>Сектора[[#This Row],[Значение]]</f>
        <v>3234346</v>
      </c>
      <c r="L1168" t="str">
        <f t="shared" si="18"/>
        <v>INSERT INTO msfo.statements (id_company, id_year, id_showing, value) VALUES (10,6,2,3234346);</v>
      </c>
    </row>
    <row r="1169" spans="1:12">
      <c r="A1169" s="28" t="s">
        <v>44</v>
      </c>
      <c r="B1169" s="28" t="s">
        <v>33</v>
      </c>
      <c r="C1169" s="28">
        <v>2017</v>
      </c>
      <c r="D1169" s="28" t="s">
        <v>1</v>
      </c>
      <c r="E1169" s="28" t="s">
        <v>3</v>
      </c>
      <c r="F1169" s="28">
        <v>3469266</v>
      </c>
      <c r="H1169">
        <f>VLOOKUP(A1169&amp;B1169,ticker_sector[],2,FALSE)</f>
        <v>10</v>
      </c>
      <c r="I1169">
        <f>VLOOKUP(C1169,year[],2,FALSE)</f>
        <v>7</v>
      </c>
      <c r="J1169">
        <f>VLOOKUP(E1169,showing[],2,FALSE)</f>
        <v>2</v>
      </c>
      <c r="K1169">
        <f>Сектора[[#This Row],[Значение]]</f>
        <v>3469266</v>
      </c>
      <c r="L1169" t="str">
        <f t="shared" si="18"/>
        <v>INSERT INTO msfo.statements (id_company, id_year, id_showing, value) VALUES (10,7,2,3469266);</v>
      </c>
    </row>
    <row r="1170" spans="1:12">
      <c r="A1170" s="28" t="s">
        <v>44</v>
      </c>
      <c r="B1170" s="28" t="s">
        <v>33</v>
      </c>
      <c r="C1170" s="28">
        <v>2010</v>
      </c>
      <c r="D1170" s="28" t="s">
        <v>1</v>
      </c>
      <c r="E1170" s="28" t="s">
        <v>5</v>
      </c>
      <c r="F1170" s="28">
        <v>9235993</v>
      </c>
      <c r="H1170">
        <f>VLOOKUP(A1170&amp;B1170,ticker_sector[],2,FALSE)</f>
        <v>10</v>
      </c>
      <c r="I1170">
        <f>VLOOKUP(C1170,year[],2,FALSE)</f>
        <v>0</v>
      </c>
      <c r="J1170">
        <f>VLOOKUP(E1170,showing[],2,FALSE)</f>
        <v>3</v>
      </c>
      <c r="K1170">
        <f>Сектора[[#This Row],[Значение]]</f>
        <v>9235993</v>
      </c>
      <c r="L1170" t="str">
        <f t="shared" si="18"/>
        <v>INSERT INTO msfo.statements (id_company, id_year, id_showing, value) VALUES (10,0,3,9235993);</v>
      </c>
    </row>
    <row r="1171" spans="1:12">
      <c r="A1171" s="28" t="s">
        <v>44</v>
      </c>
      <c r="B1171" s="28" t="s">
        <v>33</v>
      </c>
      <c r="C1171" s="28">
        <v>2011</v>
      </c>
      <c r="D1171" s="28" t="s">
        <v>1</v>
      </c>
      <c r="E1171" s="28" t="s">
        <v>5</v>
      </c>
      <c r="F1171" s="28">
        <v>10900696</v>
      </c>
      <c r="H1171">
        <f>VLOOKUP(A1171&amp;B1171,ticker_sector[],2,FALSE)</f>
        <v>10</v>
      </c>
      <c r="I1171">
        <f>VLOOKUP(C1171,year[],2,FALSE)</f>
        <v>1</v>
      </c>
      <c r="J1171">
        <f>VLOOKUP(E1171,showing[],2,FALSE)</f>
        <v>3</v>
      </c>
      <c r="K1171">
        <f>Сектора[[#This Row],[Значение]]</f>
        <v>10900696</v>
      </c>
      <c r="L1171" t="str">
        <f t="shared" si="18"/>
        <v>INSERT INTO msfo.statements (id_company, id_year, id_showing, value) VALUES (10,1,3,10900696);</v>
      </c>
    </row>
    <row r="1172" spans="1:12">
      <c r="A1172" s="28" t="s">
        <v>44</v>
      </c>
      <c r="B1172" s="28" t="s">
        <v>33</v>
      </c>
      <c r="C1172" s="28">
        <v>2012</v>
      </c>
      <c r="D1172" s="28" t="s">
        <v>1</v>
      </c>
      <c r="E1172" s="28" t="s">
        <v>5</v>
      </c>
      <c r="F1172" s="28">
        <v>11956836</v>
      </c>
      <c r="H1172">
        <f>VLOOKUP(A1172&amp;B1172,ticker_sector[],2,FALSE)</f>
        <v>10</v>
      </c>
      <c r="I1172">
        <f>VLOOKUP(C1172,year[],2,FALSE)</f>
        <v>2</v>
      </c>
      <c r="J1172">
        <f>VLOOKUP(E1172,showing[],2,FALSE)</f>
        <v>3</v>
      </c>
      <c r="K1172">
        <f>Сектора[[#This Row],[Значение]]</f>
        <v>11956836</v>
      </c>
      <c r="L1172" t="str">
        <f t="shared" si="18"/>
        <v>INSERT INTO msfo.statements (id_company, id_year, id_showing, value) VALUES (10,2,3,11956836);</v>
      </c>
    </row>
    <row r="1173" spans="1:12">
      <c r="A1173" s="28" t="s">
        <v>44</v>
      </c>
      <c r="B1173" s="28" t="s">
        <v>33</v>
      </c>
      <c r="C1173" s="28">
        <v>2013</v>
      </c>
      <c r="D1173" s="28" t="s">
        <v>1</v>
      </c>
      <c r="E1173" s="28" t="s">
        <v>5</v>
      </c>
      <c r="F1173" s="28">
        <v>13436236</v>
      </c>
      <c r="H1173">
        <f>VLOOKUP(A1173&amp;B1173,ticker_sector[],2,FALSE)</f>
        <v>10</v>
      </c>
      <c r="I1173">
        <f>VLOOKUP(C1173,year[],2,FALSE)</f>
        <v>3</v>
      </c>
      <c r="J1173">
        <f>VLOOKUP(E1173,showing[],2,FALSE)</f>
        <v>3</v>
      </c>
      <c r="K1173">
        <f>Сектора[[#This Row],[Значение]]</f>
        <v>13436236</v>
      </c>
      <c r="L1173" t="str">
        <f t="shared" si="18"/>
        <v>INSERT INTO msfo.statements (id_company, id_year, id_showing, value) VALUES (10,3,3,13436236);</v>
      </c>
    </row>
    <row r="1174" spans="1:12">
      <c r="A1174" s="28" t="s">
        <v>44</v>
      </c>
      <c r="B1174" s="28" t="s">
        <v>33</v>
      </c>
      <c r="C1174" s="28">
        <v>2014</v>
      </c>
      <c r="D1174" s="28" t="s">
        <v>1</v>
      </c>
      <c r="E1174" s="28" t="s">
        <v>5</v>
      </c>
      <c r="F1174" s="28">
        <v>15177470</v>
      </c>
      <c r="H1174">
        <f>VLOOKUP(A1174&amp;B1174,ticker_sector[],2,FALSE)</f>
        <v>10</v>
      </c>
      <c r="I1174">
        <f>VLOOKUP(C1174,year[],2,FALSE)</f>
        <v>4</v>
      </c>
      <c r="J1174">
        <f>VLOOKUP(E1174,showing[],2,FALSE)</f>
        <v>3</v>
      </c>
      <c r="K1174">
        <f>Сектора[[#This Row],[Значение]]</f>
        <v>15177470</v>
      </c>
      <c r="L1174" t="str">
        <f t="shared" si="18"/>
        <v>INSERT INTO msfo.statements (id_company, id_year, id_showing, value) VALUES (10,4,3,15177470);</v>
      </c>
    </row>
    <row r="1175" spans="1:12">
      <c r="A1175" s="28" t="s">
        <v>44</v>
      </c>
      <c r="B1175" s="28" t="s">
        <v>33</v>
      </c>
      <c r="C1175" s="28">
        <v>2015</v>
      </c>
      <c r="D1175" s="28" t="s">
        <v>1</v>
      </c>
      <c r="E1175" s="28" t="s">
        <v>5</v>
      </c>
      <c r="F1175" s="28">
        <v>17052040</v>
      </c>
      <c r="H1175">
        <f>VLOOKUP(A1175&amp;B1175,ticker_sector[],2,FALSE)</f>
        <v>10</v>
      </c>
      <c r="I1175">
        <f>VLOOKUP(C1175,year[],2,FALSE)</f>
        <v>5</v>
      </c>
      <c r="J1175">
        <f>VLOOKUP(E1175,showing[],2,FALSE)</f>
        <v>3</v>
      </c>
      <c r="K1175">
        <f>Сектора[[#This Row],[Значение]]</f>
        <v>17052040</v>
      </c>
      <c r="L1175" t="str">
        <f t="shared" si="18"/>
        <v>INSERT INTO msfo.statements (id_company, id_year, id_showing, value) VALUES (10,5,3,17052040);</v>
      </c>
    </row>
    <row r="1176" spans="1:12">
      <c r="A1176" s="28" t="s">
        <v>44</v>
      </c>
      <c r="B1176" s="28" t="s">
        <v>33</v>
      </c>
      <c r="C1176" s="28">
        <v>2016</v>
      </c>
      <c r="D1176" s="28" t="s">
        <v>1</v>
      </c>
      <c r="E1176" s="28" t="s">
        <v>5</v>
      </c>
      <c r="F1176" s="28">
        <v>16918938</v>
      </c>
      <c r="H1176">
        <f>VLOOKUP(A1176&amp;B1176,ticker_sector[],2,FALSE)</f>
        <v>10</v>
      </c>
      <c r="I1176">
        <f>VLOOKUP(C1176,year[],2,FALSE)</f>
        <v>6</v>
      </c>
      <c r="J1176">
        <f>VLOOKUP(E1176,showing[],2,FALSE)</f>
        <v>3</v>
      </c>
      <c r="K1176">
        <f>Сектора[[#This Row],[Значение]]</f>
        <v>16918938</v>
      </c>
      <c r="L1176" t="str">
        <f t="shared" si="18"/>
        <v>INSERT INTO msfo.statements (id_company, id_year, id_showing, value) VALUES (10,6,3,16918938);</v>
      </c>
    </row>
    <row r="1177" spans="1:12">
      <c r="A1177" s="28" t="s">
        <v>44</v>
      </c>
      <c r="B1177" s="28" t="s">
        <v>33</v>
      </c>
      <c r="C1177" s="28">
        <v>2017</v>
      </c>
      <c r="D1177" s="28" t="s">
        <v>1</v>
      </c>
      <c r="E1177" s="28" t="s">
        <v>5</v>
      </c>
      <c r="F1177" s="28">
        <v>18238770</v>
      </c>
      <c r="H1177">
        <f>VLOOKUP(A1177&amp;B1177,ticker_sector[],2,FALSE)</f>
        <v>10</v>
      </c>
      <c r="I1177">
        <f>VLOOKUP(C1177,year[],2,FALSE)</f>
        <v>7</v>
      </c>
      <c r="J1177">
        <f>VLOOKUP(E1177,showing[],2,FALSE)</f>
        <v>3</v>
      </c>
      <c r="K1177">
        <f>Сектора[[#This Row],[Значение]]</f>
        <v>18238770</v>
      </c>
      <c r="L1177" t="str">
        <f t="shared" si="18"/>
        <v>INSERT INTO msfo.statements (id_company, id_year, id_showing, value) VALUES (10,7,3,18238770);</v>
      </c>
    </row>
    <row r="1178" spans="1:12">
      <c r="A1178" s="28" t="s">
        <v>44</v>
      </c>
      <c r="B1178" s="28" t="s">
        <v>33</v>
      </c>
      <c r="C1178" s="28">
        <v>2010</v>
      </c>
      <c r="D1178" s="28" t="s">
        <v>1</v>
      </c>
      <c r="E1178" s="28" t="s">
        <v>6</v>
      </c>
      <c r="F1178" s="28">
        <v>6536361</v>
      </c>
      <c r="H1178">
        <f>VLOOKUP(A1178&amp;B1178,ticker_sector[],2,FALSE)</f>
        <v>10</v>
      </c>
      <c r="I1178">
        <f>VLOOKUP(C1178,year[],2,FALSE)</f>
        <v>0</v>
      </c>
      <c r="J1178">
        <f>VLOOKUP(E1178,showing[],2,FALSE)</f>
        <v>4</v>
      </c>
      <c r="K1178">
        <f>Сектора[[#This Row],[Значение]]</f>
        <v>6536361</v>
      </c>
      <c r="L1178" t="str">
        <f t="shared" si="18"/>
        <v>INSERT INTO msfo.statements (id_company, id_year, id_showing, value) VALUES (10,0,4,6536361);</v>
      </c>
    </row>
    <row r="1179" spans="1:12">
      <c r="A1179" s="28" t="s">
        <v>44</v>
      </c>
      <c r="B1179" s="28" t="s">
        <v>33</v>
      </c>
      <c r="C1179" s="28">
        <v>2011</v>
      </c>
      <c r="D1179" s="28" t="s">
        <v>1</v>
      </c>
      <c r="E1179" s="28" t="s">
        <v>6</v>
      </c>
      <c r="F1179" s="28">
        <v>7760991</v>
      </c>
      <c r="H1179">
        <f>VLOOKUP(A1179&amp;B1179,ticker_sector[],2,FALSE)</f>
        <v>10</v>
      </c>
      <c r="I1179">
        <f>VLOOKUP(C1179,year[],2,FALSE)</f>
        <v>1</v>
      </c>
      <c r="J1179">
        <f>VLOOKUP(E1179,showing[],2,FALSE)</f>
        <v>4</v>
      </c>
      <c r="K1179">
        <f>Сектора[[#This Row],[Значение]]</f>
        <v>7760991</v>
      </c>
      <c r="L1179" t="str">
        <f t="shared" si="18"/>
        <v>INSERT INTO msfo.statements (id_company, id_year, id_showing, value) VALUES (10,1,4,7760991);</v>
      </c>
    </row>
    <row r="1180" spans="1:12">
      <c r="A1180" s="28" t="s">
        <v>44</v>
      </c>
      <c r="B1180" s="28" t="s">
        <v>33</v>
      </c>
      <c r="C1180" s="28">
        <v>2012</v>
      </c>
      <c r="D1180" s="28" t="s">
        <v>1</v>
      </c>
      <c r="E1180" s="28" t="s">
        <v>6</v>
      </c>
      <c r="F1180" s="28">
        <v>8479945</v>
      </c>
      <c r="H1180">
        <f>VLOOKUP(A1180&amp;B1180,ticker_sector[],2,FALSE)</f>
        <v>10</v>
      </c>
      <c r="I1180">
        <f>VLOOKUP(C1180,year[],2,FALSE)</f>
        <v>2</v>
      </c>
      <c r="J1180">
        <f>VLOOKUP(E1180,showing[],2,FALSE)</f>
        <v>4</v>
      </c>
      <c r="K1180">
        <f>Сектора[[#This Row],[Значение]]</f>
        <v>8479945</v>
      </c>
      <c r="L1180" t="str">
        <f t="shared" si="18"/>
        <v>INSERT INTO msfo.statements (id_company, id_year, id_showing, value) VALUES (10,2,4,8479945);</v>
      </c>
    </row>
    <row r="1181" spans="1:12">
      <c r="A1181" s="28" t="s">
        <v>44</v>
      </c>
      <c r="B1181" s="28" t="s">
        <v>33</v>
      </c>
      <c r="C1181" s="28">
        <v>2013</v>
      </c>
      <c r="D1181" s="28" t="s">
        <v>1</v>
      </c>
      <c r="E1181" s="28" t="s">
        <v>6</v>
      </c>
      <c r="F1181" s="28">
        <v>9634354</v>
      </c>
      <c r="H1181">
        <f>VLOOKUP(A1181&amp;B1181,ticker_sector[],2,FALSE)</f>
        <v>10</v>
      </c>
      <c r="I1181">
        <f>VLOOKUP(C1181,year[],2,FALSE)</f>
        <v>3</v>
      </c>
      <c r="J1181">
        <f>VLOOKUP(E1181,showing[],2,FALSE)</f>
        <v>4</v>
      </c>
      <c r="K1181">
        <f>Сектора[[#This Row],[Значение]]</f>
        <v>9634354</v>
      </c>
      <c r="L1181" t="str">
        <f t="shared" si="18"/>
        <v>INSERT INTO msfo.statements (id_company, id_year, id_showing, value) VALUES (10,3,4,9634354);</v>
      </c>
    </row>
    <row r="1182" spans="1:12">
      <c r="A1182" s="28" t="s">
        <v>44</v>
      </c>
      <c r="B1182" s="28" t="s">
        <v>33</v>
      </c>
      <c r="C1182" s="28">
        <v>2014</v>
      </c>
      <c r="D1182" s="28" t="s">
        <v>1</v>
      </c>
      <c r="E1182" s="28" t="s">
        <v>6</v>
      </c>
      <c r="F1182" s="28">
        <v>10120021</v>
      </c>
      <c r="H1182">
        <f>VLOOKUP(A1182&amp;B1182,ticker_sector[],2,FALSE)</f>
        <v>10</v>
      </c>
      <c r="I1182">
        <f>VLOOKUP(C1182,year[],2,FALSE)</f>
        <v>4</v>
      </c>
      <c r="J1182">
        <f>VLOOKUP(E1182,showing[],2,FALSE)</f>
        <v>4</v>
      </c>
      <c r="K1182">
        <f>Сектора[[#This Row],[Значение]]</f>
        <v>10120021</v>
      </c>
      <c r="L1182" t="str">
        <f t="shared" si="18"/>
        <v>INSERT INTO msfo.statements (id_company, id_year, id_showing, value) VALUES (10,4,4,10120021);</v>
      </c>
    </row>
    <row r="1183" spans="1:12">
      <c r="A1183" s="28" t="s">
        <v>44</v>
      </c>
      <c r="B1183" s="28" t="s">
        <v>33</v>
      </c>
      <c r="C1183" s="28">
        <v>2015</v>
      </c>
      <c r="D1183" s="28" t="s">
        <v>1</v>
      </c>
      <c r="E1183" s="28" t="s">
        <v>6</v>
      </c>
      <c r="F1183" s="28">
        <v>10914622</v>
      </c>
      <c r="H1183">
        <f>VLOOKUP(A1183&amp;B1183,ticker_sector[],2,FALSE)</f>
        <v>10</v>
      </c>
      <c r="I1183">
        <f>VLOOKUP(C1183,year[],2,FALSE)</f>
        <v>5</v>
      </c>
      <c r="J1183">
        <f>VLOOKUP(E1183,showing[],2,FALSE)</f>
        <v>4</v>
      </c>
      <c r="K1183">
        <f>Сектора[[#This Row],[Значение]]</f>
        <v>10914622</v>
      </c>
      <c r="L1183" t="str">
        <f t="shared" si="18"/>
        <v>INSERT INTO msfo.statements (id_company, id_year, id_showing, value) VALUES (10,5,4,10914622);</v>
      </c>
    </row>
    <row r="1184" spans="1:12">
      <c r="A1184" s="28" t="s">
        <v>44</v>
      </c>
      <c r="B1184" s="28" t="s">
        <v>33</v>
      </c>
      <c r="C1184" s="28">
        <v>2016</v>
      </c>
      <c r="D1184" s="28" t="s">
        <v>1</v>
      </c>
      <c r="E1184" s="28" t="s">
        <v>6</v>
      </c>
      <c r="F1184" s="28">
        <v>11441839</v>
      </c>
      <c r="H1184">
        <f>VLOOKUP(A1184&amp;B1184,ticker_sector[],2,FALSE)</f>
        <v>10</v>
      </c>
      <c r="I1184">
        <f>VLOOKUP(C1184,year[],2,FALSE)</f>
        <v>6</v>
      </c>
      <c r="J1184">
        <f>VLOOKUP(E1184,showing[],2,FALSE)</f>
        <v>4</v>
      </c>
      <c r="K1184">
        <f>Сектора[[#This Row],[Значение]]</f>
        <v>11441839</v>
      </c>
      <c r="L1184" t="str">
        <f t="shared" si="18"/>
        <v>INSERT INTO msfo.statements (id_company, id_year, id_showing, value) VALUES (10,6,4,11441839);</v>
      </c>
    </row>
    <row r="1185" spans="1:12">
      <c r="A1185" s="28" t="s">
        <v>44</v>
      </c>
      <c r="B1185" s="28" t="s">
        <v>33</v>
      </c>
      <c r="C1185" s="28">
        <v>2017</v>
      </c>
      <c r="D1185" s="28" t="s">
        <v>1</v>
      </c>
      <c r="E1185" s="28" t="s">
        <v>6</v>
      </c>
      <c r="F1185" s="28">
        <v>12015481</v>
      </c>
      <c r="H1185">
        <f>VLOOKUP(A1185&amp;B1185,ticker_sector[],2,FALSE)</f>
        <v>10</v>
      </c>
      <c r="I1185">
        <f>VLOOKUP(C1185,year[],2,FALSE)</f>
        <v>7</v>
      </c>
      <c r="J1185">
        <f>VLOOKUP(E1185,showing[],2,FALSE)</f>
        <v>4</v>
      </c>
      <c r="K1185">
        <f>Сектора[[#This Row],[Значение]]</f>
        <v>12015481</v>
      </c>
      <c r="L1185" t="str">
        <f t="shared" si="18"/>
        <v>INSERT INTO msfo.statements (id_company, id_year, id_showing, value) VALUES (10,7,4,12015481);</v>
      </c>
    </row>
    <row r="1186" spans="1:12">
      <c r="A1186" s="28" t="s">
        <v>44</v>
      </c>
      <c r="B1186" s="28" t="s">
        <v>33</v>
      </c>
      <c r="C1186" s="28">
        <v>2010</v>
      </c>
      <c r="D1186" s="28" t="s">
        <v>1</v>
      </c>
      <c r="E1186" s="28" t="s">
        <v>8</v>
      </c>
      <c r="F1186" s="28">
        <v>1688371</v>
      </c>
      <c r="H1186">
        <f>VLOOKUP(A1186&amp;B1186,ticker_sector[],2,FALSE)</f>
        <v>10</v>
      </c>
      <c r="I1186">
        <f>VLOOKUP(C1186,year[],2,FALSE)</f>
        <v>0</v>
      </c>
      <c r="J1186">
        <f>VLOOKUP(E1186,showing[],2,FALSE)</f>
        <v>5</v>
      </c>
      <c r="K1186">
        <f>Сектора[[#This Row],[Значение]]</f>
        <v>1688371</v>
      </c>
      <c r="L1186" t="str">
        <f t="shared" si="18"/>
        <v>INSERT INTO msfo.statements (id_company, id_year, id_showing, value) VALUES (10,0,5,1688371);</v>
      </c>
    </row>
    <row r="1187" spans="1:12">
      <c r="A1187" s="28" t="s">
        <v>44</v>
      </c>
      <c r="B1187" s="28" t="s">
        <v>33</v>
      </c>
      <c r="C1187" s="28">
        <v>2011</v>
      </c>
      <c r="D1187" s="28" t="s">
        <v>1</v>
      </c>
      <c r="E1187" s="28" t="s">
        <v>8</v>
      </c>
      <c r="F1187" s="28">
        <v>1830450</v>
      </c>
      <c r="H1187">
        <f>VLOOKUP(A1187&amp;B1187,ticker_sector[],2,FALSE)</f>
        <v>10</v>
      </c>
      <c r="I1187">
        <f>VLOOKUP(C1187,year[],2,FALSE)</f>
        <v>1</v>
      </c>
      <c r="J1187">
        <f>VLOOKUP(E1187,showing[],2,FALSE)</f>
        <v>5</v>
      </c>
      <c r="K1187">
        <f>Сектора[[#This Row],[Значение]]</f>
        <v>1830450</v>
      </c>
      <c r="L1187" t="str">
        <f t="shared" si="18"/>
        <v>INSERT INTO msfo.statements (id_company, id_year, id_showing, value) VALUES (10,1,5,1830450);</v>
      </c>
    </row>
    <row r="1188" spans="1:12">
      <c r="A1188" s="28" t="s">
        <v>44</v>
      </c>
      <c r="B1188" s="28" t="s">
        <v>33</v>
      </c>
      <c r="C1188" s="28">
        <v>2012</v>
      </c>
      <c r="D1188" s="28" t="s">
        <v>1</v>
      </c>
      <c r="E1188" s="28" t="s">
        <v>8</v>
      </c>
      <c r="F1188" s="28">
        <v>1984825</v>
      </c>
      <c r="H1188">
        <f>VLOOKUP(A1188&amp;B1188,ticker_sector[],2,FALSE)</f>
        <v>10</v>
      </c>
      <c r="I1188">
        <f>VLOOKUP(C1188,year[],2,FALSE)</f>
        <v>2</v>
      </c>
      <c r="J1188">
        <f>VLOOKUP(E1188,showing[],2,FALSE)</f>
        <v>5</v>
      </c>
      <c r="K1188">
        <f>Сектора[[#This Row],[Значение]]</f>
        <v>1984825</v>
      </c>
      <c r="L1188" t="str">
        <f t="shared" si="18"/>
        <v>INSERT INTO msfo.statements (id_company, id_year, id_showing, value) VALUES (10,2,5,1984825);</v>
      </c>
    </row>
    <row r="1189" spans="1:12">
      <c r="A1189" s="28" t="s">
        <v>44</v>
      </c>
      <c r="B1189" s="28" t="s">
        <v>33</v>
      </c>
      <c r="C1189" s="28">
        <v>2013</v>
      </c>
      <c r="D1189" s="28" t="s">
        <v>1</v>
      </c>
      <c r="E1189" s="28" t="s">
        <v>8</v>
      </c>
      <c r="F1189" s="28">
        <v>2410417</v>
      </c>
      <c r="H1189">
        <f>VLOOKUP(A1189&amp;B1189,ticker_sector[],2,FALSE)</f>
        <v>10</v>
      </c>
      <c r="I1189">
        <f>VLOOKUP(C1189,year[],2,FALSE)</f>
        <v>3</v>
      </c>
      <c r="J1189">
        <f>VLOOKUP(E1189,showing[],2,FALSE)</f>
        <v>5</v>
      </c>
      <c r="K1189">
        <f>Сектора[[#This Row],[Значение]]</f>
        <v>2410417</v>
      </c>
      <c r="L1189" t="str">
        <f t="shared" si="18"/>
        <v>INSERT INTO msfo.statements (id_company, id_year, id_showing, value) VALUES (10,3,5,2410417);</v>
      </c>
    </row>
    <row r="1190" spans="1:12">
      <c r="A1190" s="28" t="s">
        <v>44</v>
      </c>
      <c r="B1190" s="28" t="s">
        <v>33</v>
      </c>
      <c r="C1190" s="28">
        <v>2014</v>
      </c>
      <c r="D1190" s="28" t="s">
        <v>1</v>
      </c>
      <c r="E1190" s="28" t="s">
        <v>8</v>
      </c>
      <c r="F1190" s="28">
        <v>3201502</v>
      </c>
      <c r="H1190">
        <f>VLOOKUP(A1190&amp;B1190,ticker_sector[],2,FALSE)</f>
        <v>10</v>
      </c>
      <c r="I1190">
        <f>VLOOKUP(C1190,year[],2,FALSE)</f>
        <v>4</v>
      </c>
      <c r="J1190">
        <f>VLOOKUP(E1190,showing[],2,FALSE)</f>
        <v>5</v>
      </c>
      <c r="K1190">
        <f>Сектора[[#This Row],[Значение]]</f>
        <v>3201502</v>
      </c>
      <c r="L1190" t="str">
        <f t="shared" si="18"/>
        <v>INSERT INTO msfo.statements (id_company, id_year, id_showing, value) VALUES (10,4,5,3201502);</v>
      </c>
    </row>
    <row r="1191" spans="1:12">
      <c r="A1191" s="28" t="s">
        <v>44</v>
      </c>
      <c r="B1191" s="28" t="s">
        <v>33</v>
      </c>
      <c r="C1191" s="28">
        <v>2015</v>
      </c>
      <c r="D1191" s="28" t="s">
        <v>1</v>
      </c>
      <c r="E1191" s="28" t="s">
        <v>8</v>
      </c>
      <c r="F1191" s="28">
        <v>4012717</v>
      </c>
      <c r="H1191">
        <f>VLOOKUP(A1191&amp;B1191,ticker_sector[],2,FALSE)</f>
        <v>10</v>
      </c>
      <c r="I1191">
        <f>VLOOKUP(C1191,year[],2,FALSE)</f>
        <v>5</v>
      </c>
      <c r="J1191">
        <f>VLOOKUP(E1191,showing[],2,FALSE)</f>
        <v>5</v>
      </c>
      <c r="K1191">
        <f>Сектора[[#This Row],[Значение]]</f>
        <v>4012717</v>
      </c>
      <c r="L1191" t="str">
        <f t="shared" si="18"/>
        <v>INSERT INTO msfo.statements (id_company, id_year, id_showing, value) VALUES (10,5,5,4012717);</v>
      </c>
    </row>
    <row r="1192" spans="1:12">
      <c r="A1192" s="28" t="s">
        <v>44</v>
      </c>
      <c r="B1192" s="28" t="s">
        <v>33</v>
      </c>
      <c r="C1192" s="28">
        <v>2016</v>
      </c>
      <c r="D1192" s="28" t="s">
        <v>1</v>
      </c>
      <c r="E1192" s="28" t="s">
        <v>8</v>
      </c>
      <c r="F1192" s="28">
        <v>3555291</v>
      </c>
      <c r="H1192">
        <f>VLOOKUP(A1192&amp;B1192,ticker_sector[],2,FALSE)</f>
        <v>10</v>
      </c>
      <c r="I1192">
        <f>VLOOKUP(C1192,year[],2,FALSE)</f>
        <v>6</v>
      </c>
      <c r="J1192">
        <f>VLOOKUP(E1192,showing[],2,FALSE)</f>
        <v>5</v>
      </c>
      <c r="K1192">
        <f>Сектора[[#This Row],[Значение]]</f>
        <v>3555291</v>
      </c>
      <c r="L1192" t="str">
        <f t="shared" si="18"/>
        <v>INSERT INTO msfo.statements (id_company, id_year, id_showing, value) VALUES (10,6,5,3555291);</v>
      </c>
    </row>
    <row r="1193" spans="1:12">
      <c r="A1193" s="28" t="s">
        <v>44</v>
      </c>
      <c r="B1193" s="28" t="s">
        <v>33</v>
      </c>
      <c r="C1193" s="28">
        <v>2017</v>
      </c>
      <c r="D1193" s="28" t="s">
        <v>1</v>
      </c>
      <c r="E1193" s="28" t="s">
        <v>8</v>
      </c>
      <c r="F1193" s="28">
        <v>3633773</v>
      </c>
      <c r="H1193">
        <f>VLOOKUP(A1193&amp;B1193,ticker_sector[],2,FALSE)</f>
        <v>10</v>
      </c>
      <c r="I1193">
        <f>VLOOKUP(C1193,year[],2,FALSE)</f>
        <v>7</v>
      </c>
      <c r="J1193">
        <f>VLOOKUP(E1193,showing[],2,FALSE)</f>
        <v>5</v>
      </c>
      <c r="K1193">
        <f>Сектора[[#This Row],[Значение]]</f>
        <v>3633773</v>
      </c>
      <c r="L1193" t="str">
        <f t="shared" si="18"/>
        <v>INSERT INTO msfo.statements (id_company, id_year, id_showing, value) VALUES (10,7,5,3633773);</v>
      </c>
    </row>
    <row r="1194" spans="1:12">
      <c r="A1194" s="28" t="s">
        <v>44</v>
      </c>
      <c r="B1194" s="28" t="s">
        <v>33</v>
      </c>
      <c r="C1194" s="28">
        <v>2010</v>
      </c>
      <c r="D1194" s="28" t="s">
        <v>1</v>
      </c>
      <c r="E1194" s="28" t="s">
        <v>9</v>
      </c>
      <c r="F1194" s="28">
        <v>1011261</v>
      </c>
      <c r="H1194">
        <f>VLOOKUP(A1194&amp;B1194,ticker_sector[],2,FALSE)</f>
        <v>10</v>
      </c>
      <c r="I1194">
        <f>VLOOKUP(C1194,year[],2,FALSE)</f>
        <v>0</v>
      </c>
      <c r="J1194">
        <f>VLOOKUP(E1194,showing[],2,FALSE)</f>
        <v>6</v>
      </c>
      <c r="K1194">
        <f>Сектора[[#This Row],[Значение]]</f>
        <v>1011261</v>
      </c>
      <c r="L1194" t="str">
        <f t="shared" si="18"/>
        <v>INSERT INTO msfo.statements (id_company, id_year, id_showing, value) VALUES (10,0,6,1011261);</v>
      </c>
    </row>
    <row r="1195" spans="1:12">
      <c r="A1195" s="28" t="s">
        <v>44</v>
      </c>
      <c r="B1195" s="28" t="s">
        <v>33</v>
      </c>
      <c r="C1195" s="28">
        <v>2011</v>
      </c>
      <c r="D1195" s="28" t="s">
        <v>1</v>
      </c>
      <c r="E1195" s="28" t="s">
        <v>9</v>
      </c>
      <c r="F1195" s="28">
        <v>1309255</v>
      </c>
      <c r="H1195">
        <f>VLOOKUP(A1195&amp;B1195,ticker_sector[],2,FALSE)</f>
        <v>10</v>
      </c>
      <c r="I1195">
        <f>VLOOKUP(C1195,year[],2,FALSE)</f>
        <v>1</v>
      </c>
      <c r="J1195">
        <f>VLOOKUP(E1195,showing[],2,FALSE)</f>
        <v>6</v>
      </c>
      <c r="K1195">
        <f>Сектора[[#This Row],[Значение]]</f>
        <v>1309255</v>
      </c>
      <c r="L1195" t="str">
        <f t="shared" si="18"/>
        <v>INSERT INTO msfo.statements (id_company, id_year, id_showing, value) VALUES (10,1,6,1309255);</v>
      </c>
    </row>
    <row r="1196" spans="1:12">
      <c r="A1196" s="28" t="s">
        <v>44</v>
      </c>
      <c r="B1196" s="28" t="s">
        <v>33</v>
      </c>
      <c r="C1196" s="28">
        <v>2012</v>
      </c>
      <c r="D1196" s="28" t="s">
        <v>1</v>
      </c>
      <c r="E1196" s="28" t="s">
        <v>9</v>
      </c>
      <c r="F1196" s="28">
        <v>1492066</v>
      </c>
      <c r="H1196">
        <f>VLOOKUP(A1196&amp;B1196,ticker_sector[],2,FALSE)</f>
        <v>10</v>
      </c>
      <c r="I1196">
        <f>VLOOKUP(C1196,year[],2,FALSE)</f>
        <v>2</v>
      </c>
      <c r="J1196">
        <f>VLOOKUP(E1196,showing[],2,FALSE)</f>
        <v>6</v>
      </c>
      <c r="K1196">
        <f>Сектора[[#This Row],[Значение]]</f>
        <v>1492066</v>
      </c>
      <c r="L1196" t="str">
        <f t="shared" si="18"/>
        <v>INSERT INTO msfo.statements (id_company, id_year, id_showing, value) VALUES (10,2,6,1492066);</v>
      </c>
    </row>
    <row r="1197" spans="1:12">
      <c r="A1197" s="28" t="s">
        <v>44</v>
      </c>
      <c r="B1197" s="28" t="s">
        <v>33</v>
      </c>
      <c r="C1197" s="28">
        <v>2013</v>
      </c>
      <c r="D1197" s="28" t="s">
        <v>1</v>
      </c>
      <c r="E1197" s="28" t="s">
        <v>9</v>
      </c>
      <c r="F1197" s="28">
        <v>1391465</v>
      </c>
      <c r="H1197">
        <f>VLOOKUP(A1197&amp;B1197,ticker_sector[],2,FALSE)</f>
        <v>10</v>
      </c>
      <c r="I1197">
        <f>VLOOKUP(C1197,year[],2,FALSE)</f>
        <v>3</v>
      </c>
      <c r="J1197">
        <f>VLOOKUP(E1197,showing[],2,FALSE)</f>
        <v>6</v>
      </c>
      <c r="K1197">
        <f>Сектора[[#This Row],[Значение]]</f>
        <v>1391465</v>
      </c>
      <c r="L1197" t="str">
        <f t="shared" si="18"/>
        <v>INSERT INTO msfo.statements (id_company, id_year, id_showing, value) VALUES (10,3,6,1391465);</v>
      </c>
    </row>
    <row r="1198" spans="1:12">
      <c r="A1198" s="28" t="s">
        <v>44</v>
      </c>
      <c r="B1198" s="28" t="s">
        <v>33</v>
      </c>
      <c r="C1198" s="28">
        <v>2014</v>
      </c>
      <c r="D1198" s="28" t="s">
        <v>1</v>
      </c>
      <c r="E1198" s="28" t="s">
        <v>9</v>
      </c>
      <c r="F1198" s="28">
        <v>1855947</v>
      </c>
      <c r="H1198">
        <f>VLOOKUP(A1198&amp;B1198,ticker_sector[],2,FALSE)</f>
        <v>10</v>
      </c>
      <c r="I1198">
        <f>VLOOKUP(C1198,year[],2,FALSE)</f>
        <v>4</v>
      </c>
      <c r="J1198">
        <f>VLOOKUP(E1198,showing[],2,FALSE)</f>
        <v>6</v>
      </c>
      <c r="K1198">
        <f>Сектора[[#This Row],[Значение]]</f>
        <v>1855947</v>
      </c>
      <c r="L1198" t="str">
        <f t="shared" si="18"/>
        <v>INSERT INTO msfo.statements (id_company, id_year, id_showing, value) VALUES (10,4,6,1855947);</v>
      </c>
    </row>
    <row r="1199" spans="1:12">
      <c r="A1199" s="28" t="s">
        <v>44</v>
      </c>
      <c r="B1199" s="28" t="s">
        <v>33</v>
      </c>
      <c r="C1199" s="28">
        <v>2015</v>
      </c>
      <c r="D1199" s="28" t="s">
        <v>1</v>
      </c>
      <c r="E1199" s="28" t="s">
        <v>9</v>
      </c>
      <c r="F1199" s="28">
        <v>2124701</v>
      </c>
      <c r="H1199">
        <f>VLOOKUP(A1199&amp;B1199,ticker_sector[],2,FALSE)</f>
        <v>10</v>
      </c>
      <c r="I1199">
        <f>VLOOKUP(C1199,year[],2,FALSE)</f>
        <v>5</v>
      </c>
      <c r="J1199">
        <f>VLOOKUP(E1199,showing[],2,FALSE)</f>
        <v>6</v>
      </c>
      <c r="K1199">
        <f>Сектора[[#This Row],[Значение]]</f>
        <v>2124701</v>
      </c>
      <c r="L1199" t="str">
        <f t="shared" si="18"/>
        <v>INSERT INTO msfo.statements (id_company, id_year, id_showing, value) VALUES (10,5,6,2124701);</v>
      </c>
    </row>
    <row r="1200" spans="1:12">
      <c r="A1200" s="28" t="s">
        <v>44</v>
      </c>
      <c r="B1200" s="28" t="s">
        <v>33</v>
      </c>
      <c r="C1200" s="28">
        <v>2016</v>
      </c>
      <c r="D1200" s="28" t="s">
        <v>1</v>
      </c>
      <c r="E1200" s="28" t="s">
        <v>9</v>
      </c>
      <c r="F1200" s="28">
        <v>1921808</v>
      </c>
      <c r="H1200">
        <f>VLOOKUP(A1200&amp;B1200,ticker_sector[],2,FALSE)</f>
        <v>10</v>
      </c>
      <c r="I1200">
        <f>VLOOKUP(C1200,year[],2,FALSE)</f>
        <v>6</v>
      </c>
      <c r="J1200">
        <f>VLOOKUP(E1200,showing[],2,FALSE)</f>
        <v>6</v>
      </c>
      <c r="K1200">
        <f>Сектора[[#This Row],[Значение]]</f>
        <v>1921808</v>
      </c>
      <c r="L1200" t="str">
        <f t="shared" si="18"/>
        <v>INSERT INTO msfo.statements (id_company, id_year, id_showing, value) VALUES (10,6,6,1921808);</v>
      </c>
    </row>
    <row r="1201" spans="1:12">
      <c r="A1201" s="28" t="s">
        <v>44</v>
      </c>
      <c r="B1201" s="28" t="s">
        <v>33</v>
      </c>
      <c r="C1201" s="28">
        <v>2017</v>
      </c>
      <c r="D1201" s="28" t="s">
        <v>1</v>
      </c>
      <c r="E1201" s="28" t="s">
        <v>9</v>
      </c>
      <c r="F1201" s="28">
        <v>2589516</v>
      </c>
      <c r="H1201">
        <f>VLOOKUP(A1201&amp;B1201,ticker_sector[],2,FALSE)</f>
        <v>10</v>
      </c>
      <c r="I1201">
        <f>VLOOKUP(C1201,year[],2,FALSE)</f>
        <v>7</v>
      </c>
      <c r="J1201">
        <f>VLOOKUP(E1201,showing[],2,FALSE)</f>
        <v>6</v>
      </c>
      <c r="K1201">
        <f>Сектора[[#This Row],[Значение]]</f>
        <v>2589516</v>
      </c>
      <c r="L1201" t="str">
        <f t="shared" si="18"/>
        <v>INSERT INTO msfo.statements (id_company, id_year, id_showing, value) VALUES (10,7,6,2589516);</v>
      </c>
    </row>
    <row r="1202" spans="1:12">
      <c r="A1202" s="28" t="s">
        <v>44</v>
      </c>
      <c r="B1202" s="28" t="s">
        <v>33</v>
      </c>
      <c r="C1202" s="28">
        <v>2010</v>
      </c>
      <c r="D1202" s="28" t="s">
        <v>1</v>
      </c>
      <c r="E1202" s="28" t="s">
        <v>10</v>
      </c>
      <c r="F1202" s="28">
        <v>9235993</v>
      </c>
      <c r="H1202">
        <f>VLOOKUP(A1202&amp;B1202,ticker_sector[],2,FALSE)</f>
        <v>10</v>
      </c>
      <c r="I1202">
        <f>VLOOKUP(C1202,year[],2,FALSE)</f>
        <v>0</v>
      </c>
      <c r="J1202">
        <f>VLOOKUP(E1202,showing[],2,FALSE)</f>
        <v>7</v>
      </c>
      <c r="K1202">
        <f>Сектора[[#This Row],[Значение]]</f>
        <v>9235993</v>
      </c>
      <c r="L1202" t="str">
        <f t="shared" si="18"/>
        <v>INSERT INTO msfo.statements (id_company, id_year, id_showing, value) VALUES (10,0,7,9235993);</v>
      </c>
    </row>
    <row r="1203" spans="1:12">
      <c r="A1203" s="28" t="s">
        <v>44</v>
      </c>
      <c r="B1203" s="28" t="s">
        <v>33</v>
      </c>
      <c r="C1203" s="28">
        <v>2011</v>
      </c>
      <c r="D1203" s="28" t="s">
        <v>1</v>
      </c>
      <c r="E1203" s="28" t="s">
        <v>10</v>
      </c>
      <c r="F1203" s="28">
        <v>10900696</v>
      </c>
      <c r="H1203">
        <f>VLOOKUP(A1203&amp;B1203,ticker_sector[],2,FALSE)</f>
        <v>10</v>
      </c>
      <c r="I1203">
        <f>VLOOKUP(C1203,year[],2,FALSE)</f>
        <v>1</v>
      </c>
      <c r="J1203">
        <f>VLOOKUP(E1203,showing[],2,FALSE)</f>
        <v>7</v>
      </c>
      <c r="K1203">
        <f>Сектора[[#This Row],[Значение]]</f>
        <v>10900696</v>
      </c>
      <c r="L1203" t="str">
        <f t="shared" si="18"/>
        <v>INSERT INTO msfo.statements (id_company, id_year, id_showing, value) VALUES (10,1,7,10900696);</v>
      </c>
    </row>
    <row r="1204" spans="1:12">
      <c r="A1204" s="28" t="s">
        <v>44</v>
      </c>
      <c r="B1204" s="28" t="s">
        <v>33</v>
      </c>
      <c r="C1204" s="28">
        <v>2012</v>
      </c>
      <c r="D1204" s="28" t="s">
        <v>1</v>
      </c>
      <c r="E1204" s="28" t="s">
        <v>10</v>
      </c>
      <c r="F1204" s="28">
        <v>11956836</v>
      </c>
      <c r="H1204">
        <f>VLOOKUP(A1204&amp;B1204,ticker_sector[],2,FALSE)</f>
        <v>10</v>
      </c>
      <c r="I1204">
        <f>VLOOKUP(C1204,year[],2,FALSE)</f>
        <v>2</v>
      </c>
      <c r="J1204">
        <f>VLOOKUP(E1204,showing[],2,FALSE)</f>
        <v>7</v>
      </c>
      <c r="K1204">
        <f>Сектора[[#This Row],[Значение]]</f>
        <v>11956836</v>
      </c>
      <c r="L1204" t="str">
        <f t="shared" si="18"/>
        <v>INSERT INTO msfo.statements (id_company, id_year, id_showing, value) VALUES (10,2,7,11956836);</v>
      </c>
    </row>
    <row r="1205" spans="1:12">
      <c r="A1205" s="28" t="s">
        <v>44</v>
      </c>
      <c r="B1205" s="28" t="s">
        <v>33</v>
      </c>
      <c r="C1205" s="28">
        <v>2013</v>
      </c>
      <c r="D1205" s="28" t="s">
        <v>1</v>
      </c>
      <c r="E1205" s="28" t="s">
        <v>10</v>
      </c>
      <c r="F1205" s="28">
        <v>13436236</v>
      </c>
      <c r="H1205">
        <f>VLOOKUP(A1205&amp;B1205,ticker_sector[],2,FALSE)</f>
        <v>10</v>
      </c>
      <c r="I1205">
        <f>VLOOKUP(C1205,year[],2,FALSE)</f>
        <v>3</v>
      </c>
      <c r="J1205">
        <f>VLOOKUP(E1205,showing[],2,FALSE)</f>
        <v>7</v>
      </c>
      <c r="K1205">
        <f>Сектора[[#This Row],[Значение]]</f>
        <v>13436236</v>
      </c>
      <c r="L1205" t="str">
        <f t="shared" si="18"/>
        <v>INSERT INTO msfo.statements (id_company, id_year, id_showing, value) VALUES (10,3,7,13436236);</v>
      </c>
    </row>
    <row r="1206" spans="1:12">
      <c r="A1206" s="28" t="s">
        <v>44</v>
      </c>
      <c r="B1206" s="28" t="s">
        <v>33</v>
      </c>
      <c r="C1206" s="28">
        <v>2014</v>
      </c>
      <c r="D1206" s="28" t="s">
        <v>1</v>
      </c>
      <c r="E1206" s="28" t="s">
        <v>10</v>
      </c>
      <c r="F1206" s="28">
        <v>15177470</v>
      </c>
      <c r="H1206">
        <f>VLOOKUP(A1206&amp;B1206,ticker_sector[],2,FALSE)</f>
        <v>10</v>
      </c>
      <c r="I1206">
        <f>VLOOKUP(C1206,year[],2,FALSE)</f>
        <v>4</v>
      </c>
      <c r="J1206">
        <f>VLOOKUP(E1206,showing[],2,FALSE)</f>
        <v>7</v>
      </c>
      <c r="K1206">
        <f>Сектора[[#This Row],[Значение]]</f>
        <v>15177470</v>
      </c>
      <c r="L1206" t="str">
        <f t="shared" si="18"/>
        <v>INSERT INTO msfo.statements (id_company, id_year, id_showing, value) VALUES (10,4,7,15177470);</v>
      </c>
    </row>
    <row r="1207" spans="1:12">
      <c r="A1207" s="28" t="s">
        <v>44</v>
      </c>
      <c r="B1207" s="28" t="s">
        <v>33</v>
      </c>
      <c r="C1207" s="28">
        <v>2015</v>
      </c>
      <c r="D1207" s="28" t="s">
        <v>1</v>
      </c>
      <c r="E1207" s="28" t="s">
        <v>10</v>
      </c>
      <c r="F1207" s="28">
        <v>17052040</v>
      </c>
      <c r="H1207">
        <f>VLOOKUP(A1207&amp;B1207,ticker_sector[],2,FALSE)</f>
        <v>10</v>
      </c>
      <c r="I1207">
        <f>VLOOKUP(C1207,year[],2,FALSE)</f>
        <v>5</v>
      </c>
      <c r="J1207">
        <f>VLOOKUP(E1207,showing[],2,FALSE)</f>
        <v>7</v>
      </c>
      <c r="K1207">
        <f>Сектора[[#This Row],[Значение]]</f>
        <v>17052040</v>
      </c>
      <c r="L1207" t="str">
        <f t="shared" si="18"/>
        <v>INSERT INTO msfo.statements (id_company, id_year, id_showing, value) VALUES (10,5,7,17052040);</v>
      </c>
    </row>
    <row r="1208" spans="1:12">
      <c r="A1208" s="28" t="s">
        <v>44</v>
      </c>
      <c r="B1208" s="28" t="s">
        <v>33</v>
      </c>
      <c r="C1208" s="28">
        <v>2016</v>
      </c>
      <c r="D1208" s="28" t="s">
        <v>1</v>
      </c>
      <c r="E1208" s="28" t="s">
        <v>10</v>
      </c>
      <c r="F1208" s="28">
        <v>16918938</v>
      </c>
      <c r="H1208">
        <f>VLOOKUP(A1208&amp;B1208,ticker_sector[],2,FALSE)</f>
        <v>10</v>
      </c>
      <c r="I1208">
        <f>VLOOKUP(C1208,year[],2,FALSE)</f>
        <v>6</v>
      </c>
      <c r="J1208">
        <f>VLOOKUP(E1208,showing[],2,FALSE)</f>
        <v>7</v>
      </c>
      <c r="K1208">
        <f>Сектора[[#This Row],[Значение]]</f>
        <v>16918938</v>
      </c>
      <c r="L1208" t="str">
        <f t="shared" si="18"/>
        <v>INSERT INTO msfo.statements (id_company, id_year, id_showing, value) VALUES (10,6,7,16918938);</v>
      </c>
    </row>
    <row r="1209" spans="1:12">
      <c r="A1209" s="28" t="s">
        <v>44</v>
      </c>
      <c r="B1209" s="28" t="s">
        <v>33</v>
      </c>
      <c r="C1209" s="28">
        <v>2017</v>
      </c>
      <c r="D1209" s="28" t="s">
        <v>1</v>
      </c>
      <c r="E1209" s="28" t="s">
        <v>10</v>
      </c>
      <c r="F1209" s="28">
        <v>18238770</v>
      </c>
      <c r="H1209">
        <f>VLOOKUP(A1209&amp;B1209,ticker_sector[],2,FALSE)</f>
        <v>10</v>
      </c>
      <c r="I1209">
        <f>VLOOKUP(C1209,year[],2,FALSE)</f>
        <v>7</v>
      </c>
      <c r="J1209">
        <f>VLOOKUP(E1209,showing[],2,FALSE)</f>
        <v>7</v>
      </c>
      <c r="K1209">
        <f>Сектора[[#This Row],[Значение]]</f>
        <v>18238770</v>
      </c>
      <c r="L1209" t="str">
        <f t="shared" si="18"/>
        <v>INSERT INTO msfo.statements (id_company, id_year, id_showing, value) VALUES (10,7,7,18238770);</v>
      </c>
    </row>
    <row r="1210" spans="1:12">
      <c r="A1210" s="28" t="s">
        <v>44</v>
      </c>
      <c r="B1210" s="28" t="s">
        <v>33</v>
      </c>
      <c r="C1210" s="28">
        <v>2010</v>
      </c>
      <c r="D1210" s="28" t="s">
        <v>1</v>
      </c>
      <c r="E1210" s="28" t="s">
        <v>11</v>
      </c>
      <c r="F1210" s="28">
        <v>0.29229472131475198</v>
      </c>
      <c r="H1210">
        <f>VLOOKUP(A1210&amp;B1210,ticker_sector[],2,FALSE)</f>
        <v>10</v>
      </c>
      <c r="I1210">
        <f>VLOOKUP(C1210,year[],2,FALSE)</f>
        <v>0</v>
      </c>
      <c r="J1210">
        <f>VLOOKUP(E1210,showing[],2,FALSE)</f>
        <v>8</v>
      </c>
      <c r="K1210">
        <f>Сектора[[#This Row],[Значение]]</f>
        <v>0.29229472131475198</v>
      </c>
      <c r="L1210" t="str">
        <f t="shared" si="18"/>
        <v>INSERT INTO msfo.statements (id_company, id_year, id_showing, value) VALUES (10,0,8,0,292294721314752);</v>
      </c>
    </row>
    <row r="1211" spans="1:12">
      <c r="A1211" s="28" t="s">
        <v>44</v>
      </c>
      <c r="B1211" s="28" t="s">
        <v>33</v>
      </c>
      <c r="C1211" s="28">
        <v>2011</v>
      </c>
      <c r="D1211" s="28" t="s">
        <v>1</v>
      </c>
      <c r="E1211" s="28" t="s">
        <v>11</v>
      </c>
      <c r="F1211" s="28">
        <v>0.28802793876647875</v>
      </c>
      <c r="H1211">
        <f>VLOOKUP(A1211&amp;B1211,ticker_sector[],2,FALSE)</f>
        <v>10</v>
      </c>
      <c r="I1211">
        <f>VLOOKUP(C1211,year[],2,FALSE)</f>
        <v>1</v>
      </c>
      <c r="J1211">
        <f>VLOOKUP(E1211,showing[],2,FALSE)</f>
        <v>8</v>
      </c>
      <c r="K1211">
        <f>Сектора[[#This Row],[Значение]]</f>
        <v>0.28802793876647875</v>
      </c>
      <c r="L1211" t="str">
        <f t="shared" si="18"/>
        <v>INSERT INTO msfo.statements (id_company, id_year, id_showing, value) VALUES (10,1,8,0,288027938766479);</v>
      </c>
    </row>
    <row r="1212" spans="1:12">
      <c r="A1212" s="28" t="s">
        <v>44</v>
      </c>
      <c r="B1212" s="28" t="s">
        <v>33</v>
      </c>
      <c r="C1212" s="28">
        <v>2012</v>
      </c>
      <c r="D1212" s="28" t="s">
        <v>1</v>
      </c>
      <c r="E1212" s="28" t="s">
        <v>11</v>
      </c>
      <c r="F1212" s="28">
        <v>0.29078687706346396</v>
      </c>
      <c r="H1212">
        <f>VLOOKUP(A1212&amp;B1212,ticker_sector[],2,FALSE)</f>
        <v>10</v>
      </c>
      <c r="I1212">
        <f>VLOOKUP(C1212,year[],2,FALSE)</f>
        <v>2</v>
      </c>
      <c r="J1212">
        <f>VLOOKUP(E1212,showing[],2,FALSE)</f>
        <v>8</v>
      </c>
      <c r="K1212">
        <f>Сектора[[#This Row],[Значение]]</f>
        <v>0.29078687706346396</v>
      </c>
      <c r="L1212" t="str">
        <f t="shared" si="18"/>
        <v>INSERT INTO msfo.statements (id_company, id_year, id_showing, value) VALUES (10,2,8,0,290786877063464);</v>
      </c>
    </row>
    <row r="1213" spans="1:12">
      <c r="A1213" s="28" t="s">
        <v>44</v>
      </c>
      <c r="B1213" s="28" t="s">
        <v>33</v>
      </c>
      <c r="C1213" s="28">
        <v>2013</v>
      </c>
      <c r="D1213" s="28" t="s">
        <v>1</v>
      </c>
      <c r="E1213" s="28" t="s">
        <v>11</v>
      </c>
      <c r="F1213" s="28">
        <v>0.28295736990627435</v>
      </c>
      <c r="H1213">
        <f>VLOOKUP(A1213&amp;B1213,ticker_sector[],2,FALSE)</f>
        <v>10</v>
      </c>
      <c r="I1213">
        <f>VLOOKUP(C1213,year[],2,FALSE)</f>
        <v>3</v>
      </c>
      <c r="J1213">
        <f>VLOOKUP(E1213,showing[],2,FALSE)</f>
        <v>8</v>
      </c>
      <c r="K1213">
        <f>Сектора[[#This Row],[Значение]]</f>
        <v>0.28295736990627435</v>
      </c>
      <c r="L1213" t="str">
        <f t="shared" si="18"/>
        <v>INSERT INTO msfo.statements (id_company, id_year, id_showing, value) VALUES (10,3,8,0,282957369906274);</v>
      </c>
    </row>
    <row r="1214" spans="1:12">
      <c r="A1214" s="28" t="s">
        <v>44</v>
      </c>
      <c r="B1214" s="28" t="s">
        <v>33</v>
      </c>
      <c r="C1214" s="28">
        <v>2014</v>
      </c>
      <c r="D1214" s="28" t="s">
        <v>1</v>
      </c>
      <c r="E1214" s="28" t="s">
        <v>11</v>
      </c>
      <c r="F1214" s="28">
        <v>0.33322082007080234</v>
      </c>
      <c r="H1214">
        <f>VLOOKUP(A1214&amp;B1214,ticker_sector[],2,FALSE)</f>
        <v>10</v>
      </c>
      <c r="I1214">
        <f>VLOOKUP(C1214,year[],2,FALSE)</f>
        <v>4</v>
      </c>
      <c r="J1214">
        <f>VLOOKUP(E1214,showing[],2,FALSE)</f>
        <v>8</v>
      </c>
      <c r="K1214">
        <f>Сектора[[#This Row],[Значение]]</f>
        <v>0.33322082007080234</v>
      </c>
      <c r="L1214" t="str">
        <f t="shared" si="18"/>
        <v>INSERT INTO msfo.statements (id_company, id_year, id_showing, value) VALUES (10,4,8,0,333220820070802);</v>
      </c>
    </row>
    <row r="1215" spans="1:12">
      <c r="A1215" s="28" t="s">
        <v>44</v>
      </c>
      <c r="B1215" s="28" t="s">
        <v>33</v>
      </c>
      <c r="C1215" s="28">
        <v>2015</v>
      </c>
      <c r="D1215" s="28" t="s">
        <v>1</v>
      </c>
      <c r="E1215" s="28" t="s">
        <v>11</v>
      </c>
      <c r="F1215" s="28">
        <v>0.35992280102556645</v>
      </c>
      <c r="H1215">
        <f>VLOOKUP(A1215&amp;B1215,ticker_sector[],2,FALSE)</f>
        <v>10</v>
      </c>
      <c r="I1215">
        <f>VLOOKUP(C1215,year[],2,FALSE)</f>
        <v>5</v>
      </c>
      <c r="J1215">
        <f>VLOOKUP(E1215,showing[],2,FALSE)</f>
        <v>8</v>
      </c>
      <c r="K1215">
        <f>Сектора[[#This Row],[Значение]]</f>
        <v>0.35992280102556645</v>
      </c>
      <c r="L1215" t="str">
        <f t="shared" si="18"/>
        <v>INSERT INTO msfo.statements (id_company, id_year, id_showing, value) VALUES (10,5,8,0,359922801025566);</v>
      </c>
    </row>
    <row r="1216" spans="1:12">
      <c r="A1216" s="28" t="s">
        <v>44</v>
      </c>
      <c r="B1216" s="28" t="s">
        <v>33</v>
      </c>
      <c r="C1216" s="28">
        <v>2016</v>
      </c>
      <c r="D1216" s="28" t="s">
        <v>1</v>
      </c>
      <c r="E1216" s="28" t="s">
        <v>11</v>
      </c>
      <c r="F1216" s="28">
        <v>0.32372593362538477</v>
      </c>
      <c r="H1216">
        <f>VLOOKUP(A1216&amp;B1216,ticker_sector[],2,FALSE)</f>
        <v>10</v>
      </c>
      <c r="I1216">
        <f>VLOOKUP(C1216,year[],2,FALSE)</f>
        <v>6</v>
      </c>
      <c r="J1216">
        <f>VLOOKUP(E1216,showing[],2,FALSE)</f>
        <v>8</v>
      </c>
      <c r="K1216">
        <f>Сектора[[#This Row],[Значение]]</f>
        <v>0.32372593362538477</v>
      </c>
      <c r="L1216" t="str">
        <f t="shared" si="18"/>
        <v>INSERT INTO msfo.statements (id_company, id_year, id_showing, value) VALUES (10,6,8,0,323725933625385);</v>
      </c>
    </row>
    <row r="1217" spans="1:12">
      <c r="A1217" s="28" t="s">
        <v>44</v>
      </c>
      <c r="B1217" s="28" t="s">
        <v>33</v>
      </c>
      <c r="C1217" s="28">
        <v>2017</v>
      </c>
      <c r="D1217" s="28" t="s">
        <v>1</v>
      </c>
      <c r="E1217" s="28" t="s">
        <v>11</v>
      </c>
      <c r="F1217" s="28">
        <v>0.34121209928081775</v>
      </c>
      <c r="H1217">
        <f>VLOOKUP(A1217&amp;B1217,ticker_sector[],2,FALSE)</f>
        <v>10</v>
      </c>
      <c r="I1217">
        <f>VLOOKUP(C1217,year[],2,FALSE)</f>
        <v>7</v>
      </c>
      <c r="J1217">
        <f>VLOOKUP(E1217,showing[],2,FALSE)</f>
        <v>8</v>
      </c>
      <c r="K1217">
        <f>Сектора[[#This Row],[Значение]]</f>
        <v>0.34121209928081775</v>
      </c>
      <c r="L1217" t="str">
        <f t="shared" si="18"/>
        <v>INSERT INTO msfo.statements (id_company, id_year, id_showing, value) VALUES (10,7,8,0,341212099280818);</v>
      </c>
    </row>
    <row r="1218" spans="1:12">
      <c r="A1218" s="28" t="s">
        <v>44</v>
      </c>
      <c r="B1218" s="28" t="s">
        <v>33</v>
      </c>
      <c r="C1218" s="28">
        <v>2010</v>
      </c>
      <c r="D1218" s="28" t="s">
        <v>4</v>
      </c>
      <c r="E1218" s="28" t="s">
        <v>12</v>
      </c>
      <c r="F1218" s="28">
        <v>3597054</v>
      </c>
      <c r="H1218">
        <f>VLOOKUP(A1218&amp;B1218,ticker_sector[],2,FALSE)</f>
        <v>10</v>
      </c>
      <c r="I1218">
        <f>VLOOKUP(C1218,year[],2,FALSE)</f>
        <v>0</v>
      </c>
      <c r="J1218">
        <f>VLOOKUP(E1218,showing[],2,FALSE)</f>
        <v>9</v>
      </c>
      <c r="K1218">
        <f>Сектора[[#This Row],[Значение]]</f>
        <v>3597054</v>
      </c>
      <c r="L1218" t="str">
        <f t="shared" si="18"/>
        <v>INSERT INTO msfo.statements (id_company, id_year, id_showing, value) VALUES (10,0,9,3597054);</v>
      </c>
    </row>
    <row r="1219" spans="1:12">
      <c r="A1219" s="28" t="s">
        <v>44</v>
      </c>
      <c r="B1219" s="28" t="s">
        <v>33</v>
      </c>
      <c r="C1219" s="28">
        <v>2011</v>
      </c>
      <c r="D1219" s="28" t="s">
        <v>4</v>
      </c>
      <c r="E1219" s="28" t="s">
        <v>12</v>
      </c>
      <c r="F1219" s="28">
        <v>4637090</v>
      </c>
      <c r="H1219">
        <f>VLOOKUP(A1219&amp;B1219,ticker_sector[],2,FALSE)</f>
        <v>10</v>
      </c>
      <c r="I1219">
        <f>VLOOKUP(C1219,year[],2,FALSE)</f>
        <v>1</v>
      </c>
      <c r="J1219">
        <f>VLOOKUP(E1219,showing[],2,FALSE)</f>
        <v>9</v>
      </c>
      <c r="K1219">
        <f>Сектора[[#This Row],[Значение]]</f>
        <v>4637090</v>
      </c>
      <c r="L1219" t="str">
        <f t="shared" ref="L1219:L1282" si="19">"INSERT INTO msfo.statements (id_company, id_year, id_showing, value) VALUES ("&amp;H1219&amp; ","&amp;I1219&amp; ","&amp;J1219&amp; ","&amp;K1219&amp;");"</f>
        <v>INSERT INTO msfo.statements (id_company, id_year, id_showing, value) VALUES (10,1,9,4637090);</v>
      </c>
    </row>
    <row r="1220" spans="1:12">
      <c r="A1220" s="28" t="s">
        <v>44</v>
      </c>
      <c r="B1220" s="28" t="s">
        <v>33</v>
      </c>
      <c r="C1220" s="28">
        <v>2012</v>
      </c>
      <c r="D1220" s="28" t="s">
        <v>4</v>
      </c>
      <c r="E1220" s="28" t="s">
        <v>12</v>
      </c>
      <c r="F1220" s="28">
        <v>4764411</v>
      </c>
      <c r="H1220">
        <f>VLOOKUP(A1220&amp;B1220,ticker_sector[],2,FALSE)</f>
        <v>10</v>
      </c>
      <c r="I1220">
        <f>VLOOKUP(C1220,year[],2,FALSE)</f>
        <v>2</v>
      </c>
      <c r="J1220">
        <f>VLOOKUP(E1220,showing[],2,FALSE)</f>
        <v>9</v>
      </c>
      <c r="K1220">
        <f>Сектора[[#This Row],[Значение]]</f>
        <v>4764411</v>
      </c>
      <c r="L1220" t="str">
        <f t="shared" si="19"/>
        <v>INSERT INTO msfo.statements (id_company, id_year, id_showing, value) VALUES (10,2,9,4764411);</v>
      </c>
    </row>
    <row r="1221" spans="1:12">
      <c r="A1221" s="28" t="s">
        <v>44</v>
      </c>
      <c r="B1221" s="28" t="s">
        <v>33</v>
      </c>
      <c r="C1221" s="28">
        <v>2013</v>
      </c>
      <c r="D1221" s="28" t="s">
        <v>4</v>
      </c>
      <c r="E1221" s="28" t="s">
        <v>12</v>
      </c>
      <c r="F1221" s="28">
        <v>5249965</v>
      </c>
      <c r="H1221">
        <f>VLOOKUP(A1221&amp;B1221,ticker_sector[],2,FALSE)</f>
        <v>10</v>
      </c>
      <c r="I1221">
        <f>VLOOKUP(C1221,year[],2,FALSE)</f>
        <v>3</v>
      </c>
      <c r="J1221">
        <f>VLOOKUP(E1221,showing[],2,FALSE)</f>
        <v>9</v>
      </c>
      <c r="K1221">
        <f>Сектора[[#This Row],[Значение]]</f>
        <v>5249965</v>
      </c>
      <c r="L1221" t="str">
        <f t="shared" si="19"/>
        <v>INSERT INTO msfo.statements (id_company, id_year, id_showing, value) VALUES (10,3,9,5249965);</v>
      </c>
    </row>
    <row r="1222" spans="1:12">
      <c r="A1222" s="28" t="s">
        <v>44</v>
      </c>
      <c r="B1222" s="28" t="s">
        <v>33</v>
      </c>
      <c r="C1222" s="28">
        <v>2014</v>
      </c>
      <c r="D1222" s="28" t="s">
        <v>4</v>
      </c>
      <c r="E1222" s="28" t="s">
        <v>12</v>
      </c>
      <c r="F1222" s="28">
        <v>5589811</v>
      </c>
      <c r="H1222">
        <f>VLOOKUP(A1222&amp;B1222,ticker_sector[],2,FALSE)</f>
        <v>10</v>
      </c>
      <c r="I1222">
        <f>VLOOKUP(C1222,year[],2,FALSE)</f>
        <v>4</v>
      </c>
      <c r="J1222">
        <f>VLOOKUP(E1222,showing[],2,FALSE)</f>
        <v>9</v>
      </c>
      <c r="K1222">
        <f>Сектора[[#This Row],[Значение]]</f>
        <v>5589811</v>
      </c>
      <c r="L1222" t="str">
        <f t="shared" si="19"/>
        <v>INSERT INTO msfo.statements (id_company, id_year, id_showing, value) VALUES (10,4,9,5589811);</v>
      </c>
    </row>
    <row r="1223" spans="1:12">
      <c r="A1223" s="28" t="s">
        <v>44</v>
      </c>
      <c r="B1223" s="28" t="s">
        <v>33</v>
      </c>
      <c r="C1223" s="28">
        <v>2015</v>
      </c>
      <c r="D1223" s="28" t="s">
        <v>4</v>
      </c>
      <c r="E1223" s="28" t="s">
        <v>12</v>
      </c>
      <c r="F1223" s="28">
        <v>6073318</v>
      </c>
      <c r="H1223">
        <f>VLOOKUP(A1223&amp;B1223,ticker_sector[],2,FALSE)</f>
        <v>10</v>
      </c>
      <c r="I1223">
        <f>VLOOKUP(C1223,year[],2,FALSE)</f>
        <v>5</v>
      </c>
      <c r="J1223">
        <f>VLOOKUP(E1223,showing[],2,FALSE)</f>
        <v>9</v>
      </c>
      <c r="K1223">
        <f>Сектора[[#This Row],[Значение]]</f>
        <v>6073318</v>
      </c>
      <c r="L1223" t="str">
        <f t="shared" si="19"/>
        <v>INSERT INTO msfo.statements (id_company, id_year, id_showing, value) VALUES (10,5,9,6073318);</v>
      </c>
    </row>
    <row r="1224" spans="1:12">
      <c r="A1224" s="28" t="s">
        <v>44</v>
      </c>
      <c r="B1224" s="28" t="s">
        <v>33</v>
      </c>
      <c r="C1224" s="28">
        <v>2016</v>
      </c>
      <c r="D1224" s="28" t="s">
        <v>4</v>
      </c>
      <c r="E1224" s="28" t="s">
        <v>12</v>
      </c>
      <c r="F1224" s="28">
        <v>6111051</v>
      </c>
      <c r="H1224">
        <f>VLOOKUP(A1224&amp;B1224,ticker_sector[],2,FALSE)</f>
        <v>10</v>
      </c>
      <c r="I1224">
        <f>VLOOKUP(C1224,year[],2,FALSE)</f>
        <v>6</v>
      </c>
      <c r="J1224">
        <f>VLOOKUP(E1224,showing[],2,FALSE)</f>
        <v>9</v>
      </c>
      <c r="K1224">
        <f>Сектора[[#This Row],[Значение]]</f>
        <v>6111051</v>
      </c>
      <c r="L1224" t="str">
        <f t="shared" si="19"/>
        <v>INSERT INTO msfo.statements (id_company, id_year, id_showing, value) VALUES (10,6,9,6111051);</v>
      </c>
    </row>
    <row r="1225" spans="1:12">
      <c r="A1225" s="28" t="s">
        <v>44</v>
      </c>
      <c r="B1225" s="28" t="s">
        <v>33</v>
      </c>
      <c r="C1225" s="28">
        <v>2017</v>
      </c>
      <c r="D1225" s="28" t="s">
        <v>4</v>
      </c>
      <c r="E1225" s="28" t="s">
        <v>12</v>
      </c>
      <c r="F1225" s="28">
        <v>6546143</v>
      </c>
      <c r="H1225">
        <f>VLOOKUP(A1225&amp;B1225,ticker_sector[],2,FALSE)</f>
        <v>10</v>
      </c>
      <c r="I1225">
        <f>VLOOKUP(C1225,year[],2,FALSE)</f>
        <v>7</v>
      </c>
      <c r="J1225">
        <f>VLOOKUP(E1225,showing[],2,FALSE)</f>
        <v>9</v>
      </c>
      <c r="K1225">
        <f>Сектора[[#This Row],[Значение]]</f>
        <v>6546143</v>
      </c>
      <c r="L1225" t="str">
        <f t="shared" si="19"/>
        <v>INSERT INTO msfo.statements (id_company, id_year, id_showing, value) VALUES (10,7,9,6546143);</v>
      </c>
    </row>
    <row r="1226" spans="1:12">
      <c r="A1226" s="28" t="s">
        <v>44</v>
      </c>
      <c r="B1226" s="28" t="s">
        <v>33</v>
      </c>
      <c r="C1226" s="28">
        <v>2010</v>
      </c>
      <c r="D1226" s="28" t="s">
        <v>4</v>
      </c>
      <c r="E1226" s="28" t="s">
        <v>13</v>
      </c>
      <c r="F1226" s="28">
        <v>997993</v>
      </c>
      <c r="H1226">
        <f>VLOOKUP(A1226&amp;B1226,ticker_sector[],2,FALSE)</f>
        <v>10</v>
      </c>
      <c r="I1226">
        <f>VLOOKUP(C1226,year[],2,FALSE)</f>
        <v>0</v>
      </c>
      <c r="J1226">
        <f>VLOOKUP(E1226,showing[],2,FALSE)</f>
        <v>10</v>
      </c>
      <c r="K1226">
        <f>Сектора[[#This Row],[Значение]]</f>
        <v>997993</v>
      </c>
      <c r="L1226" t="str">
        <f t="shared" si="19"/>
        <v>INSERT INTO msfo.statements (id_company, id_year, id_showing, value) VALUES (10,0,10,997993);</v>
      </c>
    </row>
    <row r="1227" spans="1:12">
      <c r="A1227" s="28" t="s">
        <v>44</v>
      </c>
      <c r="B1227" s="28" t="s">
        <v>33</v>
      </c>
      <c r="C1227" s="28">
        <v>2011</v>
      </c>
      <c r="D1227" s="28" t="s">
        <v>4</v>
      </c>
      <c r="E1227" s="28" t="s">
        <v>13</v>
      </c>
      <c r="F1227" s="28">
        <v>1342442</v>
      </c>
      <c r="H1227">
        <f>VLOOKUP(A1227&amp;B1227,ticker_sector[],2,FALSE)</f>
        <v>10</v>
      </c>
      <c r="I1227">
        <f>VLOOKUP(C1227,year[],2,FALSE)</f>
        <v>1</v>
      </c>
      <c r="J1227">
        <f>VLOOKUP(E1227,showing[],2,FALSE)</f>
        <v>10</v>
      </c>
      <c r="K1227">
        <f>Сектора[[#This Row],[Значение]]</f>
        <v>1342442</v>
      </c>
      <c r="L1227" t="str">
        <f t="shared" si="19"/>
        <v>INSERT INTO msfo.statements (id_company, id_year, id_showing, value) VALUES (10,1,10,1342442);</v>
      </c>
    </row>
    <row r="1228" spans="1:12">
      <c r="A1228" s="28" t="s">
        <v>44</v>
      </c>
      <c r="B1228" s="28" t="s">
        <v>33</v>
      </c>
      <c r="C1228" s="28">
        <v>2012</v>
      </c>
      <c r="D1228" s="28" t="s">
        <v>4</v>
      </c>
      <c r="E1228" s="28" t="s">
        <v>13</v>
      </c>
      <c r="F1228" s="28">
        <v>1210566</v>
      </c>
      <c r="H1228">
        <f>VLOOKUP(A1228&amp;B1228,ticker_sector[],2,FALSE)</f>
        <v>10</v>
      </c>
      <c r="I1228">
        <f>VLOOKUP(C1228,year[],2,FALSE)</f>
        <v>2</v>
      </c>
      <c r="J1228">
        <f>VLOOKUP(E1228,showing[],2,FALSE)</f>
        <v>10</v>
      </c>
      <c r="K1228">
        <f>Сектора[[#This Row],[Значение]]</f>
        <v>1210566</v>
      </c>
      <c r="L1228" t="str">
        <f t="shared" si="19"/>
        <v>INSERT INTO msfo.statements (id_company, id_year, id_showing, value) VALUES (10,2,10,1210566);</v>
      </c>
    </row>
    <row r="1229" spans="1:12">
      <c r="A1229" s="28" t="s">
        <v>44</v>
      </c>
      <c r="B1229" s="28" t="s">
        <v>33</v>
      </c>
      <c r="C1229" s="28">
        <v>2013</v>
      </c>
      <c r="D1229" s="28" t="s">
        <v>4</v>
      </c>
      <c r="E1229" s="28" t="s">
        <v>13</v>
      </c>
      <c r="F1229" s="28">
        <v>1165705</v>
      </c>
      <c r="H1229">
        <f>VLOOKUP(A1229&amp;B1229,ticker_sector[],2,FALSE)</f>
        <v>10</v>
      </c>
      <c r="I1229">
        <f>VLOOKUP(C1229,year[],2,FALSE)</f>
        <v>3</v>
      </c>
      <c r="J1229">
        <f>VLOOKUP(E1229,showing[],2,FALSE)</f>
        <v>10</v>
      </c>
      <c r="K1229">
        <f>Сектора[[#This Row],[Значение]]</f>
        <v>1165705</v>
      </c>
      <c r="L1229" t="str">
        <f t="shared" si="19"/>
        <v>INSERT INTO msfo.statements (id_company, id_year, id_showing, value) VALUES (10,3,10,1165705);</v>
      </c>
    </row>
    <row r="1230" spans="1:12">
      <c r="A1230" s="28" t="s">
        <v>44</v>
      </c>
      <c r="B1230" s="28" t="s">
        <v>33</v>
      </c>
      <c r="C1230" s="28">
        <v>2014</v>
      </c>
      <c r="D1230" s="28" t="s">
        <v>4</v>
      </c>
      <c r="E1230" s="28" t="s">
        <v>13</v>
      </c>
      <c r="F1230" s="28">
        <v>157192</v>
      </c>
      <c r="H1230">
        <f>VLOOKUP(A1230&amp;B1230,ticker_sector[],2,FALSE)</f>
        <v>10</v>
      </c>
      <c r="I1230">
        <f>VLOOKUP(C1230,year[],2,FALSE)</f>
        <v>4</v>
      </c>
      <c r="J1230">
        <f>VLOOKUP(E1230,showing[],2,FALSE)</f>
        <v>10</v>
      </c>
      <c r="K1230">
        <f>Сектора[[#This Row],[Значение]]</f>
        <v>157192</v>
      </c>
      <c r="L1230" t="str">
        <f t="shared" si="19"/>
        <v>INSERT INTO msfo.statements (id_company, id_year, id_showing, value) VALUES (10,4,10,157192);</v>
      </c>
    </row>
    <row r="1231" spans="1:12">
      <c r="A1231" s="28" t="s">
        <v>44</v>
      </c>
      <c r="B1231" s="28" t="s">
        <v>33</v>
      </c>
      <c r="C1231" s="28">
        <v>2015</v>
      </c>
      <c r="D1231" s="28" t="s">
        <v>4</v>
      </c>
      <c r="E1231" s="28" t="s">
        <v>13</v>
      </c>
      <c r="F1231" s="28">
        <v>805199</v>
      </c>
      <c r="H1231">
        <f>VLOOKUP(A1231&amp;B1231,ticker_sector[],2,FALSE)</f>
        <v>10</v>
      </c>
      <c r="I1231">
        <f>VLOOKUP(C1231,year[],2,FALSE)</f>
        <v>5</v>
      </c>
      <c r="J1231">
        <f>VLOOKUP(E1231,showing[],2,FALSE)</f>
        <v>10</v>
      </c>
      <c r="K1231">
        <f>Сектора[[#This Row],[Значение]]</f>
        <v>805199</v>
      </c>
      <c r="L1231" t="str">
        <f t="shared" si="19"/>
        <v>INSERT INTO msfo.statements (id_company, id_year, id_showing, value) VALUES (10,5,10,805199);</v>
      </c>
    </row>
    <row r="1232" spans="1:12">
      <c r="A1232" s="28" t="s">
        <v>44</v>
      </c>
      <c r="B1232" s="28" t="s">
        <v>33</v>
      </c>
      <c r="C1232" s="28">
        <v>2016</v>
      </c>
      <c r="D1232" s="28" t="s">
        <v>4</v>
      </c>
      <c r="E1232" s="28" t="s">
        <v>13</v>
      </c>
      <c r="F1232" s="28">
        <v>997104</v>
      </c>
      <c r="H1232">
        <f>VLOOKUP(A1232&amp;B1232,ticker_sector[],2,FALSE)</f>
        <v>10</v>
      </c>
      <c r="I1232">
        <f>VLOOKUP(C1232,year[],2,FALSE)</f>
        <v>6</v>
      </c>
      <c r="J1232">
        <f>VLOOKUP(E1232,showing[],2,FALSE)</f>
        <v>10</v>
      </c>
      <c r="K1232">
        <f>Сектора[[#This Row],[Значение]]</f>
        <v>997104</v>
      </c>
      <c r="L1232" t="str">
        <f t="shared" si="19"/>
        <v>INSERT INTO msfo.statements (id_company, id_year, id_showing, value) VALUES (10,6,10,997104);</v>
      </c>
    </row>
    <row r="1233" spans="1:12">
      <c r="A1233" s="28" t="s">
        <v>44</v>
      </c>
      <c r="B1233" s="28" t="s">
        <v>33</v>
      </c>
      <c r="C1233" s="28">
        <v>2017</v>
      </c>
      <c r="D1233" s="28" t="s">
        <v>4</v>
      </c>
      <c r="E1233" s="28" t="s">
        <v>13</v>
      </c>
      <c r="F1233" s="28">
        <v>766879</v>
      </c>
      <c r="H1233">
        <f>VLOOKUP(A1233&amp;B1233,ticker_sector[],2,FALSE)</f>
        <v>10</v>
      </c>
      <c r="I1233">
        <f>VLOOKUP(C1233,year[],2,FALSE)</f>
        <v>7</v>
      </c>
      <c r="J1233">
        <f>VLOOKUP(E1233,showing[],2,FALSE)</f>
        <v>10</v>
      </c>
      <c r="K1233">
        <f>Сектора[[#This Row],[Значение]]</f>
        <v>766879</v>
      </c>
      <c r="L1233" t="str">
        <f t="shared" si="19"/>
        <v>INSERT INTO msfo.statements (id_company, id_year, id_showing, value) VALUES (10,7,10,766879);</v>
      </c>
    </row>
    <row r="1234" spans="1:12">
      <c r="A1234" s="28" t="s">
        <v>44</v>
      </c>
      <c r="B1234" s="28" t="s">
        <v>33</v>
      </c>
      <c r="C1234" s="28">
        <v>2010</v>
      </c>
      <c r="D1234" s="28" t="s">
        <v>4</v>
      </c>
      <c r="E1234" s="28" t="s">
        <v>14</v>
      </c>
      <c r="F1234" s="28">
        <v>118025.58659181216</v>
      </c>
      <c r="H1234">
        <f>VLOOKUP(A1234&amp;B1234,ticker_sector[],2,FALSE)</f>
        <v>10</v>
      </c>
      <c r="I1234">
        <f>VLOOKUP(C1234,year[],2,FALSE)</f>
        <v>0</v>
      </c>
      <c r="J1234">
        <f>VLOOKUP(E1234,showing[],2,FALSE)</f>
        <v>11</v>
      </c>
      <c r="K1234">
        <f>Сектора[[#This Row],[Значение]]</f>
        <v>118025.58659181216</v>
      </c>
      <c r="L1234" t="str">
        <f t="shared" si="19"/>
        <v>INSERT INTO msfo.statements (id_company, id_year, id_showing, value) VALUES (10,0,11,118025,586591812);</v>
      </c>
    </row>
    <row r="1235" spans="1:12">
      <c r="A1235" s="28" t="s">
        <v>44</v>
      </c>
      <c r="B1235" s="28" t="s">
        <v>33</v>
      </c>
      <c r="C1235" s="28">
        <v>2011</v>
      </c>
      <c r="D1235" s="28" t="s">
        <v>4</v>
      </c>
      <c r="E1235" s="28" t="s">
        <v>14</v>
      </c>
      <c r="F1235" s="28">
        <v>144026.45040858985</v>
      </c>
      <c r="H1235">
        <f>VLOOKUP(A1235&amp;B1235,ticker_sector[],2,FALSE)</f>
        <v>10</v>
      </c>
      <c r="I1235">
        <f>VLOOKUP(C1235,year[],2,FALSE)</f>
        <v>1</v>
      </c>
      <c r="J1235">
        <f>VLOOKUP(E1235,showing[],2,FALSE)</f>
        <v>11</v>
      </c>
      <c r="K1235">
        <f>Сектора[[#This Row],[Значение]]</f>
        <v>144026.45040858985</v>
      </c>
      <c r="L1235" t="str">
        <f t="shared" si="19"/>
        <v>INSERT INTO msfo.statements (id_company, id_year, id_showing, value) VALUES (10,1,11,144026,45040859);</v>
      </c>
    </row>
    <row r="1236" spans="1:12">
      <c r="A1236" s="28" t="s">
        <v>44</v>
      </c>
      <c r="B1236" s="28" t="s">
        <v>33</v>
      </c>
      <c r="C1236" s="28">
        <v>2012</v>
      </c>
      <c r="D1236" s="28" t="s">
        <v>4</v>
      </c>
      <c r="E1236" s="28" t="s">
        <v>14</v>
      </c>
      <c r="F1236" s="28">
        <v>156864.9148742127</v>
      </c>
      <c r="H1236">
        <f>VLOOKUP(A1236&amp;B1236,ticker_sector[],2,FALSE)</f>
        <v>10</v>
      </c>
      <c r="I1236">
        <f>VLOOKUP(C1236,year[],2,FALSE)</f>
        <v>2</v>
      </c>
      <c r="J1236">
        <f>VLOOKUP(E1236,showing[],2,FALSE)</f>
        <v>11</v>
      </c>
      <c r="K1236">
        <f>Сектора[[#This Row],[Значение]]</f>
        <v>156864.9148742127</v>
      </c>
      <c r="L1236" t="str">
        <f t="shared" si="19"/>
        <v>INSERT INTO msfo.statements (id_company, id_year, id_showing, value) VALUES (10,2,11,156864,914874213);</v>
      </c>
    </row>
    <row r="1237" spans="1:12">
      <c r="A1237" s="28" t="s">
        <v>44</v>
      </c>
      <c r="B1237" s="28" t="s">
        <v>33</v>
      </c>
      <c r="C1237" s="28">
        <v>2013</v>
      </c>
      <c r="D1237" s="28" t="s">
        <v>4</v>
      </c>
      <c r="E1237" s="28" t="s">
        <v>14</v>
      </c>
      <c r="F1237" s="28">
        <v>160406.15108221406</v>
      </c>
      <c r="H1237">
        <f>VLOOKUP(A1237&amp;B1237,ticker_sector[],2,FALSE)</f>
        <v>10</v>
      </c>
      <c r="I1237">
        <f>VLOOKUP(C1237,year[],2,FALSE)</f>
        <v>3</v>
      </c>
      <c r="J1237">
        <f>VLOOKUP(E1237,showing[],2,FALSE)</f>
        <v>11</v>
      </c>
      <c r="K1237">
        <f>Сектора[[#This Row],[Значение]]</f>
        <v>160406.15108221406</v>
      </c>
      <c r="L1237" t="str">
        <f t="shared" si="19"/>
        <v>INSERT INTO msfo.statements (id_company, id_year, id_showing, value) VALUES (10,3,11,160406,151082214);</v>
      </c>
    </row>
    <row r="1238" spans="1:12">
      <c r="A1238" s="28" t="s">
        <v>44</v>
      </c>
      <c r="B1238" s="28" t="s">
        <v>33</v>
      </c>
      <c r="C1238" s="28">
        <v>2014</v>
      </c>
      <c r="D1238" s="28" t="s">
        <v>4</v>
      </c>
      <c r="E1238" s="28" t="s">
        <v>14</v>
      </c>
      <c r="F1238" s="28">
        <v>99359.580080485757</v>
      </c>
      <c r="H1238">
        <f>VLOOKUP(A1238&amp;B1238,ticker_sector[],2,FALSE)</f>
        <v>10</v>
      </c>
      <c r="I1238">
        <f>VLOOKUP(C1238,year[],2,FALSE)</f>
        <v>4</v>
      </c>
      <c r="J1238">
        <f>VLOOKUP(E1238,showing[],2,FALSE)</f>
        <v>11</v>
      </c>
      <c r="K1238">
        <f>Сектора[[#This Row],[Значение]]</f>
        <v>99359.580080485757</v>
      </c>
      <c r="L1238" t="str">
        <f t="shared" si="19"/>
        <v>INSERT INTO msfo.statements (id_company, id_year, id_showing, value) VALUES (10,4,11,99359,5800804858);</v>
      </c>
    </row>
    <row r="1239" spans="1:12">
      <c r="A1239" s="28" t="s">
        <v>44</v>
      </c>
      <c r="B1239" s="28" t="s">
        <v>33</v>
      </c>
      <c r="C1239" s="28">
        <v>2015</v>
      </c>
      <c r="D1239" s="28" t="s">
        <v>4</v>
      </c>
      <c r="E1239" s="28" t="s">
        <v>14</v>
      </c>
      <c r="F1239" s="28">
        <v>83330.035797246805</v>
      </c>
      <c r="H1239">
        <f>VLOOKUP(A1239&amp;B1239,ticker_sector[],2,FALSE)</f>
        <v>10</v>
      </c>
      <c r="I1239">
        <f>VLOOKUP(C1239,year[],2,FALSE)</f>
        <v>5</v>
      </c>
      <c r="J1239">
        <f>VLOOKUP(E1239,showing[],2,FALSE)</f>
        <v>11</v>
      </c>
      <c r="K1239">
        <f>Сектора[[#This Row],[Значение]]</f>
        <v>83330.035797246805</v>
      </c>
      <c r="L1239" t="str">
        <f t="shared" si="19"/>
        <v>INSERT INTO msfo.statements (id_company, id_year, id_showing, value) VALUES (10,5,11,83330,0357972468);</v>
      </c>
    </row>
    <row r="1240" spans="1:12">
      <c r="A1240" s="28" t="s">
        <v>44</v>
      </c>
      <c r="B1240" s="28" t="s">
        <v>33</v>
      </c>
      <c r="C1240" s="28">
        <v>2016</v>
      </c>
      <c r="D1240" s="28" t="s">
        <v>4</v>
      </c>
      <c r="E1240" s="28" t="s">
        <v>14</v>
      </c>
      <c r="F1240" s="28">
        <v>100747.82918348943</v>
      </c>
      <c r="H1240">
        <f>VLOOKUP(A1240&amp;B1240,ticker_sector[],2,FALSE)</f>
        <v>10</v>
      </c>
      <c r="I1240">
        <f>VLOOKUP(C1240,year[],2,FALSE)</f>
        <v>6</v>
      </c>
      <c r="J1240">
        <f>VLOOKUP(E1240,showing[],2,FALSE)</f>
        <v>11</v>
      </c>
      <c r="K1240">
        <f>Сектора[[#This Row],[Значение]]</f>
        <v>100747.82918348943</v>
      </c>
      <c r="L1240" t="str">
        <f t="shared" si="19"/>
        <v>INSERT INTO msfo.statements (id_company, id_year, id_showing, value) VALUES (10,6,11,100747,829183489);</v>
      </c>
    </row>
    <row r="1241" spans="1:12">
      <c r="A1241" s="28" t="s">
        <v>44</v>
      </c>
      <c r="B1241" s="28" t="s">
        <v>33</v>
      </c>
      <c r="C1241" s="28">
        <v>2017</v>
      </c>
      <c r="D1241" s="28" t="s">
        <v>4</v>
      </c>
      <c r="E1241" s="28" t="s">
        <v>14</v>
      </c>
      <c r="F1241" s="28">
        <v>113647.92136138416</v>
      </c>
      <c r="H1241">
        <f>VLOOKUP(A1241&amp;B1241,ticker_sector[],2,FALSE)</f>
        <v>10</v>
      </c>
      <c r="I1241">
        <f>VLOOKUP(C1241,year[],2,FALSE)</f>
        <v>7</v>
      </c>
      <c r="J1241">
        <f>VLOOKUP(E1241,showing[],2,FALSE)</f>
        <v>11</v>
      </c>
      <c r="K1241">
        <f>Сектора[[#This Row],[Значение]]</f>
        <v>113647.92136138416</v>
      </c>
      <c r="L1241" t="str">
        <f t="shared" si="19"/>
        <v>INSERT INTO msfo.statements (id_company, id_year, id_showing, value) VALUES (10,7,11,113647,921361384);</v>
      </c>
    </row>
    <row r="1242" spans="1:12">
      <c r="A1242" s="28" t="s">
        <v>44</v>
      </c>
      <c r="B1242" s="28" t="s">
        <v>33</v>
      </c>
      <c r="C1242" s="28">
        <v>2010</v>
      </c>
      <c r="D1242" s="28" t="s">
        <v>4</v>
      </c>
      <c r="E1242" s="28" t="s">
        <v>15</v>
      </c>
      <c r="F1242" s="28">
        <v>32745.882947412629</v>
      </c>
      <c r="H1242">
        <f>VLOOKUP(A1242&amp;B1242,ticker_sector[],2,FALSE)</f>
        <v>10</v>
      </c>
      <c r="I1242">
        <f>VLOOKUP(C1242,year[],2,FALSE)</f>
        <v>0</v>
      </c>
      <c r="J1242">
        <f>VLOOKUP(E1242,showing[],2,FALSE)</f>
        <v>12</v>
      </c>
      <c r="K1242">
        <f>Сектора[[#This Row],[Значение]]</f>
        <v>32745.882947412629</v>
      </c>
      <c r="L1242" t="str">
        <f t="shared" si="19"/>
        <v>INSERT INTO msfo.statements (id_company, id_year, id_showing, value) VALUES (10,0,12,32745,8829474126);</v>
      </c>
    </row>
    <row r="1243" spans="1:12">
      <c r="A1243" s="28" t="s">
        <v>44</v>
      </c>
      <c r="B1243" s="28" t="s">
        <v>33</v>
      </c>
      <c r="C1243" s="28">
        <v>2011</v>
      </c>
      <c r="D1243" s="28" t="s">
        <v>4</v>
      </c>
      <c r="E1243" s="28" t="s">
        <v>15</v>
      </c>
      <c r="F1243" s="28">
        <v>41695.7954534866</v>
      </c>
      <c r="H1243">
        <f>VLOOKUP(A1243&amp;B1243,ticker_sector[],2,FALSE)</f>
        <v>10</v>
      </c>
      <c r="I1243">
        <f>VLOOKUP(C1243,year[],2,FALSE)</f>
        <v>1</v>
      </c>
      <c r="J1243">
        <f>VLOOKUP(E1243,showing[],2,FALSE)</f>
        <v>12</v>
      </c>
      <c r="K1243">
        <f>Сектора[[#This Row],[Значение]]</f>
        <v>41695.7954534866</v>
      </c>
      <c r="L1243" t="str">
        <f t="shared" si="19"/>
        <v>INSERT INTO msfo.statements (id_company, id_year, id_showing, value) VALUES (10,1,12,41695,7954534866);</v>
      </c>
    </row>
    <row r="1244" spans="1:12">
      <c r="A1244" s="28" t="s">
        <v>44</v>
      </c>
      <c r="B1244" s="28" t="s">
        <v>33</v>
      </c>
      <c r="C1244" s="28">
        <v>2012</v>
      </c>
      <c r="D1244" s="28" t="s">
        <v>4</v>
      </c>
      <c r="E1244" s="28" t="s">
        <v>15</v>
      </c>
      <c r="F1244" s="28">
        <v>39857.042673190073</v>
      </c>
      <c r="H1244">
        <f>VLOOKUP(A1244&amp;B1244,ticker_sector[],2,FALSE)</f>
        <v>10</v>
      </c>
      <c r="I1244">
        <f>VLOOKUP(C1244,year[],2,FALSE)</f>
        <v>2</v>
      </c>
      <c r="J1244">
        <f>VLOOKUP(E1244,showing[],2,FALSE)</f>
        <v>12</v>
      </c>
      <c r="K1244">
        <f>Сектора[[#This Row],[Значение]]</f>
        <v>39857.042673190073</v>
      </c>
      <c r="L1244" t="str">
        <f t="shared" si="19"/>
        <v>INSERT INTO msfo.statements (id_company, id_year, id_showing, value) VALUES (10,2,12,39857,0426731901);</v>
      </c>
    </row>
    <row r="1245" spans="1:12">
      <c r="A1245" s="28" t="s">
        <v>44</v>
      </c>
      <c r="B1245" s="28" t="s">
        <v>33</v>
      </c>
      <c r="C1245" s="28">
        <v>2013</v>
      </c>
      <c r="D1245" s="28" t="s">
        <v>4</v>
      </c>
      <c r="E1245" s="28" t="s">
        <v>15</v>
      </c>
      <c r="F1245" s="28">
        <v>35616.666462974958</v>
      </c>
      <c r="H1245">
        <f>VLOOKUP(A1245&amp;B1245,ticker_sector[],2,FALSE)</f>
        <v>10</v>
      </c>
      <c r="I1245">
        <f>VLOOKUP(C1245,year[],2,FALSE)</f>
        <v>3</v>
      </c>
      <c r="J1245">
        <f>VLOOKUP(E1245,showing[],2,FALSE)</f>
        <v>12</v>
      </c>
      <c r="K1245">
        <f>Сектора[[#This Row],[Значение]]</f>
        <v>35616.666462974958</v>
      </c>
      <c r="L1245" t="str">
        <f t="shared" si="19"/>
        <v>INSERT INTO msfo.statements (id_company, id_year, id_showing, value) VALUES (10,3,12,35616,666462975);</v>
      </c>
    </row>
    <row r="1246" spans="1:12">
      <c r="A1246" s="28" t="s">
        <v>44</v>
      </c>
      <c r="B1246" s="28" t="s">
        <v>33</v>
      </c>
      <c r="C1246" s="28">
        <v>2014</v>
      </c>
      <c r="D1246" s="28" t="s">
        <v>4</v>
      </c>
      <c r="E1246" s="28" t="s">
        <v>15</v>
      </c>
      <c r="F1246" s="28">
        <v>2794.1071911039062</v>
      </c>
      <c r="H1246">
        <f>VLOOKUP(A1246&amp;B1246,ticker_sector[],2,FALSE)</f>
        <v>10</v>
      </c>
      <c r="I1246">
        <f>VLOOKUP(C1246,year[],2,FALSE)</f>
        <v>4</v>
      </c>
      <c r="J1246">
        <f>VLOOKUP(E1246,showing[],2,FALSE)</f>
        <v>12</v>
      </c>
      <c r="K1246">
        <f>Сектора[[#This Row],[Значение]]</f>
        <v>2794.1071911039062</v>
      </c>
      <c r="L1246" t="str">
        <f t="shared" si="19"/>
        <v>INSERT INTO msfo.statements (id_company, id_year, id_showing, value) VALUES (10,4,12,2794,10719110391);</v>
      </c>
    </row>
    <row r="1247" spans="1:12">
      <c r="A1247" s="28" t="s">
        <v>44</v>
      </c>
      <c r="B1247" s="28" t="s">
        <v>33</v>
      </c>
      <c r="C1247" s="28">
        <v>2015</v>
      </c>
      <c r="D1247" s="28" t="s">
        <v>4</v>
      </c>
      <c r="E1247" s="28" t="s">
        <v>15</v>
      </c>
      <c r="F1247" s="28">
        <v>11047.875558946087</v>
      </c>
      <c r="H1247">
        <f>VLOOKUP(A1247&amp;B1247,ticker_sector[],2,FALSE)</f>
        <v>10</v>
      </c>
      <c r="I1247">
        <f>VLOOKUP(C1247,year[],2,FALSE)</f>
        <v>5</v>
      </c>
      <c r="J1247">
        <f>VLOOKUP(E1247,showing[],2,FALSE)</f>
        <v>12</v>
      </c>
      <c r="K1247">
        <f>Сектора[[#This Row],[Значение]]</f>
        <v>11047.875558946087</v>
      </c>
      <c r="L1247" t="str">
        <f t="shared" si="19"/>
        <v>INSERT INTO msfo.statements (id_company, id_year, id_showing, value) VALUES (10,5,12,11047,8755589461);</v>
      </c>
    </row>
    <row r="1248" spans="1:12">
      <c r="A1248" s="28" t="s">
        <v>44</v>
      </c>
      <c r="B1248" s="28" t="s">
        <v>33</v>
      </c>
      <c r="C1248" s="28">
        <v>2016</v>
      </c>
      <c r="D1248" s="28" t="s">
        <v>4</v>
      </c>
      <c r="E1248" s="28" t="s">
        <v>15</v>
      </c>
      <c r="F1248" s="28">
        <v>16438.426625824926</v>
      </c>
      <c r="H1248">
        <f>VLOOKUP(A1248&amp;B1248,ticker_sector[],2,FALSE)</f>
        <v>10</v>
      </c>
      <c r="I1248">
        <f>VLOOKUP(C1248,year[],2,FALSE)</f>
        <v>6</v>
      </c>
      <c r="J1248">
        <f>VLOOKUP(E1248,showing[],2,FALSE)</f>
        <v>12</v>
      </c>
      <c r="K1248">
        <f>Сектора[[#This Row],[Значение]]</f>
        <v>16438.426625824926</v>
      </c>
      <c r="L1248" t="str">
        <f t="shared" si="19"/>
        <v>INSERT INTO msfo.statements (id_company, id_year, id_showing, value) VALUES (10,6,12,16438,4266258249);</v>
      </c>
    </row>
    <row r="1249" spans="1:12">
      <c r="A1249" s="28" t="s">
        <v>44</v>
      </c>
      <c r="B1249" s="28" t="s">
        <v>33</v>
      </c>
      <c r="C1249" s="28">
        <v>2017</v>
      </c>
      <c r="D1249" s="28" t="s">
        <v>4</v>
      </c>
      <c r="E1249" s="28" t="s">
        <v>15</v>
      </c>
      <c r="F1249" s="28">
        <v>13313.825299217711</v>
      </c>
      <c r="H1249">
        <f>VLOOKUP(A1249&amp;B1249,ticker_sector[],2,FALSE)</f>
        <v>10</v>
      </c>
      <c r="I1249">
        <f>VLOOKUP(C1249,year[],2,FALSE)</f>
        <v>7</v>
      </c>
      <c r="J1249">
        <f>VLOOKUP(E1249,showing[],2,FALSE)</f>
        <v>12</v>
      </c>
      <c r="K1249">
        <f>Сектора[[#This Row],[Значение]]</f>
        <v>13313.825299217711</v>
      </c>
      <c r="L1249" t="str">
        <f t="shared" si="19"/>
        <v>INSERT INTO msfo.statements (id_company, id_year, id_showing, value) VALUES (10,7,12,13313,8252992177);</v>
      </c>
    </row>
    <row r="1250" spans="1:12">
      <c r="A1250" s="28" t="s">
        <v>44</v>
      </c>
      <c r="B1250" s="28" t="s">
        <v>33</v>
      </c>
      <c r="C1250" s="28">
        <v>2010</v>
      </c>
      <c r="D1250" s="28" t="s">
        <v>7</v>
      </c>
      <c r="E1250" s="28" t="s">
        <v>16</v>
      </c>
      <c r="F1250" s="28">
        <v>1219216</v>
      </c>
      <c r="H1250">
        <f>VLOOKUP(A1250&amp;B1250,ticker_sector[],2,FALSE)</f>
        <v>10</v>
      </c>
      <c r="I1250">
        <f>VLOOKUP(C1250,year[],2,FALSE)</f>
        <v>0</v>
      </c>
      <c r="J1250">
        <f>VLOOKUP(E1250,showing[],2,FALSE)</f>
        <v>13</v>
      </c>
      <c r="K1250">
        <f>Сектора[[#This Row],[Значение]]</f>
        <v>1219216</v>
      </c>
      <c r="L1250" t="str">
        <f t="shared" si="19"/>
        <v>INSERT INTO msfo.statements (id_company, id_year, id_showing, value) VALUES (10,0,13,1219216);</v>
      </c>
    </row>
    <row r="1251" spans="1:12">
      <c r="A1251" s="28" t="s">
        <v>44</v>
      </c>
      <c r="B1251" s="28" t="s">
        <v>33</v>
      </c>
      <c r="C1251" s="28">
        <v>2011</v>
      </c>
      <c r="D1251" s="28" t="s">
        <v>7</v>
      </c>
      <c r="E1251" s="28" t="s">
        <v>16</v>
      </c>
      <c r="F1251" s="28">
        <v>1661213.9999999998</v>
      </c>
      <c r="H1251">
        <f>VLOOKUP(A1251&amp;B1251,ticker_sector[],2,FALSE)</f>
        <v>10</v>
      </c>
      <c r="I1251">
        <f>VLOOKUP(C1251,year[],2,FALSE)</f>
        <v>1</v>
      </c>
      <c r="J1251">
        <f>VLOOKUP(E1251,showing[],2,FALSE)</f>
        <v>13</v>
      </c>
      <c r="K1251">
        <f>Сектора[[#This Row],[Значение]]</f>
        <v>1661213.9999999998</v>
      </c>
      <c r="L1251" t="str">
        <f t="shared" si="19"/>
        <v>INSERT INTO msfo.statements (id_company, id_year, id_showing, value) VALUES (10,1,13,1661214);</v>
      </c>
    </row>
    <row r="1252" spans="1:12">
      <c r="A1252" s="28" t="s">
        <v>44</v>
      </c>
      <c r="B1252" s="28" t="s">
        <v>33</v>
      </c>
      <c r="C1252" s="28">
        <v>2012</v>
      </c>
      <c r="D1252" s="28" t="s">
        <v>7</v>
      </c>
      <c r="E1252" s="28" t="s">
        <v>16</v>
      </c>
      <c r="F1252" s="28">
        <v>1415286</v>
      </c>
      <c r="H1252">
        <f>VLOOKUP(A1252&amp;B1252,ticker_sector[],2,FALSE)</f>
        <v>10</v>
      </c>
      <c r="I1252">
        <f>VLOOKUP(C1252,year[],2,FALSE)</f>
        <v>2</v>
      </c>
      <c r="J1252">
        <f>VLOOKUP(E1252,showing[],2,FALSE)</f>
        <v>13</v>
      </c>
      <c r="K1252">
        <f>Сектора[[#This Row],[Значение]]</f>
        <v>1415286</v>
      </c>
      <c r="L1252" t="str">
        <f t="shared" si="19"/>
        <v>INSERT INTO msfo.statements (id_company, id_year, id_showing, value) VALUES (10,2,13,1415286);</v>
      </c>
    </row>
    <row r="1253" spans="1:12">
      <c r="A1253" s="28" t="s">
        <v>44</v>
      </c>
      <c r="B1253" s="28" t="s">
        <v>33</v>
      </c>
      <c r="C1253" s="28">
        <v>2013</v>
      </c>
      <c r="D1253" s="28" t="s">
        <v>7</v>
      </c>
      <c r="E1253" s="28" t="s">
        <v>16</v>
      </c>
      <c r="F1253" s="28">
        <v>1902556</v>
      </c>
      <c r="H1253">
        <f>VLOOKUP(A1253&amp;B1253,ticker_sector[],2,FALSE)</f>
        <v>10</v>
      </c>
      <c r="I1253">
        <f>VLOOKUP(C1253,year[],2,FALSE)</f>
        <v>3</v>
      </c>
      <c r="J1253">
        <f>VLOOKUP(E1253,showing[],2,FALSE)</f>
        <v>13</v>
      </c>
      <c r="K1253">
        <f>Сектора[[#This Row],[Значение]]</f>
        <v>1902556</v>
      </c>
      <c r="L1253" t="str">
        <f t="shared" si="19"/>
        <v>INSERT INTO msfo.statements (id_company, id_year, id_showing, value) VALUES (10,3,13,1902556);</v>
      </c>
    </row>
    <row r="1254" spans="1:12">
      <c r="A1254" s="28" t="s">
        <v>44</v>
      </c>
      <c r="B1254" s="28" t="s">
        <v>33</v>
      </c>
      <c r="C1254" s="28">
        <v>2014</v>
      </c>
      <c r="D1254" s="28" t="s">
        <v>7</v>
      </c>
      <c r="E1254" s="28" t="s">
        <v>16</v>
      </c>
      <c r="F1254" s="28">
        <v>1952736</v>
      </c>
      <c r="H1254">
        <f>VLOOKUP(A1254&amp;B1254,ticker_sector[],2,FALSE)</f>
        <v>10</v>
      </c>
      <c r="I1254">
        <f>VLOOKUP(C1254,year[],2,FALSE)</f>
        <v>4</v>
      </c>
      <c r="J1254">
        <f>VLOOKUP(E1254,showing[],2,FALSE)</f>
        <v>13</v>
      </c>
      <c r="K1254">
        <f>Сектора[[#This Row],[Значение]]</f>
        <v>1952736</v>
      </c>
      <c r="L1254" t="str">
        <f t="shared" si="19"/>
        <v>INSERT INTO msfo.statements (id_company, id_year, id_showing, value) VALUES (10,4,13,1952736);</v>
      </c>
    </row>
    <row r="1255" spans="1:12">
      <c r="A1255" s="28" t="s">
        <v>44</v>
      </c>
      <c r="B1255" s="28" t="s">
        <v>33</v>
      </c>
      <c r="C1255" s="28">
        <v>2015</v>
      </c>
      <c r="D1255" s="28" t="s">
        <v>7</v>
      </c>
      <c r="E1255" s="28" t="s">
        <v>16</v>
      </c>
      <c r="F1255" s="28">
        <v>1894651</v>
      </c>
      <c r="H1255">
        <f>VLOOKUP(A1255&amp;B1255,ticker_sector[],2,FALSE)</f>
        <v>10</v>
      </c>
      <c r="I1255">
        <f>VLOOKUP(C1255,year[],2,FALSE)</f>
        <v>5</v>
      </c>
      <c r="J1255">
        <f>VLOOKUP(E1255,showing[],2,FALSE)</f>
        <v>13</v>
      </c>
      <c r="K1255">
        <f>Сектора[[#This Row],[Значение]]</f>
        <v>1894651</v>
      </c>
      <c r="L1255" t="str">
        <f t="shared" si="19"/>
        <v>INSERT INTO msfo.statements (id_company, id_year, id_showing, value) VALUES (10,5,13,1894651);</v>
      </c>
    </row>
    <row r="1256" spans="1:12">
      <c r="A1256" s="28" t="s">
        <v>44</v>
      </c>
      <c r="B1256" s="28" t="s">
        <v>33</v>
      </c>
      <c r="C1256" s="28">
        <v>2016</v>
      </c>
      <c r="D1256" s="28" t="s">
        <v>7</v>
      </c>
      <c r="E1256" s="28" t="s">
        <v>16</v>
      </c>
      <c r="F1256" s="28">
        <v>1462494</v>
      </c>
      <c r="H1256">
        <f>VLOOKUP(A1256&amp;B1256,ticker_sector[],2,FALSE)</f>
        <v>10</v>
      </c>
      <c r="I1256">
        <f>VLOOKUP(C1256,year[],2,FALSE)</f>
        <v>6</v>
      </c>
      <c r="J1256">
        <f>VLOOKUP(E1256,showing[],2,FALSE)</f>
        <v>13</v>
      </c>
      <c r="K1256">
        <f>Сектора[[#This Row],[Значение]]</f>
        <v>1462494</v>
      </c>
      <c r="L1256" t="str">
        <f t="shared" si="19"/>
        <v>INSERT INTO msfo.statements (id_company, id_year, id_showing, value) VALUES (10,6,13,1462494);</v>
      </c>
    </row>
    <row r="1257" spans="1:12">
      <c r="A1257" s="28" t="s">
        <v>44</v>
      </c>
      <c r="B1257" s="28" t="s">
        <v>33</v>
      </c>
      <c r="C1257" s="28">
        <v>2017</v>
      </c>
      <c r="D1257" s="28" t="s">
        <v>7</v>
      </c>
      <c r="E1257" s="28" t="s">
        <v>16</v>
      </c>
      <c r="F1257" s="28">
        <v>1271841</v>
      </c>
      <c r="H1257">
        <f>VLOOKUP(A1257&amp;B1257,ticker_sector[],2,FALSE)</f>
        <v>10</v>
      </c>
      <c r="I1257">
        <f>VLOOKUP(C1257,year[],2,FALSE)</f>
        <v>7</v>
      </c>
      <c r="J1257">
        <f>VLOOKUP(E1257,showing[],2,FALSE)</f>
        <v>13</v>
      </c>
      <c r="K1257">
        <f>Сектора[[#This Row],[Значение]]</f>
        <v>1271841</v>
      </c>
      <c r="L1257" t="str">
        <f t="shared" si="19"/>
        <v>INSERT INTO msfo.statements (id_company, id_year, id_showing, value) VALUES (10,7,13,1271841);</v>
      </c>
    </row>
    <row r="1258" spans="1:12">
      <c r="A1258" s="28" t="s">
        <v>44</v>
      </c>
      <c r="B1258" s="28" t="s">
        <v>33</v>
      </c>
      <c r="C1258" s="28">
        <v>2010</v>
      </c>
      <c r="D1258" s="28" t="s">
        <v>7</v>
      </c>
      <c r="E1258" s="28" t="s">
        <v>17</v>
      </c>
      <c r="F1258" s="28">
        <v>40004.59364305425</v>
      </c>
      <c r="H1258">
        <f>VLOOKUP(A1258&amp;B1258,ticker_sector[],2,FALSE)</f>
        <v>10</v>
      </c>
      <c r="I1258">
        <f>VLOOKUP(C1258,year[],2,FALSE)</f>
        <v>0</v>
      </c>
      <c r="J1258">
        <f>VLOOKUP(E1258,showing[],2,FALSE)</f>
        <v>14</v>
      </c>
      <c r="K1258">
        <f>Сектора[[#This Row],[Значение]]</f>
        <v>40004.59364305425</v>
      </c>
      <c r="L1258" t="str">
        <f t="shared" si="19"/>
        <v>INSERT INTO msfo.statements (id_company, id_year, id_showing, value) VALUES (10,0,14,40004,5936430542);</v>
      </c>
    </row>
    <row r="1259" spans="1:12">
      <c r="A1259" s="28" t="s">
        <v>44</v>
      </c>
      <c r="B1259" s="28" t="s">
        <v>33</v>
      </c>
      <c r="C1259" s="28">
        <v>2011</v>
      </c>
      <c r="D1259" s="28" t="s">
        <v>7</v>
      </c>
      <c r="E1259" s="28" t="s">
        <v>17</v>
      </c>
      <c r="F1259" s="28">
        <v>51596.74618975589</v>
      </c>
      <c r="H1259">
        <f>VLOOKUP(A1259&amp;B1259,ticker_sector[],2,FALSE)</f>
        <v>10</v>
      </c>
      <c r="I1259">
        <f>VLOOKUP(C1259,year[],2,FALSE)</f>
        <v>1</v>
      </c>
      <c r="J1259">
        <f>VLOOKUP(E1259,showing[],2,FALSE)</f>
        <v>14</v>
      </c>
      <c r="K1259">
        <f>Сектора[[#This Row],[Значение]]</f>
        <v>51596.74618975589</v>
      </c>
      <c r="L1259" t="str">
        <f t="shared" si="19"/>
        <v>INSERT INTO msfo.statements (id_company, id_year, id_showing, value) VALUES (10,1,14,51596,7461897559);</v>
      </c>
    </row>
    <row r="1260" spans="1:12">
      <c r="A1260" s="28" t="s">
        <v>44</v>
      </c>
      <c r="B1260" s="28" t="s">
        <v>33</v>
      </c>
      <c r="C1260" s="28">
        <v>2012</v>
      </c>
      <c r="D1260" s="28" t="s">
        <v>7</v>
      </c>
      <c r="E1260" s="28" t="s">
        <v>17</v>
      </c>
      <c r="F1260" s="28">
        <v>46597.306133468548</v>
      </c>
      <c r="H1260">
        <f>VLOOKUP(A1260&amp;B1260,ticker_sector[],2,FALSE)</f>
        <v>10</v>
      </c>
      <c r="I1260">
        <f>VLOOKUP(C1260,year[],2,FALSE)</f>
        <v>2</v>
      </c>
      <c r="J1260">
        <f>VLOOKUP(E1260,showing[],2,FALSE)</f>
        <v>14</v>
      </c>
      <c r="K1260">
        <f>Сектора[[#This Row],[Значение]]</f>
        <v>46597.306133468548</v>
      </c>
      <c r="L1260" t="str">
        <f t="shared" si="19"/>
        <v>INSERT INTO msfo.statements (id_company, id_year, id_showing, value) VALUES (10,2,14,46597,3061334685);</v>
      </c>
    </row>
    <row r="1261" spans="1:12">
      <c r="A1261" s="28" t="s">
        <v>44</v>
      </c>
      <c r="B1261" s="28" t="s">
        <v>33</v>
      </c>
      <c r="C1261" s="28">
        <v>2013</v>
      </c>
      <c r="D1261" s="28" t="s">
        <v>7</v>
      </c>
      <c r="E1261" s="28" t="s">
        <v>17</v>
      </c>
      <c r="F1261" s="28">
        <v>58130.232330762745</v>
      </c>
      <c r="H1261">
        <f>VLOOKUP(A1261&amp;B1261,ticker_sector[],2,FALSE)</f>
        <v>10</v>
      </c>
      <c r="I1261">
        <f>VLOOKUP(C1261,year[],2,FALSE)</f>
        <v>3</v>
      </c>
      <c r="J1261">
        <f>VLOOKUP(E1261,showing[],2,FALSE)</f>
        <v>14</v>
      </c>
      <c r="K1261">
        <f>Сектора[[#This Row],[Значение]]</f>
        <v>58130.232330762745</v>
      </c>
      <c r="L1261" t="str">
        <f t="shared" si="19"/>
        <v>INSERT INTO msfo.statements (id_company, id_year, id_showing, value) VALUES (10,3,14,58130,2323307627);</v>
      </c>
    </row>
    <row r="1262" spans="1:12">
      <c r="A1262" s="28" t="s">
        <v>44</v>
      </c>
      <c r="B1262" s="28" t="s">
        <v>33</v>
      </c>
      <c r="C1262" s="28">
        <v>2014</v>
      </c>
      <c r="D1262" s="28" t="s">
        <v>7</v>
      </c>
      <c r="E1262" s="28" t="s">
        <v>17</v>
      </c>
      <c r="F1262" s="28">
        <v>34710.123288255621</v>
      </c>
      <c r="H1262">
        <f>VLOOKUP(A1262&amp;B1262,ticker_sector[],2,FALSE)</f>
        <v>10</v>
      </c>
      <c r="I1262">
        <f>VLOOKUP(C1262,year[],2,FALSE)</f>
        <v>4</v>
      </c>
      <c r="J1262">
        <f>VLOOKUP(E1262,showing[],2,FALSE)</f>
        <v>14</v>
      </c>
      <c r="K1262">
        <f>Сектора[[#This Row],[Значение]]</f>
        <v>34710.123288255621</v>
      </c>
      <c r="L1262" t="str">
        <f t="shared" si="19"/>
        <v>INSERT INTO msfo.statements (id_company, id_year, id_showing, value) VALUES (10,4,14,34710,1232882556);</v>
      </c>
    </row>
    <row r="1263" spans="1:12">
      <c r="A1263" s="28" t="s">
        <v>44</v>
      </c>
      <c r="B1263" s="28" t="s">
        <v>33</v>
      </c>
      <c r="C1263" s="28">
        <v>2015</v>
      </c>
      <c r="D1263" s="28" t="s">
        <v>7</v>
      </c>
      <c r="E1263" s="28" t="s">
        <v>17</v>
      </c>
      <c r="F1263" s="28">
        <v>25995.894773382435</v>
      </c>
      <c r="H1263">
        <f>VLOOKUP(A1263&amp;B1263,ticker_sector[],2,FALSE)</f>
        <v>10</v>
      </c>
      <c r="I1263">
        <f>VLOOKUP(C1263,year[],2,FALSE)</f>
        <v>5</v>
      </c>
      <c r="J1263">
        <f>VLOOKUP(E1263,showing[],2,FALSE)</f>
        <v>14</v>
      </c>
      <c r="K1263">
        <f>Сектора[[#This Row],[Значение]]</f>
        <v>25995.894773382435</v>
      </c>
      <c r="L1263" t="str">
        <f t="shared" si="19"/>
        <v>INSERT INTO msfo.statements (id_company, id_year, id_showing, value) VALUES (10,5,14,25995,8947733824);</v>
      </c>
    </row>
    <row r="1264" spans="1:12">
      <c r="A1264" s="28" t="s">
        <v>44</v>
      </c>
      <c r="B1264" s="28" t="s">
        <v>33</v>
      </c>
      <c r="C1264" s="28">
        <v>2016</v>
      </c>
      <c r="D1264" s="28" t="s">
        <v>7</v>
      </c>
      <c r="E1264" s="28" t="s">
        <v>17</v>
      </c>
      <c r="F1264" s="28">
        <v>24110.925550102296</v>
      </c>
      <c r="H1264">
        <f>VLOOKUP(A1264&amp;B1264,ticker_sector[],2,FALSE)</f>
        <v>10</v>
      </c>
      <c r="I1264">
        <f>VLOOKUP(C1264,year[],2,FALSE)</f>
        <v>6</v>
      </c>
      <c r="J1264">
        <f>VLOOKUP(E1264,showing[],2,FALSE)</f>
        <v>14</v>
      </c>
      <c r="K1264">
        <f>Сектора[[#This Row],[Значение]]</f>
        <v>24110.925550102296</v>
      </c>
      <c r="L1264" t="str">
        <f t="shared" si="19"/>
        <v>INSERT INTO msfo.statements (id_company, id_year, id_showing, value) VALUES (10,6,14,24110,9255501023);</v>
      </c>
    </row>
    <row r="1265" spans="1:12">
      <c r="A1265" s="28" t="s">
        <v>44</v>
      </c>
      <c r="B1265" s="28" t="s">
        <v>33</v>
      </c>
      <c r="C1265" s="28">
        <v>2017</v>
      </c>
      <c r="D1265" s="28" t="s">
        <v>7</v>
      </c>
      <c r="E1265" s="28" t="s">
        <v>17</v>
      </c>
      <c r="F1265" s="28">
        <v>22080.496248276915</v>
      </c>
      <c r="H1265">
        <f>VLOOKUP(A1265&amp;B1265,ticker_sector[],2,FALSE)</f>
        <v>10</v>
      </c>
      <c r="I1265">
        <f>VLOOKUP(C1265,year[],2,FALSE)</f>
        <v>7</v>
      </c>
      <c r="J1265">
        <f>VLOOKUP(E1265,showing[],2,FALSE)</f>
        <v>14</v>
      </c>
      <c r="K1265">
        <f>Сектора[[#This Row],[Значение]]</f>
        <v>22080.496248276915</v>
      </c>
      <c r="L1265" t="str">
        <f t="shared" si="19"/>
        <v>INSERT INTO msfo.statements (id_company, id_year, id_showing, value) VALUES (10,7,14,22080,4962482769);</v>
      </c>
    </row>
    <row r="1266" spans="1:12">
      <c r="A1266" s="28" t="s">
        <v>44</v>
      </c>
      <c r="B1266" s="28" t="s">
        <v>33</v>
      </c>
      <c r="C1266" s="28">
        <v>2010</v>
      </c>
      <c r="D1266" s="28" t="s">
        <v>20</v>
      </c>
      <c r="E1266" s="28" t="s">
        <v>18</v>
      </c>
      <c r="F1266" s="28">
        <v>22900</v>
      </c>
      <c r="H1266">
        <f>VLOOKUP(A1266&amp;B1266,ticker_sector[],2,FALSE)</f>
        <v>10</v>
      </c>
      <c r="I1266">
        <f>VLOOKUP(C1266,year[],2,FALSE)</f>
        <v>0</v>
      </c>
      <c r="J1266">
        <f>VLOOKUP(E1266,showing[],2,FALSE)</f>
        <v>15</v>
      </c>
      <c r="K1266">
        <f>Сектора[[#This Row],[Значение]]</f>
        <v>22900</v>
      </c>
      <c r="L1266" t="str">
        <f t="shared" si="19"/>
        <v>INSERT INTO msfo.statements (id_company, id_year, id_showing, value) VALUES (10,0,15,22900);</v>
      </c>
    </row>
    <row r="1267" spans="1:12">
      <c r="A1267" s="28" t="s">
        <v>44</v>
      </c>
      <c r="B1267" s="28" t="s">
        <v>33</v>
      </c>
      <c r="C1267" s="28">
        <v>2011</v>
      </c>
      <c r="D1267" s="28" t="s">
        <v>20</v>
      </c>
      <c r="E1267" s="28" t="s">
        <v>18</v>
      </c>
      <c r="F1267" s="28">
        <v>22900</v>
      </c>
      <c r="H1267">
        <f>VLOOKUP(A1267&amp;B1267,ticker_sector[],2,FALSE)</f>
        <v>10</v>
      </c>
      <c r="I1267">
        <f>VLOOKUP(C1267,year[],2,FALSE)</f>
        <v>1</v>
      </c>
      <c r="J1267">
        <f>VLOOKUP(E1267,showing[],2,FALSE)</f>
        <v>15</v>
      </c>
      <c r="K1267">
        <f>Сектора[[#This Row],[Значение]]</f>
        <v>22900</v>
      </c>
      <c r="L1267" t="str">
        <f t="shared" si="19"/>
        <v>INSERT INTO msfo.statements (id_company, id_year, id_showing, value) VALUES (10,1,15,22900);</v>
      </c>
    </row>
    <row r="1268" spans="1:12">
      <c r="A1268" s="28" t="s">
        <v>44</v>
      </c>
      <c r="B1268" s="28" t="s">
        <v>33</v>
      </c>
      <c r="C1268" s="28">
        <v>2012</v>
      </c>
      <c r="D1268" s="28" t="s">
        <v>20</v>
      </c>
      <c r="E1268" s="28" t="s">
        <v>18</v>
      </c>
      <c r="F1268" s="28">
        <v>22900</v>
      </c>
      <c r="H1268">
        <f>VLOOKUP(A1268&amp;B1268,ticker_sector[],2,FALSE)</f>
        <v>10</v>
      </c>
      <c r="I1268">
        <f>VLOOKUP(C1268,year[],2,FALSE)</f>
        <v>2</v>
      </c>
      <c r="J1268">
        <f>VLOOKUP(E1268,showing[],2,FALSE)</f>
        <v>15</v>
      </c>
      <c r="K1268">
        <f>Сектора[[#This Row],[Значение]]</f>
        <v>22900</v>
      </c>
      <c r="L1268" t="str">
        <f t="shared" si="19"/>
        <v>INSERT INTO msfo.statements (id_company, id_year, id_showing, value) VALUES (10,2,15,22900);</v>
      </c>
    </row>
    <row r="1269" spans="1:12">
      <c r="A1269" s="28" t="s">
        <v>44</v>
      </c>
      <c r="B1269" s="28" t="s">
        <v>33</v>
      </c>
      <c r="C1269" s="28">
        <v>2013</v>
      </c>
      <c r="D1269" s="28" t="s">
        <v>20</v>
      </c>
      <c r="E1269" s="28" t="s">
        <v>18</v>
      </c>
      <c r="F1269" s="28">
        <v>22900</v>
      </c>
      <c r="H1269">
        <f>VLOOKUP(A1269&amp;B1269,ticker_sector[],2,FALSE)</f>
        <v>10</v>
      </c>
      <c r="I1269">
        <f>VLOOKUP(C1269,year[],2,FALSE)</f>
        <v>3</v>
      </c>
      <c r="J1269">
        <f>VLOOKUP(E1269,showing[],2,FALSE)</f>
        <v>15</v>
      </c>
      <c r="K1269">
        <f>Сектора[[#This Row],[Значение]]</f>
        <v>22900</v>
      </c>
      <c r="L1269" t="str">
        <f t="shared" si="19"/>
        <v>INSERT INTO msfo.statements (id_company, id_year, id_showing, value) VALUES (10,3,15,22900);</v>
      </c>
    </row>
    <row r="1270" spans="1:12">
      <c r="A1270" s="28" t="s">
        <v>44</v>
      </c>
      <c r="B1270" s="28" t="s">
        <v>33</v>
      </c>
      <c r="C1270" s="28">
        <v>2014</v>
      </c>
      <c r="D1270" s="28" t="s">
        <v>20</v>
      </c>
      <c r="E1270" s="28" t="s">
        <v>18</v>
      </c>
      <c r="F1270" s="28">
        <v>23000</v>
      </c>
      <c r="H1270">
        <f>VLOOKUP(A1270&amp;B1270,ticker_sector[],2,FALSE)</f>
        <v>10</v>
      </c>
      <c r="I1270">
        <f>VLOOKUP(C1270,year[],2,FALSE)</f>
        <v>4</v>
      </c>
      <c r="J1270">
        <f>VLOOKUP(E1270,showing[],2,FALSE)</f>
        <v>15</v>
      </c>
      <c r="K1270">
        <f>Сектора[[#This Row],[Значение]]</f>
        <v>23000</v>
      </c>
      <c r="L1270" t="str">
        <f t="shared" si="19"/>
        <v>INSERT INTO msfo.statements (id_company, id_year, id_showing, value) VALUES (10,4,15,23000);</v>
      </c>
    </row>
    <row r="1271" spans="1:12">
      <c r="A1271" s="28" t="s">
        <v>44</v>
      </c>
      <c r="B1271" s="28" t="s">
        <v>33</v>
      </c>
      <c r="C1271" s="28">
        <v>2015</v>
      </c>
      <c r="D1271" s="28" t="s">
        <v>20</v>
      </c>
      <c r="E1271" s="28" t="s">
        <v>18</v>
      </c>
      <c r="F1271" s="28">
        <v>23000</v>
      </c>
      <c r="H1271">
        <f>VLOOKUP(A1271&amp;B1271,ticker_sector[],2,FALSE)</f>
        <v>10</v>
      </c>
      <c r="I1271">
        <f>VLOOKUP(C1271,year[],2,FALSE)</f>
        <v>5</v>
      </c>
      <c r="J1271">
        <f>VLOOKUP(E1271,showing[],2,FALSE)</f>
        <v>15</v>
      </c>
      <c r="K1271">
        <f>Сектора[[#This Row],[Значение]]</f>
        <v>23000</v>
      </c>
      <c r="L1271" t="str">
        <f t="shared" si="19"/>
        <v>INSERT INTO msfo.statements (id_company, id_year, id_showing, value) VALUES (10,5,15,23000);</v>
      </c>
    </row>
    <row r="1272" spans="1:12">
      <c r="A1272" s="28" t="s">
        <v>44</v>
      </c>
      <c r="B1272" s="28" t="s">
        <v>33</v>
      </c>
      <c r="C1272" s="28">
        <v>2016</v>
      </c>
      <c r="D1272" s="28" t="s">
        <v>20</v>
      </c>
      <c r="E1272" s="28" t="s">
        <v>18</v>
      </c>
      <c r="F1272" s="28">
        <v>22600</v>
      </c>
      <c r="H1272">
        <f>VLOOKUP(A1272&amp;B1272,ticker_sector[],2,FALSE)</f>
        <v>10</v>
      </c>
      <c r="I1272">
        <f>VLOOKUP(C1272,year[],2,FALSE)</f>
        <v>6</v>
      </c>
      <c r="J1272">
        <f>VLOOKUP(E1272,showing[],2,FALSE)</f>
        <v>15</v>
      </c>
      <c r="K1272">
        <f>Сектора[[#This Row],[Значение]]</f>
        <v>22600</v>
      </c>
      <c r="L1272" t="str">
        <f t="shared" si="19"/>
        <v>INSERT INTO msfo.statements (id_company, id_year, id_showing, value) VALUES (10,6,15,22600);</v>
      </c>
    </row>
    <row r="1273" spans="1:12">
      <c r="A1273" s="28" t="s">
        <v>44</v>
      </c>
      <c r="B1273" s="28" t="s">
        <v>33</v>
      </c>
      <c r="C1273" s="28">
        <v>2017</v>
      </c>
      <c r="D1273" s="28" t="s">
        <v>20</v>
      </c>
      <c r="E1273" s="28" t="s">
        <v>18</v>
      </c>
      <c r="F1273" s="28">
        <v>22100</v>
      </c>
      <c r="H1273">
        <f>VLOOKUP(A1273&amp;B1273,ticker_sector[],2,FALSE)</f>
        <v>10</v>
      </c>
      <c r="I1273">
        <f>VLOOKUP(C1273,year[],2,FALSE)</f>
        <v>7</v>
      </c>
      <c r="J1273">
        <f>VLOOKUP(E1273,showing[],2,FALSE)</f>
        <v>15</v>
      </c>
      <c r="K1273">
        <f>Сектора[[#This Row],[Значение]]</f>
        <v>22100</v>
      </c>
      <c r="L1273" t="str">
        <f t="shared" si="19"/>
        <v>INSERT INTO msfo.statements (id_company, id_year, id_showing, value) VALUES (10,7,15,22100);</v>
      </c>
    </row>
    <row r="1274" spans="1:12">
      <c r="A1274" s="28" t="s">
        <v>44</v>
      </c>
      <c r="B1274" s="28" t="s">
        <v>33</v>
      </c>
      <c r="C1274" s="28">
        <v>2010</v>
      </c>
      <c r="D1274" s="28" t="s">
        <v>20</v>
      </c>
      <c r="E1274" s="28" t="s">
        <v>19</v>
      </c>
      <c r="F1274" s="28">
        <v>193.5</v>
      </c>
      <c r="H1274">
        <f>VLOOKUP(A1274&amp;B1274,ticker_sector[],2,FALSE)</f>
        <v>10</v>
      </c>
      <c r="I1274">
        <f>VLOOKUP(C1274,year[],2,FALSE)</f>
        <v>0</v>
      </c>
      <c r="J1274">
        <f>VLOOKUP(E1274,showing[],2,FALSE)</f>
        <v>16</v>
      </c>
      <c r="K1274">
        <f>Сектора[[#This Row],[Значение]]</f>
        <v>193.5</v>
      </c>
      <c r="L1274" t="str">
        <f t="shared" si="19"/>
        <v>INSERT INTO msfo.statements (id_company, id_year, id_showing, value) VALUES (10,0,16,193,5);</v>
      </c>
    </row>
    <row r="1275" spans="1:12">
      <c r="A1275" s="28" t="s">
        <v>44</v>
      </c>
      <c r="B1275" s="28" t="s">
        <v>33</v>
      </c>
      <c r="C1275" s="28">
        <v>2011</v>
      </c>
      <c r="D1275" s="28" t="s">
        <v>20</v>
      </c>
      <c r="E1275" s="28" t="s">
        <v>19</v>
      </c>
      <c r="F1275" s="28">
        <v>171.3</v>
      </c>
      <c r="H1275">
        <f>VLOOKUP(A1275&amp;B1275,ticker_sector[],2,FALSE)</f>
        <v>10</v>
      </c>
      <c r="I1275">
        <f>VLOOKUP(C1275,year[],2,FALSE)</f>
        <v>1</v>
      </c>
      <c r="J1275">
        <f>VLOOKUP(E1275,showing[],2,FALSE)</f>
        <v>16</v>
      </c>
      <c r="K1275">
        <f>Сектора[[#This Row],[Значение]]</f>
        <v>171.3</v>
      </c>
      <c r="L1275" t="str">
        <f t="shared" si="19"/>
        <v>INSERT INTO msfo.statements (id_company, id_year, id_showing, value) VALUES (10,1,16,171,3);</v>
      </c>
    </row>
    <row r="1276" spans="1:12">
      <c r="A1276" s="28" t="s">
        <v>44</v>
      </c>
      <c r="B1276" s="28" t="s">
        <v>33</v>
      </c>
      <c r="C1276" s="28">
        <v>2012</v>
      </c>
      <c r="D1276" s="28" t="s">
        <v>20</v>
      </c>
      <c r="E1276" s="28" t="s">
        <v>19</v>
      </c>
      <c r="F1276" s="28">
        <v>143.69999999999999</v>
      </c>
      <c r="H1276">
        <f>VLOOKUP(A1276&amp;B1276,ticker_sector[],2,FALSE)</f>
        <v>10</v>
      </c>
      <c r="I1276">
        <f>VLOOKUP(C1276,year[],2,FALSE)</f>
        <v>2</v>
      </c>
      <c r="J1276">
        <f>VLOOKUP(E1276,showing[],2,FALSE)</f>
        <v>16</v>
      </c>
      <c r="K1276">
        <f>Сектора[[#This Row],[Значение]]</f>
        <v>143.69999999999999</v>
      </c>
      <c r="L1276" t="str">
        <f t="shared" si="19"/>
        <v>INSERT INTO msfo.statements (id_company, id_year, id_showing, value) VALUES (10,2,16,143,7);</v>
      </c>
    </row>
    <row r="1277" spans="1:12">
      <c r="A1277" s="28" t="s">
        <v>44</v>
      </c>
      <c r="B1277" s="28" t="s">
        <v>33</v>
      </c>
      <c r="C1277" s="28">
        <v>2013</v>
      </c>
      <c r="D1277" s="28" t="s">
        <v>20</v>
      </c>
      <c r="E1277" s="28" t="s">
        <v>19</v>
      </c>
      <c r="F1277" s="28">
        <v>138.75</v>
      </c>
      <c r="H1277">
        <f>VLOOKUP(A1277&amp;B1277,ticker_sector[],2,FALSE)</f>
        <v>10</v>
      </c>
      <c r="I1277">
        <f>VLOOKUP(C1277,year[],2,FALSE)</f>
        <v>3</v>
      </c>
      <c r="J1277">
        <f>VLOOKUP(E1277,showing[],2,FALSE)</f>
        <v>16</v>
      </c>
      <c r="K1277">
        <f>Сектора[[#This Row],[Значение]]</f>
        <v>138.75</v>
      </c>
      <c r="L1277" t="str">
        <f t="shared" si="19"/>
        <v>INSERT INTO msfo.statements (id_company, id_year, id_showing, value) VALUES (10,3,16,138,75);</v>
      </c>
    </row>
    <row r="1278" spans="1:12">
      <c r="A1278" s="28" t="s">
        <v>44</v>
      </c>
      <c r="B1278" s="28" t="s">
        <v>33</v>
      </c>
      <c r="C1278" s="28">
        <v>2014</v>
      </c>
      <c r="D1278" s="28" t="s">
        <v>20</v>
      </c>
      <c r="E1278" s="28" t="s">
        <v>19</v>
      </c>
      <c r="F1278" s="28">
        <v>130.31</v>
      </c>
      <c r="H1278">
        <f>VLOOKUP(A1278&amp;B1278,ticker_sector[],2,FALSE)</f>
        <v>10</v>
      </c>
      <c r="I1278">
        <f>VLOOKUP(C1278,year[],2,FALSE)</f>
        <v>4</v>
      </c>
      <c r="J1278">
        <f>VLOOKUP(E1278,showing[],2,FALSE)</f>
        <v>16</v>
      </c>
      <c r="K1278">
        <f>Сектора[[#This Row],[Значение]]</f>
        <v>130.31</v>
      </c>
      <c r="L1278" t="str">
        <f t="shared" si="19"/>
        <v>INSERT INTO msfo.statements (id_company, id_year, id_showing, value) VALUES (10,4,16,130,31);</v>
      </c>
    </row>
    <row r="1279" spans="1:12">
      <c r="A1279" s="28" t="s">
        <v>44</v>
      </c>
      <c r="B1279" s="28" t="s">
        <v>33</v>
      </c>
      <c r="C1279" s="28">
        <v>2015</v>
      </c>
      <c r="D1279" s="28" t="s">
        <v>20</v>
      </c>
      <c r="E1279" s="28" t="s">
        <v>19</v>
      </c>
      <c r="F1279" s="28">
        <v>136.09</v>
      </c>
      <c r="H1279">
        <f>VLOOKUP(A1279&amp;B1279,ticker_sector[],2,FALSE)</f>
        <v>10</v>
      </c>
      <c r="I1279">
        <f>VLOOKUP(C1279,year[],2,FALSE)</f>
        <v>5</v>
      </c>
      <c r="J1279">
        <f>VLOOKUP(E1279,showing[],2,FALSE)</f>
        <v>16</v>
      </c>
      <c r="K1279">
        <f>Сектора[[#This Row],[Значение]]</f>
        <v>136.09</v>
      </c>
      <c r="L1279" t="str">
        <f t="shared" si="19"/>
        <v>INSERT INTO msfo.statements (id_company, id_year, id_showing, value) VALUES (10,5,16,136,09);</v>
      </c>
    </row>
    <row r="1280" spans="1:12">
      <c r="A1280" s="28" t="s">
        <v>44</v>
      </c>
      <c r="B1280" s="28" t="s">
        <v>33</v>
      </c>
      <c r="C1280" s="28">
        <v>2016</v>
      </c>
      <c r="D1280" s="28" t="s">
        <v>20</v>
      </c>
      <c r="E1280" s="28" t="s">
        <v>19</v>
      </c>
      <c r="F1280" s="28">
        <v>154.55000000000001</v>
      </c>
      <c r="H1280">
        <f>VLOOKUP(A1280&amp;B1280,ticker_sector[],2,FALSE)</f>
        <v>10</v>
      </c>
      <c r="I1280">
        <f>VLOOKUP(C1280,year[],2,FALSE)</f>
        <v>6</v>
      </c>
      <c r="J1280">
        <f>VLOOKUP(E1280,showing[],2,FALSE)</f>
        <v>16</v>
      </c>
      <c r="K1280">
        <f>Сектора[[#This Row],[Значение]]</f>
        <v>154.55000000000001</v>
      </c>
      <c r="L1280" t="str">
        <f t="shared" si="19"/>
        <v>INSERT INTO msfo.statements (id_company, id_year, id_showing, value) VALUES (10,6,16,154,55);</v>
      </c>
    </row>
    <row r="1281" spans="1:12">
      <c r="A1281" s="28" t="s">
        <v>44</v>
      </c>
      <c r="B1281" s="28" t="s">
        <v>33</v>
      </c>
      <c r="C1281" s="28">
        <v>2017</v>
      </c>
      <c r="D1281" s="28" t="s">
        <v>20</v>
      </c>
      <c r="E1281" s="28" t="s">
        <v>19</v>
      </c>
      <c r="F1281" s="28">
        <v>130.5</v>
      </c>
      <c r="H1281">
        <f>VLOOKUP(A1281&amp;B1281,ticker_sector[],2,FALSE)</f>
        <v>10</v>
      </c>
      <c r="I1281">
        <f>VLOOKUP(C1281,year[],2,FALSE)</f>
        <v>7</v>
      </c>
      <c r="J1281">
        <f>VLOOKUP(E1281,showing[],2,FALSE)</f>
        <v>16</v>
      </c>
      <c r="K1281">
        <f>Сектора[[#This Row],[Значение]]</f>
        <v>130.5</v>
      </c>
      <c r="L1281" t="str">
        <f t="shared" si="19"/>
        <v>INSERT INTO msfo.statements (id_company, id_year, id_showing, value) VALUES (10,7,16,130,5);</v>
      </c>
    </row>
    <row r="1282" spans="1:12">
      <c r="A1282" s="28" t="s">
        <v>45</v>
      </c>
      <c r="B1282" s="28" t="s">
        <v>33</v>
      </c>
      <c r="C1282" s="28">
        <v>2010</v>
      </c>
      <c r="D1282" s="28" t="s">
        <v>1</v>
      </c>
      <c r="E1282" s="28" t="s">
        <v>2</v>
      </c>
      <c r="F1282" s="28">
        <v>1932235.46</v>
      </c>
      <c r="H1282">
        <f>VLOOKUP(A1282&amp;B1282,ticker_sector[],2,FALSE)</f>
        <v>11</v>
      </c>
      <c r="I1282">
        <f>VLOOKUP(C1282,year[],2,FALSE)</f>
        <v>0</v>
      </c>
      <c r="J1282">
        <f>VLOOKUP(E1282,showing[],2,FALSE)</f>
        <v>1</v>
      </c>
      <c r="K1282">
        <f>Сектора[[#This Row],[Значение]]</f>
        <v>1932235.46</v>
      </c>
      <c r="L1282" t="str">
        <f t="shared" si="19"/>
        <v>INSERT INTO msfo.statements (id_company, id_year, id_showing, value) VALUES (11,0,1,1932235,46);</v>
      </c>
    </row>
    <row r="1283" spans="1:12">
      <c r="A1283" s="28" t="s">
        <v>45</v>
      </c>
      <c r="B1283" s="28" t="s">
        <v>33</v>
      </c>
      <c r="C1283" s="28">
        <v>2011</v>
      </c>
      <c r="D1283" s="28" t="s">
        <v>1</v>
      </c>
      <c r="E1283" s="28" t="s">
        <v>2</v>
      </c>
      <c r="F1283" s="28">
        <v>2178484.7143000001</v>
      </c>
      <c r="H1283">
        <f>VLOOKUP(A1283&amp;B1283,ticker_sector[],2,FALSE)</f>
        <v>11</v>
      </c>
      <c r="I1283">
        <f>VLOOKUP(C1283,year[],2,FALSE)</f>
        <v>1</v>
      </c>
      <c r="J1283">
        <f>VLOOKUP(E1283,showing[],2,FALSE)</f>
        <v>1</v>
      </c>
      <c r="K1283">
        <f>Сектора[[#This Row],[Значение]]</f>
        <v>2178484.7143000001</v>
      </c>
      <c r="L1283" t="str">
        <f t="shared" ref="L1283:L1346" si="20">"INSERT INTO msfo.statements (id_company, id_year, id_showing, value) VALUES ("&amp;H1283&amp; ","&amp;I1283&amp; ","&amp;J1283&amp; ","&amp;K1283&amp;");"</f>
        <v>INSERT INTO msfo.statements (id_company, id_year, id_showing, value) VALUES (11,1,1,2178484,7143);</v>
      </c>
    </row>
    <row r="1284" spans="1:12">
      <c r="A1284" s="28" t="s">
        <v>45</v>
      </c>
      <c r="B1284" s="28" t="s">
        <v>33</v>
      </c>
      <c r="C1284" s="28">
        <v>2012</v>
      </c>
      <c r="D1284" s="28" t="s">
        <v>1</v>
      </c>
      <c r="E1284" s="28" t="s">
        <v>2</v>
      </c>
      <c r="F1284" s="28">
        <v>2268476.2176000001</v>
      </c>
      <c r="H1284">
        <f>VLOOKUP(A1284&amp;B1284,ticker_sector[],2,FALSE)</f>
        <v>11</v>
      </c>
      <c r="I1284">
        <f>VLOOKUP(C1284,year[],2,FALSE)</f>
        <v>2</v>
      </c>
      <c r="J1284">
        <f>VLOOKUP(E1284,showing[],2,FALSE)</f>
        <v>1</v>
      </c>
      <c r="K1284">
        <f>Сектора[[#This Row],[Значение]]</f>
        <v>2268476.2176000001</v>
      </c>
      <c r="L1284" t="str">
        <f t="shared" si="20"/>
        <v>INSERT INTO msfo.statements (id_company, id_year, id_showing, value) VALUES (11,2,1,2268476,2176);</v>
      </c>
    </row>
    <row r="1285" spans="1:12">
      <c r="A1285" s="28" t="s">
        <v>45</v>
      </c>
      <c r="B1285" s="28" t="s">
        <v>33</v>
      </c>
      <c r="C1285" s="28">
        <v>2013</v>
      </c>
      <c r="D1285" s="28" t="s">
        <v>1</v>
      </c>
      <c r="E1285" s="28" t="s">
        <v>2</v>
      </c>
      <c r="F1285" s="28">
        <v>2816151.2848</v>
      </c>
      <c r="H1285">
        <f>VLOOKUP(A1285&amp;B1285,ticker_sector[],2,FALSE)</f>
        <v>11</v>
      </c>
      <c r="I1285">
        <f>VLOOKUP(C1285,year[],2,FALSE)</f>
        <v>3</v>
      </c>
      <c r="J1285">
        <f>VLOOKUP(E1285,showing[],2,FALSE)</f>
        <v>1</v>
      </c>
      <c r="K1285">
        <f>Сектора[[#This Row],[Значение]]</f>
        <v>2816151.2848</v>
      </c>
      <c r="L1285" t="str">
        <f t="shared" si="20"/>
        <v>INSERT INTO msfo.statements (id_company, id_year, id_showing, value) VALUES (11,3,1,2816151,2848);</v>
      </c>
    </row>
    <row r="1286" spans="1:12">
      <c r="A1286" s="28" t="s">
        <v>45</v>
      </c>
      <c r="B1286" s="28" t="s">
        <v>33</v>
      </c>
      <c r="C1286" s="28">
        <v>2014</v>
      </c>
      <c r="D1286" s="28" t="s">
        <v>1</v>
      </c>
      <c r="E1286" s="28" t="s">
        <v>2</v>
      </c>
      <c r="F1286" s="28">
        <v>3502726</v>
      </c>
      <c r="H1286">
        <f>VLOOKUP(A1286&amp;B1286,ticker_sector[],2,FALSE)</f>
        <v>11</v>
      </c>
      <c r="I1286">
        <f>VLOOKUP(C1286,year[],2,FALSE)</f>
        <v>4</v>
      </c>
      <c r="J1286">
        <f>VLOOKUP(E1286,showing[],2,FALSE)</f>
        <v>1</v>
      </c>
      <c r="K1286">
        <f>Сектора[[#This Row],[Значение]]</f>
        <v>3502726</v>
      </c>
      <c r="L1286" t="str">
        <f t="shared" si="20"/>
        <v>INSERT INTO msfo.statements (id_company, id_year, id_showing, value) VALUES (11,4,1,3502726);</v>
      </c>
    </row>
    <row r="1287" spans="1:12">
      <c r="A1287" s="28" t="s">
        <v>45</v>
      </c>
      <c r="B1287" s="28" t="s">
        <v>33</v>
      </c>
      <c r="C1287" s="28">
        <v>2015</v>
      </c>
      <c r="D1287" s="28" t="s">
        <v>1</v>
      </c>
      <c r="E1287" s="28" t="s">
        <v>2</v>
      </c>
      <c r="F1287" s="28">
        <v>3806960</v>
      </c>
      <c r="H1287">
        <f>VLOOKUP(A1287&amp;B1287,ticker_sector[],2,FALSE)</f>
        <v>11</v>
      </c>
      <c r="I1287">
        <f>VLOOKUP(C1287,year[],2,FALSE)</f>
        <v>5</v>
      </c>
      <c r="J1287">
        <f>VLOOKUP(E1287,showing[],2,FALSE)</f>
        <v>1</v>
      </c>
      <c r="K1287">
        <f>Сектора[[#This Row],[Значение]]</f>
        <v>3806960</v>
      </c>
      <c r="L1287" t="str">
        <f t="shared" si="20"/>
        <v>INSERT INTO msfo.statements (id_company, id_year, id_showing, value) VALUES (11,5,1,3806960);</v>
      </c>
    </row>
    <row r="1288" spans="1:12">
      <c r="A1288" s="28" t="s">
        <v>45</v>
      </c>
      <c r="B1288" s="28" t="s">
        <v>33</v>
      </c>
      <c r="C1288" s="28">
        <v>2016</v>
      </c>
      <c r="D1288" s="28" t="s">
        <v>1</v>
      </c>
      <c r="E1288" s="28" t="s">
        <v>2</v>
      </c>
      <c r="F1288" s="28">
        <v>3759032</v>
      </c>
      <c r="H1288">
        <f>VLOOKUP(A1288&amp;B1288,ticker_sector[],2,FALSE)</f>
        <v>11</v>
      </c>
      <c r="I1288">
        <f>VLOOKUP(C1288,year[],2,FALSE)</f>
        <v>6</v>
      </c>
      <c r="J1288">
        <f>VLOOKUP(E1288,showing[],2,FALSE)</f>
        <v>1</v>
      </c>
      <c r="K1288">
        <f>Сектора[[#This Row],[Значение]]</f>
        <v>3759032</v>
      </c>
      <c r="L1288" t="str">
        <f t="shared" si="20"/>
        <v>INSERT INTO msfo.statements (id_company, id_year, id_showing, value) VALUES (11,6,1,3759032);</v>
      </c>
    </row>
    <row r="1289" spans="1:12">
      <c r="A1289" s="28" t="s">
        <v>45</v>
      </c>
      <c r="B1289" s="28" t="s">
        <v>33</v>
      </c>
      <c r="C1289" s="28">
        <v>2017</v>
      </c>
      <c r="D1289" s="28" t="s">
        <v>1</v>
      </c>
      <c r="E1289" s="28" t="s">
        <v>2</v>
      </c>
      <c r="F1289" s="28">
        <v>3918101</v>
      </c>
      <c r="H1289">
        <f>VLOOKUP(A1289&amp;B1289,ticker_sector[],2,FALSE)</f>
        <v>11</v>
      </c>
      <c r="I1289">
        <f>VLOOKUP(C1289,year[],2,FALSE)</f>
        <v>7</v>
      </c>
      <c r="J1289">
        <f>VLOOKUP(E1289,showing[],2,FALSE)</f>
        <v>1</v>
      </c>
      <c r="K1289">
        <f>Сектора[[#This Row],[Значение]]</f>
        <v>3918101</v>
      </c>
      <c r="L1289" t="str">
        <f t="shared" si="20"/>
        <v>INSERT INTO msfo.statements (id_company, id_year, id_showing, value) VALUES (11,7,1,3918101);</v>
      </c>
    </row>
    <row r="1290" spans="1:12">
      <c r="A1290" s="28" t="s">
        <v>45</v>
      </c>
      <c r="B1290" s="28" t="s">
        <v>33</v>
      </c>
      <c r="C1290" s="28">
        <v>2010</v>
      </c>
      <c r="D1290" s="28" t="s">
        <v>1</v>
      </c>
      <c r="E1290" s="28" t="s">
        <v>3</v>
      </c>
      <c r="F1290" s="28">
        <v>628342.24730000005</v>
      </c>
      <c r="H1290">
        <f>VLOOKUP(A1290&amp;B1290,ticker_sector[],2,FALSE)</f>
        <v>11</v>
      </c>
      <c r="I1290">
        <f>VLOOKUP(C1290,year[],2,FALSE)</f>
        <v>0</v>
      </c>
      <c r="J1290">
        <f>VLOOKUP(E1290,showing[],2,FALSE)</f>
        <v>2</v>
      </c>
      <c r="K1290">
        <f>Сектора[[#This Row],[Значение]]</f>
        <v>628342.24730000005</v>
      </c>
      <c r="L1290" t="str">
        <f t="shared" si="20"/>
        <v>INSERT INTO msfo.statements (id_company, id_year, id_showing, value) VALUES (11,0,2,628342,2473);</v>
      </c>
    </row>
    <row r="1291" spans="1:12">
      <c r="A1291" s="28" t="s">
        <v>45</v>
      </c>
      <c r="B1291" s="28" t="s">
        <v>33</v>
      </c>
      <c r="C1291" s="28">
        <v>2011</v>
      </c>
      <c r="D1291" s="28" t="s">
        <v>1</v>
      </c>
      <c r="E1291" s="28" t="s">
        <v>3</v>
      </c>
      <c r="F1291" s="28">
        <v>757542.03690000006</v>
      </c>
      <c r="H1291">
        <f>VLOOKUP(A1291&amp;B1291,ticker_sector[],2,FALSE)</f>
        <v>11</v>
      </c>
      <c r="I1291">
        <f>VLOOKUP(C1291,year[],2,FALSE)</f>
        <v>1</v>
      </c>
      <c r="J1291">
        <f>VLOOKUP(E1291,showing[],2,FALSE)</f>
        <v>2</v>
      </c>
      <c r="K1291">
        <f>Сектора[[#This Row],[Значение]]</f>
        <v>757542.03690000006</v>
      </c>
      <c r="L1291" t="str">
        <f t="shared" si="20"/>
        <v>INSERT INTO msfo.statements (id_company, id_year, id_showing, value) VALUES (11,1,2,757542,0369);</v>
      </c>
    </row>
    <row r="1292" spans="1:12">
      <c r="A1292" s="28" t="s">
        <v>45</v>
      </c>
      <c r="B1292" s="28" t="s">
        <v>33</v>
      </c>
      <c r="C1292" s="28">
        <v>2012</v>
      </c>
      <c r="D1292" s="28" t="s">
        <v>1</v>
      </c>
      <c r="E1292" s="28" t="s">
        <v>3</v>
      </c>
      <c r="F1292" s="28">
        <v>737236.54709999997</v>
      </c>
      <c r="H1292">
        <f>VLOOKUP(A1292&amp;B1292,ticker_sector[],2,FALSE)</f>
        <v>11</v>
      </c>
      <c r="I1292">
        <f>VLOOKUP(C1292,year[],2,FALSE)</f>
        <v>2</v>
      </c>
      <c r="J1292">
        <f>VLOOKUP(E1292,showing[],2,FALSE)</f>
        <v>2</v>
      </c>
      <c r="K1292">
        <f>Сектора[[#This Row],[Значение]]</f>
        <v>737236.54709999997</v>
      </c>
      <c r="L1292" t="str">
        <f t="shared" si="20"/>
        <v>INSERT INTO msfo.statements (id_company, id_year, id_showing, value) VALUES (11,2,2,737236,5471);</v>
      </c>
    </row>
    <row r="1293" spans="1:12">
      <c r="A1293" s="28" t="s">
        <v>45</v>
      </c>
      <c r="B1293" s="28" t="s">
        <v>33</v>
      </c>
      <c r="C1293" s="28">
        <v>2013</v>
      </c>
      <c r="D1293" s="28" t="s">
        <v>1</v>
      </c>
      <c r="E1293" s="28" t="s">
        <v>3</v>
      </c>
      <c r="F1293" s="28">
        <v>765699.63399999996</v>
      </c>
      <c r="H1293">
        <f>VLOOKUP(A1293&amp;B1293,ticker_sector[],2,FALSE)</f>
        <v>11</v>
      </c>
      <c r="I1293">
        <f>VLOOKUP(C1293,year[],2,FALSE)</f>
        <v>3</v>
      </c>
      <c r="J1293">
        <f>VLOOKUP(E1293,showing[],2,FALSE)</f>
        <v>2</v>
      </c>
      <c r="K1293">
        <f>Сектора[[#This Row],[Значение]]</f>
        <v>765699.63399999996</v>
      </c>
      <c r="L1293" t="str">
        <f t="shared" si="20"/>
        <v>INSERT INTO msfo.statements (id_company, id_year, id_showing, value) VALUES (11,3,2,765699,634);</v>
      </c>
    </row>
    <row r="1294" spans="1:12">
      <c r="A1294" s="28" t="s">
        <v>45</v>
      </c>
      <c r="B1294" s="28" t="s">
        <v>33</v>
      </c>
      <c r="C1294" s="28">
        <v>2014</v>
      </c>
      <c r="D1294" s="28" t="s">
        <v>1</v>
      </c>
      <c r="E1294" s="28" t="s">
        <v>3</v>
      </c>
      <c r="F1294" s="28">
        <v>1236227</v>
      </c>
      <c r="H1294">
        <f>VLOOKUP(A1294&amp;B1294,ticker_sector[],2,FALSE)</f>
        <v>11</v>
      </c>
      <c r="I1294">
        <f>VLOOKUP(C1294,year[],2,FALSE)</f>
        <v>4</v>
      </c>
      <c r="J1294">
        <f>VLOOKUP(E1294,showing[],2,FALSE)</f>
        <v>2</v>
      </c>
      <c r="K1294">
        <f>Сектора[[#This Row],[Значение]]</f>
        <v>1236227</v>
      </c>
      <c r="L1294" t="str">
        <f t="shared" si="20"/>
        <v>INSERT INTO msfo.statements (id_company, id_year, id_showing, value) VALUES (11,4,2,1236227);</v>
      </c>
    </row>
    <row r="1295" spans="1:12">
      <c r="A1295" s="28" t="s">
        <v>45</v>
      </c>
      <c r="B1295" s="28" t="s">
        <v>33</v>
      </c>
      <c r="C1295" s="28">
        <v>2015</v>
      </c>
      <c r="D1295" s="28" t="s">
        <v>1</v>
      </c>
      <c r="E1295" s="28" t="s">
        <v>3</v>
      </c>
      <c r="F1295" s="28">
        <v>1213647</v>
      </c>
      <c r="H1295">
        <f>VLOOKUP(A1295&amp;B1295,ticker_sector[],2,FALSE)</f>
        <v>11</v>
      </c>
      <c r="I1295">
        <f>VLOOKUP(C1295,year[],2,FALSE)</f>
        <v>5</v>
      </c>
      <c r="J1295">
        <f>VLOOKUP(E1295,showing[],2,FALSE)</f>
        <v>2</v>
      </c>
      <c r="K1295">
        <f>Сектора[[#This Row],[Значение]]</f>
        <v>1213647</v>
      </c>
      <c r="L1295" t="str">
        <f t="shared" si="20"/>
        <v>INSERT INTO msfo.statements (id_company, id_year, id_showing, value) VALUES (11,5,2,1213647);</v>
      </c>
    </row>
    <row r="1296" spans="1:12">
      <c r="A1296" s="28" t="s">
        <v>45</v>
      </c>
      <c r="B1296" s="28" t="s">
        <v>33</v>
      </c>
      <c r="C1296" s="28">
        <v>2016</v>
      </c>
      <c r="D1296" s="28" t="s">
        <v>1</v>
      </c>
      <c r="E1296" s="28" t="s">
        <v>3</v>
      </c>
      <c r="F1296" s="28">
        <v>1255641</v>
      </c>
      <c r="H1296">
        <f>VLOOKUP(A1296&amp;B1296,ticker_sector[],2,FALSE)</f>
        <v>11</v>
      </c>
      <c r="I1296">
        <f>VLOOKUP(C1296,year[],2,FALSE)</f>
        <v>6</v>
      </c>
      <c r="J1296">
        <f>VLOOKUP(E1296,showing[],2,FALSE)</f>
        <v>2</v>
      </c>
      <c r="K1296">
        <f>Сектора[[#This Row],[Значение]]</f>
        <v>1255641</v>
      </c>
      <c r="L1296" t="str">
        <f t="shared" si="20"/>
        <v>INSERT INTO msfo.statements (id_company, id_year, id_showing, value) VALUES (11,6,2,1255641);</v>
      </c>
    </row>
    <row r="1297" spans="1:12">
      <c r="A1297" s="28" t="s">
        <v>45</v>
      </c>
      <c r="B1297" s="28" t="s">
        <v>33</v>
      </c>
      <c r="C1297" s="28">
        <v>2017</v>
      </c>
      <c r="D1297" s="28" t="s">
        <v>1</v>
      </c>
      <c r="E1297" s="28" t="s">
        <v>3</v>
      </c>
      <c r="F1297" s="28">
        <v>1308114</v>
      </c>
      <c r="H1297">
        <f>VLOOKUP(A1297&amp;B1297,ticker_sector[],2,FALSE)</f>
        <v>11</v>
      </c>
      <c r="I1297">
        <f>VLOOKUP(C1297,year[],2,FALSE)</f>
        <v>7</v>
      </c>
      <c r="J1297">
        <f>VLOOKUP(E1297,showing[],2,FALSE)</f>
        <v>2</v>
      </c>
      <c r="K1297">
        <f>Сектора[[#This Row],[Значение]]</f>
        <v>1308114</v>
      </c>
      <c r="L1297" t="str">
        <f t="shared" si="20"/>
        <v>INSERT INTO msfo.statements (id_company, id_year, id_showing, value) VALUES (11,7,2,1308114);</v>
      </c>
    </row>
    <row r="1298" spans="1:12">
      <c r="A1298" s="28" t="s">
        <v>45</v>
      </c>
      <c r="B1298" s="28" t="s">
        <v>33</v>
      </c>
      <c r="C1298" s="28">
        <v>2010</v>
      </c>
      <c r="D1298" s="28" t="s">
        <v>1</v>
      </c>
      <c r="E1298" s="28" t="s">
        <v>5</v>
      </c>
      <c r="F1298" s="28">
        <v>2560577.7072999999</v>
      </c>
      <c r="H1298">
        <f>VLOOKUP(A1298&amp;B1298,ticker_sector[],2,FALSE)</f>
        <v>11</v>
      </c>
      <c r="I1298">
        <f>VLOOKUP(C1298,year[],2,FALSE)</f>
        <v>0</v>
      </c>
      <c r="J1298">
        <f>VLOOKUP(E1298,showing[],2,FALSE)</f>
        <v>3</v>
      </c>
      <c r="K1298">
        <f>Сектора[[#This Row],[Значение]]</f>
        <v>2560577.7072999999</v>
      </c>
      <c r="L1298" t="str">
        <f t="shared" si="20"/>
        <v>INSERT INTO msfo.statements (id_company, id_year, id_showing, value) VALUES (11,0,3,2560577,7073);</v>
      </c>
    </row>
    <row r="1299" spans="1:12">
      <c r="A1299" s="28" t="s">
        <v>45</v>
      </c>
      <c r="B1299" s="28" t="s">
        <v>33</v>
      </c>
      <c r="C1299" s="28">
        <v>2011</v>
      </c>
      <c r="D1299" s="28" t="s">
        <v>1</v>
      </c>
      <c r="E1299" s="28" t="s">
        <v>5</v>
      </c>
      <c r="F1299" s="28">
        <v>2936026.7512000003</v>
      </c>
      <c r="H1299">
        <f>VLOOKUP(A1299&amp;B1299,ticker_sector[],2,FALSE)</f>
        <v>11</v>
      </c>
      <c r="I1299">
        <f>VLOOKUP(C1299,year[],2,FALSE)</f>
        <v>1</v>
      </c>
      <c r="J1299">
        <f>VLOOKUP(E1299,showing[],2,FALSE)</f>
        <v>3</v>
      </c>
      <c r="K1299">
        <f>Сектора[[#This Row],[Значение]]</f>
        <v>2936026.7512000003</v>
      </c>
      <c r="L1299" t="str">
        <f t="shared" si="20"/>
        <v>INSERT INTO msfo.statements (id_company, id_year, id_showing, value) VALUES (11,1,3,2936026,7512);</v>
      </c>
    </row>
    <row r="1300" spans="1:12">
      <c r="A1300" s="28" t="s">
        <v>45</v>
      </c>
      <c r="B1300" s="28" t="s">
        <v>33</v>
      </c>
      <c r="C1300" s="28">
        <v>2012</v>
      </c>
      <c r="D1300" s="28" t="s">
        <v>1</v>
      </c>
      <c r="E1300" s="28" t="s">
        <v>5</v>
      </c>
      <c r="F1300" s="28">
        <v>3005712.7647000002</v>
      </c>
      <c r="H1300">
        <f>VLOOKUP(A1300&amp;B1300,ticker_sector[],2,FALSE)</f>
        <v>11</v>
      </c>
      <c r="I1300">
        <f>VLOOKUP(C1300,year[],2,FALSE)</f>
        <v>2</v>
      </c>
      <c r="J1300">
        <f>VLOOKUP(E1300,showing[],2,FALSE)</f>
        <v>3</v>
      </c>
      <c r="K1300">
        <f>Сектора[[#This Row],[Значение]]</f>
        <v>3005712.7647000002</v>
      </c>
      <c r="L1300" t="str">
        <f t="shared" si="20"/>
        <v>INSERT INTO msfo.statements (id_company, id_year, id_showing, value) VALUES (11,2,3,3005712,7647);</v>
      </c>
    </row>
    <row r="1301" spans="1:12">
      <c r="A1301" s="28" t="s">
        <v>45</v>
      </c>
      <c r="B1301" s="28" t="s">
        <v>33</v>
      </c>
      <c r="C1301" s="28">
        <v>2013</v>
      </c>
      <c r="D1301" s="28" t="s">
        <v>1</v>
      </c>
      <c r="E1301" s="28" t="s">
        <v>5</v>
      </c>
      <c r="F1301" s="28">
        <v>3581850.9188000001</v>
      </c>
      <c r="H1301">
        <f>VLOOKUP(A1301&amp;B1301,ticker_sector[],2,FALSE)</f>
        <v>11</v>
      </c>
      <c r="I1301">
        <f>VLOOKUP(C1301,year[],2,FALSE)</f>
        <v>3</v>
      </c>
      <c r="J1301">
        <f>VLOOKUP(E1301,showing[],2,FALSE)</f>
        <v>3</v>
      </c>
      <c r="K1301">
        <f>Сектора[[#This Row],[Значение]]</f>
        <v>3581850.9188000001</v>
      </c>
      <c r="L1301" t="str">
        <f t="shared" si="20"/>
        <v>INSERT INTO msfo.statements (id_company, id_year, id_showing, value) VALUES (11,3,3,3581850,9188);</v>
      </c>
    </row>
    <row r="1302" spans="1:12">
      <c r="A1302" s="28" t="s">
        <v>45</v>
      </c>
      <c r="B1302" s="28" t="s">
        <v>33</v>
      </c>
      <c r="C1302" s="28">
        <v>2014</v>
      </c>
      <c r="D1302" s="28" t="s">
        <v>1</v>
      </c>
      <c r="E1302" s="28" t="s">
        <v>5</v>
      </c>
      <c r="F1302" s="28">
        <v>4738953</v>
      </c>
      <c r="H1302">
        <f>VLOOKUP(A1302&amp;B1302,ticker_sector[],2,FALSE)</f>
        <v>11</v>
      </c>
      <c r="I1302">
        <f>VLOOKUP(C1302,year[],2,FALSE)</f>
        <v>4</v>
      </c>
      <c r="J1302">
        <f>VLOOKUP(E1302,showing[],2,FALSE)</f>
        <v>3</v>
      </c>
      <c r="K1302">
        <f>Сектора[[#This Row],[Значение]]</f>
        <v>4738953</v>
      </c>
      <c r="L1302" t="str">
        <f t="shared" si="20"/>
        <v>INSERT INTO msfo.statements (id_company, id_year, id_showing, value) VALUES (11,4,3,4738953);</v>
      </c>
    </row>
    <row r="1303" spans="1:12">
      <c r="A1303" s="28" t="s">
        <v>45</v>
      </c>
      <c r="B1303" s="28" t="s">
        <v>33</v>
      </c>
      <c r="C1303" s="28">
        <v>2015</v>
      </c>
      <c r="D1303" s="28" t="s">
        <v>1</v>
      </c>
      <c r="E1303" s="28" t="s">
        <v>5</v>
      </c>
      <c r="F1303" s="28">
        <v>5020607</v>
      </c>
      <c r="H1303">
        <f>VLOOKUP(A1303&amp;B1303,ticker_sector[],2,FALSE)</f>
        <v>11</v>
      </c>
      <c r="I1303">
        <f>VLOOKUP(C1303,year[],2,FALSE)</f>
        <v>5</v>
      </c>
      <c r="J1303">
        <f>VLOOKUP(E1303,showing[],2,FALSE)</f>
        <v>3</v>
      </c>
      <c r="K1303">
        <f>Сектора[[#This Row],[Значение]]</f>
        <v>5020607</v>
      </c>
      <c r="L1303" t="str">
        <f t="shared" si="20"/>
        <v>INSERT INTO msfo.statements (id_company, id_year, id_showing, value) VALUES (11,5,3,5020607);</v>
      </c>
    </row>
    <row r="1304" spans="1:12">
      <c r="A1304" s="28" t="s">
        <v>45</v>
      </c>
      <c r="B1304" s="28" t="s">
        <v>33</v>
      </c>
      <c r="C1304" s="28">
        <v>2016</v>
      </c>
      <c r="D1304" s="28" t="s">
        <v>1</v>
      </c>
      <c r="E1304" s="28" t="s">
        <v>5</v>
      </c>
      <c r="F1304" s="28">
        <v>5014673</v>
      </c>
      <c r="H1304">
        <f>VLOOKUP(A1304&amp;B1304,ticker_sector[],2,FALSE)</f>
        <v>11</v>
      </c>
      <c r="I1304">
        <f>VLOOKUP(C1304,year[],2,FALSE)</f>
        <v>6</v>
      </c>
      <c r="J1304">
        <f>VLOOKUP(E1304,showing[],2,FALSE)</f>
        <v>3</v>
      </c>
      <c r="K1304">
        <f>Сектора[[#This Row],[Значение]]</f>
        <v>5014673</v>
      </c>
      <c r="L1304" t="str">
        <f t="shared" si="20"/>
        <v>INSERT INTO msfo.statements (id_company, id_year, id_showing, value) VALUES (11,6,3,5014673);</v>
      </c>
    </row>
    <row r="1305" spans="1:12">
      <c r="A1305" s="28" t="s">
        <v>45</v>
      </c>
      <c r="B1305" s="28" t="s">
        <v>33</v>
      </c>
      <c r="C1305" s="28">
        <v>2017</v>
      </c>
      <c r="D1305" s="28" t="s">
        <v>1</v>
      </c>
      <c r="E1305" s="28" t="s">
        <v>5</v>
      </c>
      <c r="F1305" s="28">
        <v>5226215</v>
      </c>
      <c r="H1305">
        <f>VLOOKUP(A1305&amp;B1305,ticker_sector[],2,FALSE)</f>
        <v>11</v>
      </c>
      <c r="I1305">
        <f>VLOOKUP(C1305,year[],2,FALSE)</f>
        <v>7</v>
      </c>
      <c r="J1305">
        <f>VLOOKUP(E1305,showing[],2,FALSE)</f>
        <v>3</v>
      </c>
      <c r="K1305">
        <f>Сектора[[#This Row],[Значение]]</f>
        <v>5226215</v>
      </c>
      <c r="L1305" t="str">
        <f t="shared" si="20"/>
        <v>INSERT INTO msfo.statements (id_company, id_year, id_showing, value) VALUES (11,7,3,5226215);</v>
      </c>
    </row>
    <row r="1306" spans="1:12">
      <c r="A1306" s="28" t="s">
        <v>45</v>
      </c>
      <c r="B1306" s="28" t="s">
        <v>33</v>
      </c>
      <c r="C1306" s="28">
        <v>2010</v>
      </c>
      <c r="D1306" s="28" t="s">
        <v>1</v>
      </c>
      <c r="E1306" s="28" t="s">
        <v>6</v>
      </c>
      <c r="F1306" s="28">
        <v>1816667.0552000001</v>
      </c>
      <c r="H1306">
        <f>VLOOKUP(A1306&amp;B1306,ticker_sector[],2,FALSE)</f>
        <v>11</v>
      </c>
      <c r="I1306">
        <f>VLOOKUP(C1306,year[],2,FALSE)</f>
        <v>0</v>
      </c>
      <c r="J1306">
        <f>VLOOKUP(E1306,showing[],2,FALSE)</f>
        <v>4</v>
      </c>
      <c r="K1306">
        <f>Сектора[[#This Row],[Значение]]</f>
        <v>1816667.0552000001</v>
      </c>
      <c r="L1306" t="str">
        <f t="shared" si="20"/>
        <v>INSERT INTO msfo.statements (id_company, id_year, id_showing, value) VALUES (11,0,4,1816667,0552);</v>
      </c>
    </row>
    <row r="1307" spans="1:12">
      <c r="A1307" s="28" t="s">
        <v>45</v>
      </c>
      <c r="B1307" s="28" t="s">
        <v>33</v>
      </c>
      <c r="C1307" s="28">
        <v>2011</v>
      </c>
      <c r="D1307" s="28" t="s">
        <v>1</v>
      </c>
      <c r="E1307" s="28" t="s">
        <v>6</v>
      </c>
      <c r="F1307" s="28">
        <v>2172142.0826000003</v>
      </c>
      <c r="H1307">
        <f>VLOOKUP(A1307&amp;B1307,ticker_sector[],2,FALSE)</f>
        <v>11</v>
      </c>
      <c r="I1307">
        <f>VLOOKUP(C1307,year[],2,FALSE)</f>
        <v>1</v>
      </c>
      <c r="J1307">
        <f>VLOOKUP(E1307,showing[],2,FALSE)</f>
        <v>4</v>
      </c>
      <c r="K1307">
        <f>Сектора[[#This Row],[Значение]]</f>
        <v>2172142.0826000003</v>
      </c>
      <c r="L1307" t="str">
        <f t="shared" si="20"/>
        <v>INSERT INTO msfo.statements (id_company, id_year, id_showing, value) VALUES (11,1,4,2172142,0826);</v>
      </c>
    </row>
    <row r="1308" spans="1:12">
      <c r="A1308" s="28" t="s">
        <v>45</v>
      </c>
      <c r="B1308" s="28" t="s">
        <v>33</v>
      </c>
      <c r="C1308" s="28">
        <v>2012</v>
      </c>
      <c r="D1308" s="28" t="s">
        <v>1</v>
      </c>
      <c r="E1308" s="28" t="s">
        <v>6</v>
      </c>
      <c r="F1308" s="28">
        <v>2253289.8676</v>
      </c>
      <c r="H1308">
        <f>VLOOKUP(A1308&amp;B1308,ticker_sector[],2,FALSE)</f>
        <v>11</v>
      </c>
      <c r="I1308">
        <f>VLOOKUP(C1308,year[],2,FALSE)</f>
        <v>2</v>
      </c>
      <c r="J1308">
        <f>VLOOKUP(E1308,showing[],2,FALSE)</f>
        <v>4</v>
      </c>
      <c r="K1308">
        <f>Сектора[[#This Row],[Значение]]</f>
        <v>2253289.8676</v>
      </c>
      <c r="L1308" t="str">
        <f t="shared" si="20"/>
        <v>INSERT INTO msfo.statements (id_company, id_year, id_showing, value) VALUES (11,2,4,2253289,8676);</v>
      </c>
    </row>
    <row r="1309" spans="1:12">
      <c r="A1309" s="28" t="s">
        <v>45</v>
      </c>
      <c r="B1309" s="28" t="s">
        <v>33</v>
      </c>
      <c r="C1309" s="28">
        <v>2013</v>
      </c>
      <c r="D1309" s="28" t="s">
        <v>1</v>
      </c>
      <c r="E1309" s="28" t="s">
        <v>6</v>
      </c>
      <c r="F1309" s="28">
        <v>2580861.0660000001</v>
      </c>
      <c r="H1309">
        <f>VLOOKUP(A1309&amp;B1309,ticker_sector[],2,FALSE)</f>
        <v>11</v>
      </c>
      <c r="I1309">
        <f>VLOOKUP(C1309,year[],2,FALSE)</f>
        <v>3</v>
      </c>
      <c r="J1309">
        <f>VLOOKUP(E1309,showing[],2,FALSE)</f>
        <v>4</v>
      </c>
      <c r="K1309">
        <f>Сектора[[#This Row],[Значение]]</f>
        <v>2580861.0660000001</v>
      </c>
      <c r="L1309" t="str">
        <f t="shared" si="20"/>
        <v>INSERT INTO msfo.statements (id_company, id_year, id_showing, value) VALUES (11,3,4,2580861,066);</v>
      </c>
    </row>
    <row r="1310" spans="1:12">
      <c r="A1310" s="28" t="s">
        <v>45</v>
      </c>
      <c r="B1310" s="28" t="s">
        <v>33</v>
      </c>
      <c r="C1310" s="28">
        <v>2014</v>
      </c>
      <c r="D1310" s="28" t="s">
        <v>1</v>
      </c>
      <c r="E1310" s="28" t="s">
        <v>6</v>
      </c>
      <c r="F1310" s="28">
        <v>3049542</v>
      </c>
      <c r="H1310">
        <f>VLOOKUP(A1310&amp;B1310,ticker_sector[],2,FALSE)</f>
        <v>11</v>
      </c>
      <c r="I1310">
        <f>VLOOKUP(C1310,year[],2,FALSE)</f>
        <v>4</v>
      </c>
      <c r="J1310">
        <f>VLOOKUP(E1310,showing[],2,FALSE)</f>
        <v>4</v>
      </c>
      <c r="K1310">
        <f>Сектора[[#This Row],[Значение]]</f>
        <v>3049542</v>
      </c>
      <c r="L1310" t="str">
        <f t="shared" si="20"/>
        <v>INSERT INTO msfo.statements (id_company, id_year, id_showing, value) VALUES (11,4,4,3049542);</v>
      </c>
    </row>
    <row r="1311" spans="1:12">
      <c r="A1311" s="28" t="s">
        <v>45</v>
      </c>
      <c r="B1311" s="28" t="s">
        <v>33</v>
      </c>
      <c r="C1311" s="28">
        <v>2015</v>
      </c>
      <c r="D1311" s="28" t="s">
        <v>1</v>
      </c>
      <c r="E1311" s="28" t="s">
        <v>6</v>
      </c>
      <c r="F1311" s="28">
        <v>3231374</v>
      </c>
      <c r="H1311">
        <f>VLOOKUP(A1311&amp;B1311,ticker_sector[],2,FALSE)</f>
        <v>11</v>
      </c>
      <c r="I1311">
        <f>VLOOKUP(C1311,year[],2,FALSE)</f>
        <v>5</v>
      </c>
      <c r="J1311">
        <f>VLOOKUP(E1311,showing[],2,FALSE)</f>
        <v>4</v>
      </c>
      <c r="K1311">
        <f>Сектора[[#This Row],[Значение]]</f>
        <v>3231374</v>
      </c>
      <c r="L1311" t="str">
        <f t="shared" si="20"/>
        <v>INSERT INTO msfo.statements (id_company, id_year, id_showing, value) VALUES (11,5,4,3231374);</v>
      </c>
    </row>
    <row r="1312" spans="1:12">
      <c r="A1312" s="28" t="s">
        <v>45</v>
      </c>
      <c r="B1312" s="28" t="s">
        <v>33</v>
      </c>
      <c r="C1312" s="28">
        <v>2016</v>
      </c>
      <c r="D1312" s="28" t="s">
        <v>1</v>
      </c>
      <c r="E1312" s="28" t="s">
        <v>6</v>
      </c>
      <c r="F1312" s="28">
        <v>3227664</v>
      </c>
      <c r="H1312">
        <f>VLOOKUP(A1312&amp;B1312,ticker_sector[],2,FALSE)</f>
        <v>11</v>
      </c>
      <c r="I1312">
        <f>VLOOKUP(C1312,year[],2,FALSE)</f>
        <v>6</v>
      </c>
      <c r="J1312">
        <f>VLOOKUP(E1312,showing[],2,FALSE)</f>
        <v>4</v>
      </c>
      <c r="K1312">
        <f>Сектора[[#This Row],[Значение]]</f>
        <v>3227664</v>
      </c>
      <c r="L1312" t="str">
        <f t="shared" si="20"/>
        <v>INSERT INTO msfo.statements (id_company, id_year, id_showing, value) VALUES (11,6,4,3227664);</v>
      </c>
    </row>
    <row r="1313" spans="1:12">
      <c r="A1313" s="28" t="s">
        <v>45</v>
      </c>
      <c r="B1313" s="28" t="s">
        <v>33</v>
      </c>
      <c r="C1313" s="28">
        <v>2017</v>
      </c>
      <c r="D1313" s="28" t="s">
        <v>1</v>
      </c>
      <c r="E1313" s="28" t="s">
        <v>6</v>
      </c>
      <c r="F1313" s="28">
        <v>3490399</v>
      </c>
      <c r="H1313">
        <f>VLOOKUP(A1313&amp;B1313,ticker_sector[],2,FALSE)</f>
        <v>11</v>
      </c>
      <c r="I1313">
        <f>VLOOKUP(C1313,year[],2,FALSE)</f>
        <v>7</v>
      </c>
      <c r="J1313">
        <f>VLOOKUP(E1313,showing[],2,FALSE)</f>
        <v>4</v>
      </c>
      <c r="K1313">
        <f>Сектора[[#This Row],[Значение]]</f>
        <v>3490399</v>
      </c>
      <c r="L1313" t="str">
        <f t="shared" si="20"/>
        <v>INSERT INTO msfo.statements (id_company, id_year, id_showing, value) VALUES (11,7,4,3490399);</v>
      </c>
    </row>
    <row r="1314" spans="1:12">
      <c r="A1314" s="28" t="s">
        <v>45</v>
      </c>
      <c r="B1314" s="28" t="s">
        <v>33</v>
      </c>
      <c r="C1314" s="28">
        <v>2010</v>
      </c>
      <c r="D1314" s="28" t="s">
        <v>1</v>
      </c>
      <c r="E1314" s="28" t="s">
        <v>8</v>
      </c>
      <c r="F1314" s="28">
        <v>415522.05460000003</v>
      </c>
      <c r="H1314">
        <f>VLOOKUP(A1314&amp;B1314,ticker_sector[],2,FALSE)</f>
        <v>11</v>
      </c>
      <c r="I1314">
        <f>VLOOKUP(C1314,year[],2,FALSE)</f>
        <v>0</v>
      </c>
      <c r="J1314">
        <f>VLOOKUP(E1314,showing[],2,FALSE)</f>
        <v>5</v>
      </c>
      <c r="K1314">
        <f>Сектора[[#This Row],[Значение]]</f>
        <v>415522.05460000003</v>
      </c>
      <c r="L1314" t="str">
        <f t="shared" si="20"/>
        <v>INSERT INTO msfo.statements (id_company, id_year, id_showing, value) VALUES (11,0,5,415522,0546);</v>
      </c>
    </row>
    <row r="1315" spans="1:12">
      <c r="A1315" s="28" t="s">
        <v>45</v>
      </c>
      <c r="B1315" s="28" t="s">
        <v>33</v>
      </c>
      <c r="C1315" s="28">
        <v>2011</v>
      </c>
      <c r="D1315" s="28" t="s">
        <v>1</v>
      </c>
      <c r="E1315" s="28" t="s">
        <v>8</v>
      </c>
      <c r="F1315" s="28">
        <v>406250.3898</v>
      </c>
      <c r="H1315">
        <f>VLOOKUP(A1315&amp;B1315,ticker_sector[],2,FALSE)</f>
        <v>11</v>
      </c>
      <c r="I1315">
        <f>VLOOKUP(C1315,year[],2,FALSE)</f>
        <v>1</v>
      </c>
      <c r="J1315">
        <f>VLOOKUP(E1315,showing[],2,FALSE)</f>
        <v>5</v>
      </c>
      <c r="K1315">
        <f>Сектора[[#This Row],[Значение]]</f>
        <v>406250.3898</v>
      </c>
      <c r="L1315" t="str">
        <f t="shared" si="20"/>
        <v>INSERT INTO msfo.statements (id_company, id_year, id_showing, value) VALUES (11,1,5,406250,3898);</v>
      </c>
    </row>
    <row r="1316" spans="1:12">
      <c r="A1316" s="28" t="s">
        <v>45</v>
      </c>
      <c r="B1316" s="28" t="s">
        <v>33</v>
      </c>
      <c r="C1316" s="28">
        <v>2012</v>
      </c>
      <c r="D1316" s="28" t="s">
        <v>1</v>
      </c>
      <c r="E1316" s="28" t="s">
        <v>8</v>
      </c>
      <c r="F1316" s="28">
        <v>374191.66399999999</v>
      </c>
      <c r="H1316">
        <f>VLOOKUP(A1316&amp;B1316,ticker_sector[],2,FALSE)</f>
        <v>11</v>
      </c>
      <c r="I1316">
        <f>VLOOKUP(C1316,year[],2,FALSE)</f>
        <v>2</v>
      </c>
      <c r="J1316">
        <f>VLOOKUP(E1316,showing[],2,FALSE)</f>
        <v>5</v>
      </c>
      <c r="K1316">
        <f>Сектора[[#This Row],[Значение]]</f>
        <v>374191.66399999999</v>
      </c>
      <c r="L1316" t="str">
        <f t="shared" si="20"/>
        <v>INSERT INTO msfo.statements (id_company, id_year, id_showing, value) VALUES (11,2,5,374191,664);</v>
      </c>
    </row>
    <row r="1317" spans="1:12">
      <c r="A1317" s="28" t="s">
        <v>45</v>
      </c>
      <c r="B1317" s="28" t="s">
        <v>33</v>
      </c>
      <c r="C1317" s="28">
        <v>2013</v>
      </c>
      <c r="D1317" s="28" t="s">
        <v>1</v>
      </c>
      <c r="E1317" s="28" t="s">
        <v>8</v>
      </c>
      <c r="F1317" s="28">
        <v>572335.52039999992</v>
      </c>
      <c r="H1317">
        <f>VLOOKUP(A1317&amp;B1317,ticker_sector[],2,FALSE)</f>
        <v>11</v>
      </c>
      <c r="I1317">
        <f>VLOOKUP(C1317,year[],2,FALSE)</f>
        <v>3</v>
      </c>
      <c r="J1317">
        <f>VLOOKUP(E1317,showing[],2,FALSE)</f>
        <v>5</v>
      </c>
      <c r="K1317">
        <f>Сектора[[#This Row],[Значение]]</f>
        <v>572335.52039999992</v>
      </c>
      <c r="L1317" t="str">
        <f t="shared" si="20"/>
        <v>INSERT INTO msfo.statements (id_company, id_year, id_showing, value) VALUES (11,3,5,572335,5204);</v>
      </c>
    </row>
    <row r="1318" spans="1:12">
      <c r="A1318" s="28" t="s">
        <v>45</v>
      </c>
      <c r="B1318" s="28" t="s">
        <v>33</v>
      </c>
      <c r="C1318" s="28">
        <v>2014</v>
      </c>
      <c r="D1318" s="28" t="s">
        <v>1</v>
      </c>
      <c r="E1318" s="28" t="s">
        <v>8</v>
      </c>
      <c r="F1318" s="28">
        <v>909965</v>
      </c>
      <c r="H1318">
        <f>VLOOKUP(A1318&amp;B1318,ticker_sector[],2,FALSE)</f>
        <v>11</v>
      </c>
      <c r="I1318">
        <f>VLOOKUP(C1318,year[],2,FALSE)</f>
        <v>4</v>
      </c>
      <c r="J1318">
        <f>VLOOKUP(E1318,showing[],2,FALSE)</f>
        <v>5</v>
      </c>
      <c r="K1318">
        <f>Сектора[[#This Row],[Значение]]</f>
        <v>909965</v>
      </c>
      <c r="L1318" t="str">
        <f t="shared" si="20"/>
        <v>INSERT INTO msfo.statements (id_company, id_year, id_showing, value) VALUES (11,4,5,909965);</v>
      </c>
    </row>
    <row r="1319" spans="1:12">
      <c r="A1319" s="28" t="s">
        <v>45</v>
      </c>
      <c r="B1319" s="28" t="s">
        <v>33</v>
      </c>
      <c r="C1319" s="28">
        <v>2015</v>
      </c>
      <c r="D1319" s="28" t="s">
        <v>1</v>
      </c>
      <c r="E1319" s="28" t="s">
        <v>8</v>
      </c>
      <c r="F1319" s="28">
        <v>1094065</v>
      </c>
      <c r="H1319">
        <f>VLOOKUP(A1319&amp;B1319,ticker_sector[],2,FALSE)</f>
        <v>11</v>
      </c>
      <c r="I1319">
        <f>VLOOKUP(C1319,year[],2,FALSE)</f>
        <v>5</v>
      </c>
      <c r="J1319">
        <f>VLOOKUP(E1319,showing[],2,FALSE)</f>
        <v>5</v>
      </c>
      <c r="K1319">
        <f>Сектора[[#This Row],[Значение]]</f>
        <v>1094065</v>
      </c>
      <c r="L1319" t="str">
        <f t="shared" si="20"/>
        <v>INSERT INTO msfo.statements (id_company, id_year, id_showing, value) VALUES (11,5,5,1094065);</v>
      </c>
    </row>
    <row r="1320" spans="1:12">
      <c r="A1320" s="28" t="s">
        <v>45</v>
      </c>
      <c r="B1320" s="28" t="s">
        <v>33</v>
      </c>
      <c r="C1320" s="28">
        <v>2016</v>
      </c>
      <c r="D1320" s="28" t="s">
        <v>1</v>
      </c>
      <c r="E1320" s="28" t="s">
        <v>8</v>
      </c>
      <c r="F1320" s="28">
        <v>956323</v>
      </c>
      <c r="H1320">
        <f>VLOOKUP(A1320&amp;B1320,ticker_sector[],2,FALSE)</f>
        <v>11</v>
      </c>
      <c r="I1320">
        <f>VLOOKUP(C1320,year[],2,FALSE)</f>
        <v>6</v>
      </c>
      <c r="J1320">
        <f>VLOOKUP(E1320,showing[],2,FALSE)</f>
        <v>5</v>
      </c>
      <c r="K1320">
        <f>Сектора[[#This Row],[Значение]]</f>
        <v>956323</v>
      </c>
      <c r="L1320" t="str">
        <f t="shared" si="20"/>
        <v>INSERT INTO msfo.statements (id_company, id_year, id_showing, value) VALUES (11,6,5,956323);</v>
      </c>
    </row>
    <row r="1321" spans="1:12">
      <c r="A1321" s="28" t="s">
        <v>45</v>
      </c>
      <c r="B1321" s="28" t="s">
        <v>33</v>
      </c>
      <c r="C1321" s="28">
        <v>2017</v>
      </c>
      <c r="D1321" s="28" t="s">
        <v>1</v>
      </c>
      <c r="E1321" s="28" t="s">
        <v>8</v>
      </c>
      <c r="F1321" s="28">
        <v>776969</v>
      </c>
      <c r="H1321">
        <f>VLOOKUP(A1321&amp;B1321,ticker_sector[],2,FALSE)</f>
        <v>11</v>
      </c>
      <c r="I1321">
        <f>VLOOKUP(C1321,year[],2,FALSE)</f>
        <v>7</v>
      </c>
      <c r="J1321">
        <f>VLOOKUP(E1321,showing[],2,FALSE)</f>
        <v>5</v>
      </c>
      <c r="K1321">
        <f>Сектора[[#This Row],[Значение]]</f>
        <v>776969</v>
      </c>
      <c r="L1321" t="str">
        <f t="shared" si="20"/>
        <v>INSERT INTO msfo.statements (id_company, id_year, id_showing, value) VALUES (11,7,5,776969);</v>
      </c>
    </row>
    <row r="1322" spans="1:12">
      <c r="A1322" s="28" t="s">
        <v>45</v>
      </c>
      <c r="B1322" s="28" t="s">
        <v>33</v>
      </c>
      <c r="C1322" s="28">
        <v>2010</v>
      </c>
      <c r="D1322" s="28" t="s">
        <v>1</v>
      </c>
      <c r="E1322" s="28" t="s">
        <v>9</v>
      </c>
      <c r="F1322" s="28">
        <v>328388.59750000003</v>
      </c>
      <c r="H1322">
        <f>VLOOKUP(A1322&amp;B1322,ticker_sector[],2,FALSE)</f>
        <v>11</v>
      </c>
      <c r="I1322">
        <f>VLOOKUP(C1322,year[],2,FALSE)</f>
        <v>0</v>
      </c>
      <c r="J1322">
        <f>VLOOKUP(E1322,showing[],2,FALSE)</f>
        <v>6</v>
      </c>
      <c r="K1322">
        <f>Сектора[[#This Row],[Значение]]</f>
        <v>328388.59750000003</v>
      </c>
      <c r="L1322" t="str">
        <f t="shared" si="20"/>
        <v>INSERT INTO msfo.statements (id_company, id_year, id_showing, value) VALUES (11,0,6,328388,5975);</v>
      </c>
    </row>
    <row r="1323" spans="1:12">
      <c r="A1323" s="28" t="s">
        <v>45</v>
      </c>
      <c r="B1323" s="28" t="s">
        <v>33</v>
      </c>
      <c r="C1323" s="28">
        <v>2011</v>
      </c>
      <c r="D1323" s="28" t="s">
        <v>1</v>
      </c>
      <c r="E1323" s="28" t="s">
        <v>9</v>
      </c>
      <c r="F1323" s="28">
        <v>357634.27880000003</v>
      </c>
      <c r="H1323">
        <f>VLOOKUP(A1323&amp;B1323,ticker_sector[],2,FALSE)</f>
        <v>11</v>
      </c>
      <c r="I1323">
        <f>VLOOKUP(C1323,year[],2,FALSE)</f>
        <v>1</v>
      </c>
      <c r="J1323">
        <f>VLOOKUP(E1323,showing[],2,FALSE)</f>
        <v>6</v>
      </c>
      <c r="K1323">
        <f>Сектора[[#This Row],[Значение]]</f>
        <v>357634.27880000003</v>
      </c>
      <c r="L1323" t="str">
        <f t="shared" si="20"/>
        <v>INSERT INTO msfo.statements (id_company, id_year, id_showing, value) VALUES (11,1,6,357634,2788);</v>
      </c>
    </row>
    <row r="1324" spans="1:12">
      <c r="A1324" s="28" t="s">
        <v>45</v>
      </c>
      <c r="B1324" s="28" t="s">
        <v>33</v>
      </c>
      <c r="C1324" s="28">
        <v>2012</v>
      </c>
      <c r="D1324" s="28" t="s">
        <v>1</v>
      </c>
      <c r="E1324" s="28" t="s">
        <v>9</v>
      </c>
      <c r="F1324" s="28">
        <v>378231.23309999995</v>
      </c>
      <c r="H1324">
        <f>VLOOKUP(A1324&amp;B1324,ticker_sector[],2,FALSE)</f>
        <v>11</v>
      </c>
      <c r="I1324">
        <f>VLOOKUP(C1324,year[],2,FALSE)</f>
        <v>2</v>
      </c>
      <c r="J1324">
        <f>VLOOKUP(E1324,showing[],2,FALSE)</f>
        <v>6</v>
      </c>
      <c r="K1324">
        <f>Сектора[[#This Row],[Значение]]</f>
        <v>378231.23309999995</v>
      </c>
      <c r="L1324" t="str">
        <f t="shared" si="20"/>
        <v>INSERT INTO msfo.statements (id_company, id_year, id_showing, value) VALUES (11,2,6,378231,2331);</v>
      </c>
    </row>
    <row r="1325" spans="1:12">
      <c r="A1325" s="28" t="s">
        <v>45</v>
      </c>
      <c r="B1325" s="28" t="s">
        <v>33</v>
      </c>
      <c r="C1325" s="28">
        <v>2013</v>
      </c>
      <c r="D1325" s="28" t="s">
        <v>1</v>
      </c>
      <c r="E1325" s="28" t="s">
        <v>9</v>
      </c>
      <c r="F1325" s="28">
        <v>428654.33239999996</v>
      </c>
      <c r="H1325">
        <f>VLOOKUP(A1325&amp;B1325,ticker_sector[],2,FALSE)</f>
        <v>11</v>
      </c>
      <c r="I1325">
        <f>VLOOKUP(C1325,year[],2,FALSE)</f>
        <v>3</v>
      </c>
      <c r="J1325">
        <f>VLOOKUP(E1325,showing[],2,FALSE)</f>
        <v>6</v>
      </c>
      <c r="K1325">
        <f>Сектора[[#This Row],[Значение]]</f>
        <v>428654.33239999996</v>
      </c>
      <c r="L1325" t="str">
        <f t="shared" si="20"/>
        <v>INSERT INTO msfo.statements (id_company, id_year, id_showing, value) VALUES (11,3,6,428654,3324);</v>
      </c>
    </row>
    <row r="1326" spans="1:12">
      <c r="A1326" s="28" t="s">
        <v>45</v>
      </c>
      <c r="B1326" s="28" t="s">
        <v>33</v>
      </c>
      <c r="C1326" s="28">
        <v>2014</v>
      </c>
      <c r="D1326" s="28" t="s">
        <v>1</v>
      </c>
      <c r="E1326" s="28" t="s">
        <v>9</v>
      </c>
      <c r="F1326" s="28">
        <v>779446</v>
      </c>
      <c r="H1326">
        <f>VLOOKUP(A1326&amp;B1326,ticker_sector[],2,FALSE)</f>
        <v>11</v>
      </c>
      <c r="I1326">
        <f>VLOOKUP(C1326,year[],2,FALSE)</f>
        <v>4</v>
      </c>
      <c r="J1326">
        <f>VLOOKUP(E1326,showing[],2,FALSE)</f>
        <v>6</v>
      </c>
      <c r="K1326">
        <f>Сектора[[#This Row],[Значение]]</f>
        <v>779446</v>
      </c>
      <c r="L1326" t="str">
        <f t="shared" si="20"/>
        <v>INSERT INTO msfo.statements (id_company, id_year, id_showing, value) VALUES (11,4,6,779446);</v>
      </c>
    </row>
    <row r="1327" spans="1:12">
      <c r="A1327" s="28" t="s">
        <v>45</v>
      </c>
      <c r="B1327" s="28" t="s">
        <v>33</v>
      </c>
      <c r="C1327" s="28">
        <v>2015</v>
      </c>
      <c r="D1327" s="28" t="s">
        <v>1</v>
      </c>
      <c r="E1327" s="28" t="s">
        <v>9</v>
      </c>
      <c r="F1327" s="28">
        <v>695168</v>
      </c>
      <c r="H1327">
        <f>VLOOKUP(A1327&amp;B1327,ticker_sector[],2,FALSE)</f>
        <v>11</v>
      </c>
      <c r="I1327">
        <f>VLOOKUP(C1327,year[],2,FALSE)</f>
        <v>5</v>
      </c>
      <c r="J1327">
        <f>VLOOKUP(E1327,showing[],2,FALSE)</f>
        <v>6</v>
      </c>
      <c r="K1327">
        <f>Сектора[[#This Row],[Значение]]</f>
        <v>695168</v>
      </c>
      <c r="L1327" t="str">
        <f t="shared" si="20"/>
        <v>INSERT INTO msfo.statements (id_company, id_year, id_showing, value) VALUES (11,5,6,695168);</v>
      </c>
    </row>
    <row r="1328" spans="1:12">
      <c r="A1328" s="28" t="s">
        <v>45</v>
      </c>
      <c r="B1328" s="28" t="s">
        <v>33</v>
      </c>
      <c r="C1328" s="28">
        <v>2016</v>
      </c>
      <c r="D1328" s="28" t="s">
        <v>1</v>
      </c>
      <c r="E1328" s="28" t="s">
        <v>9</v>
      </c>
      <c r="F1328" s="28">
        <v>830686</v>
      </c>
      <c r="H1328">
        <f>VLOOKUP(A1328&amp;B1328,ticker_sector[],2,FALSE)</f>
        <v>11</v>
      </c>
      <c r="I1328">
        <f>VLOOKUP(C1328,year[],2,FALSE)</f>
        <v>6</v>
      </c>
      <c r="J1328">
        <f>VLOOKUP(E1328,showing[],2,FALSE)</f>
        <v>6</v>
      </c>
      <c r="K1328">
        <f>Сектора[[#This Row],[Значение]]</f>
        <v>830686</v>
      </c>
      <c r="L1328" t="str">
        <f t="shared" si="20"/>
        <v>INSERT INTO msfo.statements (id_company, id_year, id_showing, value) VALUES (11,6,6,830686);</v>
      </c>
    </row>
    <row r="1329" spans="1:12">
      <c r="A1329" s="28" t="s">
        <v>45</v>
      </c>
      <c r="B1329" s="28" t="s">
        <v>33</v>
      </c>
      <c r="C1329" s="28">
        <v>2017</v>
      </c>
      <c r="D1329" s="28" t="s">
        <v>1</v>
      </c>
      <c r="E1329" s="28" t="s">
        <v>9</v>
      </c>
      <c r="F1329" s="28">
        <v>958847</v>
      </c>
      <c r="H1329">
        <f>VLOOKUP(A1329&amp;B1329,ticker_sector[],2,FALSE)</f>
        <v>11</v>
      </c>
      <c r="I1329">
        <f>VLOOKUP(C1329,year[],2,FALSE)</f>
        <v>7</v>
      </c>
      <c r="J1329">
        <f>VLOOKUP(E1329,showing[],2,FALSE)</f>
        <v>6</v>
      </c>
      <c r="K1329">
        <f>Сектора[[#This Row],[Значение]]</f>
        <v>958847</v>
      </c>
      <c r="L1329" t="str">
        <f t="shared" si="20"/>
        <v>INSERT INTO msfo.statements (id_company, id_year, id_showing, value) VALUES (11,7,6,958847);</v>
      </c>
    </row>
    <row r="1330" spans="1:12">
      <c r="A1330" s="28" t="s">
        <v>45</v>
      </c>
      <c r="B1330" s="28" t="s">
        <v>33</v>
      </c>
      <c r="C1330" s="28">
        <v>2010</v>
      </c>
      <c r="D1330" s="28" t="s">
        <v>1</v>
      </c>
      <c r="E1330" s="28" t="s">
        <v>10</v>
      </c>
      <c r="F1330" s="28">
        <v>2560577.7072999999</v>
      </c>
      <c r="H1330">
        <f>VLOOKUP(A1330&amp;B1330,ticker_sector[],2,FALSE)</f>
        <v>11</v>
      </c>
      <c r="I1330">
        <f>VLOOKUP(C1330,year[],2,FALSE)</f>
        <v>0</v>
      </c>
      <c r="J1330">
        <f>VLOOKUP(E1330,showing[],2,FALSE)</f>
        <v>7</v>
      </c>
      <c r="K1330">
        <f>Сектора[[#This Row],[Значение]]</f>
        <v>2560577.7072999999</v>
      </c>
      <c r="L1330" t="str">
        <f t="shared" si="20"/>
        <v>INSERT INTO msfo.statements (id_company, id_year, id_showing, value) VALUES (11,0,7,2560577,7073);</v>
      </c>
    </row>
    <row r="1331" spans="1:12">
      <c r="A1331" s="28" t="s">
        <v>45</v>
      </c>
      <c r="B1331" s="28" t="s">
        <v>33</v>
      </c>
      <c r="C1331" s="28">
        <v>2011</v>
      </c>
      <c r="D1331" s="28" t="s">
        <v>1</v>
      </c>
      <c r="E1331" s="28" t="s">
        <v>10</v>
      </c>
      <c r="F1331" s="28">
        <v>2936026.7512000003</v>
      </c>
      <c r="H1331">
        <f>VLOOKUP(A1331&amp;B1331,ticker_sector[],2,FALSE)</f>
        <v>11</v>
      </c>
      <c r="I1331">
        <f>VLOOKUP(C1331,year[],2,FALSE)</f>
        <v>1</v>
      </c>
      <c r="J1331">
        <f>VLOOKUP(E1331,showing[],2,FALSE)</f>
        <v>7</v>
      </c>
      <c r="K1331">
        <f>Сектора[[#This Row],[Значение]]</f>
        <v>2936026.7512000003</v>
      </c>
      <c r="L1331" t="str">
        <f t="shared" si="20"/>
        <v>INSERT INTO msfo.statements (id_company, id_year, id_showing, value) VALUES (11,1,7,2936026,7512);</v>
      </c>
    </row>
    <row r="1332" spans="1:12">
      <c r="A1332" s="28" t="s">
        <v>45</v>
      </c>
      <c r="B1332" s="28" t="s">
        <v>33</v>
      </c>
      <c r="C1332" s="28">
        <v>2012</v>
      </c>
      <c r="D1332" s="28" t="s">
        <v>1</v>
      </c>
      <c r="E1332" s="28" t="s">
        <v>10</v>
      </c>
      <c r="F1332" s="28">
        <v>3005712.7647000002</v>
      </c>
      <c r="H1332">
        <f>VLOOKUP(A1332&amp;B1332,ticker_sector[],2,FALSE)</f>
        <v>11</v>
      </c>
      <c r="I1332">
        <f>VLOOKUP(C1332,year[],2,FALSE)</f>
        <v>2</v>
      </c>
      <c r="J1332">
        <f>VLOOKUP(E1332,showing[],2,FALSE)</f>
        <v>7</v>
      </c>
      <c r="K1332">
        <f>Сектора[[#This Row],[Значение]]</f>
        <v>3005712.7647000002</v>
      </c>
      <c r="L1332" t="str">
        <f t="shared" si="20"/>
        <v>INSERT INTO msfo.statements (id_company, id_year, id_showing, value) VALUES (11,2,7,3005712,7647);</v>
      </c>
    </row>
    <row r="1333" spans="1:12">
      <c r="A1333" s="28" t="s">
        <v>45</v>
      </c>
      <c r="B1333" s="28" t="s">
        <v>33</v>
      </c>
      <c r="C1333" s="28">
        <v>2013</v>
      </c>
      <c r="D1333" s="28" t="s">
        <v>1</v>
      </c>
      <c r="E1333" s="28" t="s">
        <v>10</v>
      </c>
      <c r="F1333" s="28">
        <v>3581850.9188000001</v>
      </c>
      <c r="H1333">
        <f>VLOOKUP(A1333&amp;B1333,ticker_sector[],2,FALSE)</f>
        <v>11</v>
      </c>
      <c r="I1333">
        <f>VLOOKUP(C1333,year[],2,FALSE)</f>
        <v>3</v>
      </c>
      <c r="J1333">
        <f>VLOOKUP(E1333,showing[],2,FALSE)</f>
        <v>7</v>
      </c>
      <c r="K1333">
        <f>Сектора[[#This Row],[Значение]]</f>
        <v>3581850.9188000001</v>
      </c>
      <c r="L1333" t="str">
        <f t="shared" si="20"/>
        <v>INSERT INTO msfo.statements (id_company, id_year, id_showing, value) VALUES (11,3,7,3581850,9188);</v>
      </c>
    </row>
    <row r="1334" spans="1:12">
      <c r="A1334" s="28" t="s">
        <v>45</v>
      </c>
      <c r="B1334" s="28" t="s">
        <v>33</v>
      </c>
      <c r="C1334" s="28">
        <v>2014</v>
      </c>
      <c r="D1334" s="28" t="s">
        <v>1</v>
      </c>
      <c r="E1334" s="28" t="s">
        <v>10</v>
      </c>
      <c r="F1334" s="28">
        <v>4738953</v>
      </c>
      <c r="H1334">
        <f>VLOOKUP(A1334&amp;B1334,ticker_sector[],2,FALSE)</f>
        <v>11</v>
      </c>
      <c r="I1334">
        <f>VLOOKUP(C1334,year[],2,FALSE)</f>
        <v>4</v>
      </c>
      <c r="J1334">
        <f>VLOOKUP(E1334,showing[],2,FALSE)</f>
        <v>7</v>
      </c>
      <c r="K1334">
        <f>Сектора[[#This Row],[Значение]]</f>
        <v>4738953</v>
      </c>
      <c r="L1334" t="str">
        <f t="shared" si="20"/>
        <v>INSERT INTO msfo.statements (id_company, id_year, id_showing, value) VALUES (11,4,7,4738953);</v>
      </c>
    </row>
    <row r="1335" spans="1:12">
      <c r="A1335" s="28" t="s">
        <v>45</v>
      </c>
      <c r="B1335" s="28" t="s">
        <v>33</v>
      </c>
      <c r="C1335" s="28">
        <v>2015</v>
      </c>
      <c r="D1335" s="28" t="s">
        <v>1</v>
      </c>
      <c r="E1335" s="28" t="s">
        <v>10</v>
      </c>
      <c r="F1335" s="28">
        <v>5020607</v>
      </c>
      <c r="H1335">
        <f>VLOOKUP(A1335&amp;B1335,ticker_sector[],2,FALSE)</f>
        <v>11</v>
      </c>
      <c r="I1335">
        <f>VLOOKUP(C1335,year[],2,FALSE)</f>
        <v>5</v>
      </c>
      <c r="J1335">
        <f>VLOOKUP(E1335,showing[],2,FALSE)</f>
        <v>7</v>
      </c>
      <c r="K1335">
        <f>Сектора[[#This Row],[Значение]]</f>
        <v>5020607</v>
      </c>
      <c r="L1335" t="str">
        <f t="shared" si="20"/>
        <v>INSERT INTO msfo.statements (id_company, id_year, id_showing, value) VALUES (11,5,7,5020607);</v>
      </c>
    </row>
    <row r="1336" spans="1:12">
      <c r="A1336" s="28" t="s">
        <v>45</v>
      </c>
      <c r="B1336" s="28" t="s">
        <v>33</v>
      </c>
      <c r="C1336" s="28">
        <v>2016</v>
      </c>
      <c r="D1336" s="28" t="s">
        <v>1</v>
      </c>
      <c r="E1336" s="28" t="s">
        <v>10</v>
      </c>
      <c r="F1336" s="28">
        <v>5014673</v>
      </c>
      <c r="H1336">
        <f>VLOOKUP(A1336&amp;B1336,ticker_sector[],2,FALSE)</f>
        <v>11</v>
      </c>
      <c r="I1336">
        <f>VLOOKUP(C1336,year[],2,FALSE)</f>
        <v>6</v>
      </c>
      <c r="J1336">
        <f>VLOOKUP(E1336,showing[],2,FALSE)</f>
        <v>7</v>
      </c>
      <c r="K1336">
        <f>Сектора[[#This Row],[Значение]]</f>
        <v>5014673</v>
      </c>
      <c r="L1336" t="str">
        <f t="shared" si="20"/>
        <v>INSERT INTO msfo.statements (id_company, id_year, id_showing, value) VALUES (11,6,7,5014673);</v>
      </c>
    </row>
    <row r="1337" spans="1:12">
      <c r="A1337" s="28" t="s">
        <v>45</v>
      </c>
      <c r="B1337" s="28" t="s">
        <v>33</v>
      </c>
      <c r="C1337" s="28">
        <v>2017</v>
      </c>
      <c r="D1337" s="28" t="s">
        <v>1</v>
      </c>
      <c r="E1337" s="28" t="s">
        <v>10</v>
      </c>
      <c r="F1337" s="28">
        <v>5226215</v>
      </c>
      <c r="H1337">
        <f>VLOOKUP(A1337&amp;B1337,ticker_sector[],2,FALSE)</f>
        <v>11</v>
      </c>
      <c r="I1337">
        <f>VLOOKUP(C1337,year[],2,FALSE)</f>
        <v>7</v>
      </c>
      <c r="J1337">
        <f>VLOOKUP(E1337,showing[],2,FALSE)</f>
        <v>7</v>
      </c>
      <c r="K1337">
        <f>Сектора[[#This Row],[Значение]]</f>
        <v>5226215</v>
      </c>
      <c r="L1337" t="str">
        <f t="shared" si="20"/>
        <v>INSERT INTO msfo.statements (id_company, id_year, id_showing, value) VALUES (11,7,7,5226215);</v>
      </c>
    </row>
    <row r="1338" spans="1:12">
      <c r="A1338" s="28" t="s">
        <v>45</v>
      </c>
      <c r="B1338" s="28" t="s">
        <v>33</v>
      </c>
      <c r="C1338" s="28">
        <v>2010</v>
      </c>
      <c r="D1338" s="28" t="s">
        <v>1</v>
      </c>
      <c r="E1338" s="28" t="s">
        <v>11</v>
      </c>
      <c r="F1338" s="28">
        <v>0.29052453670090583</v>
      </c>
      <c r="H1338">
        <f>VLOOKUP(A1338&amp;B1338,ticker_sector[],2,FALSE)</f>
        <v>11</v>
      </c>
      <c r="I1338">
        <f>VLOOKUP(C1338,year[],2,FALSE)</f>
        <v>0</v>
      </c>
      <c r="J1338">
        <f>VLOOKUP(E1338,showing[],2,FALSE)</f>
        <v>8</v>
      </c>
      <c r="K1338">
        <f>Сектора[[#This Row],[Значение]]</f>
        <v>0.29052453670090583</v>
      </c>
      <c r="L1338" t="str">
        <f t="shared" si="20"/>
        <v>INSERT INTO msfo.statements (id_company, id_year, id_showing, value) VALUES (11,0,8,0,290524536700906);</v>
      </c>
    </row>
    <row r="1339" spans="1:12">
      <c r="A1339" s="28" t="s">
        <v>45</v>
      </c>
      <c r="B1339" s="28" t="s">
        <v>33</v>
      </c>
      <c r="C1339" s="28">
        <v>2011</v>
      </c>
      <c r="D1339" s="28" t="s">
        <v>1</v>
      </c>
      <c r="E1339" s="28" t="s">
        <v>11</v>
      </c>
      <c r="F1339" s="28">
        <v>0.2601763312571278</v>
      </c>
      <c r="H1339">
        <f>VLOOKUP(A1339&amp;B1339,ticker_sector[],2,FALSE)</f>
        <v>11</v>
      </c>
      <c r="I1339">
        <f>VLOOKUP(C1339,year[],2,FALSE)</f>
        <v>1</v>
      </c>
      <c r="J1339">
        <f>VLOOKUP(E1339,showing[],2,FALSE)</f>
        <v>8</v>
      </c>
      <c r="K1339">
        <f>Сектора[[#This Row],[Значение]]</f>
        <v>0.2601763312571278</v>
      </c>
      <c r="L1339" t="str">
        <f t="shared" si="20"/>
        <v>INSERT INTO msfo.statements (id_company, id_year, id_showing, value) VALUES (11,1,8,0,260176331257128);</v>
      </c>
    </row>
    <row r="1340" spans="1:12">
      <c r="A1340" s="28" t="s">
        <v>45</v>
      </c>
      <c r="B1340" s="28" t="s">
        <v>33</v>
      </c>
      <c r="C1340" s="28">
        <v>2012</v>
      </c>
      <c r="D1340" s="28" t="s">
        <v>1</v>
      </c>
      <c r="E1340" s="28" t="s">
        <v>11</v>
      </c>
      <c r="F1340" s="28">
        <v>0.2503309384505007</v>
      </c>
      <c r="H1340">
        <f>VLOOKUP(A1340&amp;B1340,ticker_sector[],2,FALSE)</f>
        <v>11</v>
      </c>
      <c r="I1340">
        <f>VLOOKUP(C1340,year[],2,FALSE)</f>
        <v>2</v>
      </c>
      <c r="J1340">
        <f>VLOOKUP(E1340,showing[],2,FALSE)</f>
        <v>8</v>
      </c>
      <c r="K1340">
        <f>Сектора[[#This Row],[Значение]]</f>
        <v>0.2503309384505007</v>
      </c>
      <c r="L1340" t="str">
        <f t="shared" si="20"/>
        <v>INSERT INTO msfo.statements (id_company, id_year, id_showing, value) VALUES (11,2,8,0,250330938450501);</v>
      </c>
    </row>
    <row r="1341" spans="1:12">
      <c r="A1341" s="28" t="s">
        <v>45</v>
      </c>
      <c r="B1341" s="28" t="s">
        <v>33</v>
      </c>
      <c r="C1341" s="28">
        <v>2013</v>
      </c>
      <c r="D1341" s="28" t="s">
        <v>1</v>
      </c>
      <c r="E1341" s="28" t="s">
        <v>11</v>
      </c>
      <c r="F1341" s="28">
        <v>0.27946161788759033</v>
      </c>
      <c r="H1341">
        <f>VLOOKUP(A1341&amp;B1341,ticker_sector[],2,FALSE)</f>
        <v>11</v>
      </c>
      <c r="I1341">
        <f>VLOOKUP(C1341,year[],2,FALSE)</f>
        <v>3</v>
      </c>
      <c r="J1341">
        <f>VLOOKUP(E1341,showing[],2,FALSE)</f>
        <v>8</v>
      </c>
      <c r="K1341">
        <f>Сектора[[#This Row],[Значение]]</f>
        <v>0.27946161788759033</v>
      </c>
      <c r="L1341" t="str">
        <f t="shared" si="20"/>
        <v>INSERT INTO msfo.statements (id_company, id_year, id_showing, value) VALUES (11,3,8,0,27946161788759);</v>
      </c>
    </row>
    <row r="1342" spans="1:12">
      <c r="A1342" s="28" t="s">
        <v>45</v>
      </c>
      <c r="B1342" s="28" t="s">
        <v>33</v>
      </c>
      <c r="C1342" s="28">
        <v>2014</v>
      </c>
      <c r="D1342" s="28" t="s">
        <v>1</v>
      </c>
      <c r="E1342" s="28" t="s">
        <v>11</v>
      </c>
      <c r="F1342" s="28">
        <v>0.35649456747091607</v>
      </c>
      <c r="H1342">
        <f>VLOOKUP(A1342&amp;B1342,ticker_sector[],2,FALSE)</f>
        <v>11</v>
      </c>
      <c r="I1342">
        <f>VLOOKUP(C1342,year[],2,FALSE)</f>
        <v>4</v>
      </c>
      <c r="J1342">
        <f>VLOOKUP(E1342,showing[],2,FALSE)</f>
        <v>8</v>
      </c>
      <c r="K1342">
        <f>Сектора[[#This Row],[Значение]]</f>
        <v>0.35649456747091607</v>
      </c>
      <c r="L1342" t="str">
        <f t="shared" si="20"/>
        <v>INSERT INTO msfo.statements (id_company, id_year, id_showing, value) VALUES (11,4,8,0,356494567470916);</v>
      </c>
    </row>
    <row r="1343" spans="1:12">
      <c r="A1343" s="28" t="s">
        <v>45</v>
      </c>
      <c r="B1343" s="28" t="s">
        <v>33</v>
      </c>
      <c r="C1343" s="28">
        <v>2015</v>
      </c>
      <c r="D1343" s="28" t="s">
        <v>1</v>
      </c>
      <c r="E1343" s="28" t="s">
        <v>11</v>
      </c>
      <c r="F1343" s="28">
        <v>0.35637782443437616</v>
      </c>
      <c r="H1343">
        <f>VLOOKUP(A1343&amp;B1343,ticker_sector[],2,FALSE)</f>
        <v>11</v>
      </c>
      <c r="I1343">
        <f>VLOOKUP(C1343,year[],2,FALSE)</f>
        <v>5</v>
      </c>
      <c r="J1343">
        <f>VLOOKUP(E1343,showing[],2,FALSE)</f>
        <v>8</v>
      </c>
      <c r="K1343">
        <f>Сектора[[#This Row],[Значение]]</f>
        <v>0.35637782443437616</v>
      </c>
      <c r="L1343" t="str">
        <f t="shared" si="20"/>
        <v>INSERT INTO msfo.statements (id_company, id_year, id_showing, value) VALUES (11,5,8,0,356377824434376);</v>
      </c>
    </row>
    <row r="1344" spans="1:12">
      <c r="A1344" s="28" t="s">
        <v>45</v>
      </c>
      <c r="B1344" s="28" t="s">
        <v>33</v>
      </c>
      <c r="C1344" s="28">
        <v>2016</v>
      </c>
      <c r="D1344" s="28" t="s">
        <v>1</v>
      </c>
      <c r="E1344" s="28" t="s">
        <v>11</v>
      </c>
      <c r="F1344" s="28">
        <v>0.35635603757214079</v>
      </c>
      <c r="H1344">
        <f>VLOOKUP(A1344&amp;B1344,ticker_sector[],2,FALSE)</f>
        <v>11</v>
      </c>
      <c r="I1344">
        <f>VLOOKUP(C1344,year[],2,FALSE)</f>
        <v>6</v>
      </c>
      <c r="J1344">
        <f>VLOOKUP(E1344,showing[],2,FALSE)</f>
        <v>8</v>
      </c>
      <c r="K1344">
        <f>Сектора[[#This Row],[Значение]]</f>
        <v>0.35635603757214079</v>
      </c>
      <c r="L1344" t="str">
        <f t="shared" si="20"/>
        <v>INSERT INTO msfo.statements (id_company, id_year, id_showing, value) VALUES (11,6,8,0,356356037572141);</v>
      </c>
    </row>
    <row r="1345" spans="1:12">
      <c r="A1345" s="28" t="s">
        <v>45</v>
      </c>
      <c r="B1345" s="28" t="s">
        <v>33</v>
      </c>
      <c r="C1345" s="28">
        <v>2017</v>
      </c>
      <c r="D1345" s="28" t="s">
        <v>1</v>
      </c>
      <c r="E1345" s="28" t="s">
        <v>11</v>
      </c>
      <c r="F1345" s="28">
        <v>0.3321363548954645</v>
      </c>
      <c r="H1345">
        <f>VLOOKUP(A1345&amp;B1345,ticker_sector[],2,FALSE)</f>
        <v>11</v>
      </c>
      <c r="I1345">
        <f>VLOOKUP(C1345,year[],2,FALSE)</f>
        <v>7</v>
      </c>
      <c r="J1345">
        <f>VLOOKUP(E1345,showing[],2,FALSE)</f>
        <v>8</v>
      </c>
      <c r="K1345">
        <f>Сектора[[#This Row],[Значение]]</f>
        <v>0.3321363548954645</v>
      </c>
      <c r="L1345" t="str">
        <f t="shared" si="20"/>
        <v>INSERT INTO msfo.statements (id_company, id_year, id_showing, value) VALUES (11,7,8,0,332136354895465);</v>
      </c>
    </row>
    <row r="1346" spans="1:12">
      <c r="A1346" s="28" t="s">
        <v>45</v>
      </c>
      <c r="B1346" s="28" t="s">
        <v>33</v>
      </c>
      <c r="C1346" s="28">
        <v>2010</v>
      </c>
      <c r="D1346" s="28" t="s">
        <v>4</v>
      </c>
      <c r="E1346" s="28" t="s">
        <v>12</v>
      </c>
      <c r="F1346" s="28">
        <v>3198733.5164000001</v>
      </c>
      <c r="H1346">
        <f>VLOOKUP(A1346&amp;B1346,ticker_sector[],2,FALSE)</f>
        <v>11</v>
      </c>
      <c r="I1346">
        <f>VLOOKUP(C1346,year[],2,FALSE)</f>
        <v>0</v>
      </c>
      <c r="J1346">
        <f>VLOOKUP(E1346,showing[],2,FALSE)</f>
        <v>9</v>
      </c>
      <c r="K1346">
        <f>Сектора[[#This Row],[Значение]]</f>
        <v>3198733.5164000001</v>
      </c>
      <c r="L1346" t="str">
        <f t="shared" si="20"/>
        <v>INSERT INTO msfo.statements (id_company, id_year, id_showing, value) VALUES (11,0,9,3198733,5164);</v>
      </c>
    </row>
    <row r="1347" spans="1:12">
      <c r="A1347" s="28" t="s">
        <v>45</v>
      </c>
      <c r="B1347" s="28" t="s">
        <v>33</v>
      </c>
      <c r="C1347" s="28">
        <v>2011</v>
      </c>
      <c r="D1347" s="28" t="s">
        <v>4</v>
      </c>
      <c r="E1347" s="28" t="s">
        <v>12</v>
      </c>
      <c r="F1347" s="28">
        <v>4303008.7650000006</v>
      </c>
      <c r="H1347">
        <f>VLOOKUP(A1347&amp;B1347,ticker_sector[],2,FALSE)</f>
        <v>11</v>
      </c>
      <c r="I1347">
        <f>VLOOKUP(C1347,year[],2,FALSE)</f>
        <v>1</v>
      </c>
      <c r="J1347">
        <f>VLOOKUP(E1347,showing[],2,FALSE)</f>
        <v>9</v>
      </c>
      <c r="K1347">
        <f>Сектора[[#This Row],[Значение]]</f>
        <v>4303008.7650000006</v>
      </c>
      <c r="L1347" t="str">
        <f t="shared" ref="L1347:L1410" si="21">"INSERT INTO msfo.statements (id_company, id_year, id_showing, value) VALUES ("&amp;H1347&amp; ","&amp;I1347&amp; ","&amp;J1347&amp; ","&amp;K1347&amp;");"</f>
        <v>INSERT INTO msfo.statements (id_company, id_year, id_showing, value) VALUES (11,1,9,4303008,765);</v>
      </c>
    </row>
    <row r="1348" spans="1:12">
      <c r="A1348" s="28" t="s">
        <v>45</v>
      </c>
      <c r="B1348" s="28" t="s">
        <v>33</v>
      </c>
      <c r="C1348" s="28">
        <v>2012</v>
      </c>
      <c r="D1348" s="28" t="s">
        <v>4</v>
      </c>
      <c r="E1348" s="28" t="s">
        <v>12</v>
      </c>
      <c r="F1348" s="28">
        <v>4226999.0317000002</v>
      </c>
      <c r="H1348">
        <f>VLOOKUP(A1348&amp;B1348,ticker_sector[],2,FALSE)</f>
        <v>11</v>
      </c>
      <c r="I1348">
        <f>VLOOKUP(C1348,year[],2,FALSE)</f>
        <v>2</v>
      </c>
      <c r="J1348">
        <f>VLOOKUP(E1348,showing[],2,FALSE)</f>
        <v>9</v>
      </c>
      <c r="K1348">
        <f>Сектора[[#This Row],[Значение]]</f>
        <v>4226999.0317000002</v>
      </c>
      <c r="L1348" t="str">
        <f t="shared" si="21"/>
        <v>INSERT INTO msfo.statements (id_company, id_year, id_showing, value) VALUES (11,2,9,4226999,0317);</v>
      </c>
    </row>
    <row r="1349" spans="1:12">
      <c r="A1349" s="28" t="s">
        <v>45</v>
      </c>
      <c r="B1349" s="28" t="s">
        <v>33</v>
      </c>
      <c r="C1349" s="28">
        <v>2013</v>
      </c>
      <c r="D1349" s="28" t="s">
        <v>4</v>
      </c>
      <c r="E1349" s="28" t="s">
        <v>12</v>
      </c>
      <c r="F1349" s="28">
        <v>4956902.7983999997</v>
      </c>
      <c r="H1349">
        <f>VLOOKUP(A1349&amp;B1349,ticker_sector[],2,FALSE)</f>
        <v>11</v>
      </c>
      <c r="I1349">
        <f>VLOOKUP(C1349,year[],2,FALSE)</f>
        <v>3</v>
      </c>
      <c r="J1349">
        <f>VLOOKUP(E1349,showing[],2,FALSE)</f>
        <v>9</v>
      </c>
      <c r="K1349">
        <f>Сектора[[#This Row],[Значение]]</f>
        <v>4956902.7983999997</v>
      </c>
      <c r="L1349" t="str">
        <f t="shared" si="21"/>
        <v>INSERT INTO msfo.statements (id_company, id_year, id_showing, value) VALUES (11,3,9,4956902,7984);</v>
      </c>
    </row>
    <row r="1350" spans="1:12">
      <c r="A1350" s="28" t="s">
        <v>45</v>
      </c>
      <c r="B1350" s="28" t="s">
        <v>33</v>
      </c>
      <c r="C1350" s="28">
        <v>2014</v>
      </c>
      <c r="D1350" s="28" t="s">
        <v>4</v>
      </c>
      <c r="E1350" s="28" t="s">
        <v>12</v>
      </c>
      <c r="F1350" s="28">
        <v>5504856</v>
      </c>
      <c r="H1350">
        <f>VLOOKUP(A1350&amp;B1350,ticker_sector[],2,FALSE)</f>
        <v>11</v>
      </c>
      <c r="I1350">
        <f>VLOOKUP(C1350,year[],2,FALSE)</f>
        <v>4</v>
      </c>
      <c r="J1350">
        <f>VLOOKUP(E1350,showing[],2,FALSE)</f>
        <v>9</v>
      </c>
      <c r="K1350">
        <f>Сектора[[#This Row],[Значение]]</f>
        <v>5504856</v>
      </c>
      <c r="L1350" t="str">
        <f t="shared" si="21"/>
        <v>INSERT INTO msfo.statements (id_company, id_year, id_showing, value) VALUES (11,4,9,5504856);</v>
      </c>
    </row>
    <row r="1351" spans="1:12">
      <c r="A1351" s="28" t="s">
        <v>45</v>
      </c>
      <c r="B1351" s="28" t="s">
        <v>33</v>
      </c>
      <c r="C1351" s="28">
        <v>2015</v>
      </c>
      <c r="D1351" s="28" t="s">
        <v>4</v>
      </c>
      <c r="E1351" s="28" t="s">
        <v>12</v>
      </c>
      <c r="F1351" s="28">
        <v>5749050</v>
      </c>
      <c r="H1351">
        <f>VLOOKUP(A1351&amp;B1351,ticker_sector[],2,FALSE)</f>
        <v>11</v>
      </c>
      <c r="I1351">
        <f>VLOOKUP(C1351,year[],2,FALSE)</f>
        <v>5</v>
      </c>
      <c r="J1351">
        <f>VLOOKUP(E1351,showing[],2,FALSE)</f>
        <v>9</v>
      </c>
      <c r="K1351">
        <f>Сектора[[#This Row],[Значение]]</f>
        <v>5749050</v>
      </c>
      <c r="L1351" t="str">
        <f t="shared" si="21"/>
        <v>INSERT INTO msfo.statements (id_company, id_year, id_showing, value) VALUES (11,5,9,5749050);</v>
      </c>
    </row>
    <row r="1352" spans="1:12">
      <c r="A1352" s="28" t="s">
        <v>45</v>
      </c>
      <c r="B1352" s="28" t="s">
        <v>33</v>
      </c>
      <c r="C1352" s="28">
        <v>2016</v>
      </c>
      <c r="D1352" s="28" t="s">
        <v>4</v>
      </c>
      <c r="E1352" s="28" t="s">
        <v>12</v>
      </c>
      <c r="F1352" s="28">
        <v>5227045</v>
      </c>
      <c r="H1352">
        <f>VLOOKUP(A1352&amp;B1352,ticker_sector[],2,FALSE)</f>
        <v>11</v>
      </c>
      <c r="I1352">
        <f>VLOOKUP(C1352,year[],2,FALSE)</f>
        <v>6</v>
      </c>
      <c r="J1352">
        <f>VLOOKUP(E1352,showing[],2,FALSE)</f>
        <v>9</v>
      </c>
      <c r="K1352">
        <f>Сектора[[#This Row],[Значение]]</f>
        <v>5227045</v>
      </c>
      <c r="L1352" t="str">
        <f t="shared" si="21"/>
        <v>INSERT INTO msfo.statements (id_company, id_year, id_showing, value) VALUES (11,6,9,5227045);</v>
      </c>
    </row>
    <row r="1353" spans="1:12">
      <c r="A1353" s="28" t="s">
        <v>45</v>
      </c>
      <c r="B1353" s="28" t="s">
        <v>33</v>
      </c>
      <c r="C1353" s="28">
        <v>2017</v>
      </c>
      <c r="D1353" s="28" t="s">
        <v>4</v>
      </c>
      <c r="E1353" s="28" t="s">
        <v>12</v>
      </c>
      <c r="F1353" s="28">
        <v>5936705</v>
      </c>
      <c r="H1353">
        <f>VLOOKUP(A1353&amp;B1353,ticker_sector[],2,FALSE)</f>
        <v>11</v>
      </c>
      <c r="I1353">
        <f>VLOOKUP(C1353,year[],2,FALSE)</f>
        <v>7</v>
      </c>
      <c r="J1353">
        <f>VLOOKUP(E1353,showing[],2,FALSE)</f>
        <v>9</v>
      </c>
      <c r="K1353">
        <f>Сектора[[#This Row],[Значение]]</f>
        <v>5936705</v>
      </c>
      <c r="L1353" t="str">
        <f t="shared" si="21"/>
        <v>INSERT INTO msfo.statements (id_company, id_year, id_showing, value) VALUES (11,7,9,5936705);</v>
      </c>
    </row>
    <row r="1354" spans="1:12">
      <c r="A1354" s="28" t="s">
        <v>45</v>
      </c>
      <c r="B1354" s="28" t="s">
        <v>33</v>
      </c>
      <c r="C1354" s="28">
        <v>2010</v>
      </c>
      <c r="D1354" s="28" t="s">
        <v>4</v>
      </c>
      <c r="E1354" s="28" t="s">
        <v>13</v>
      </c>
      <c r="F1354" s="28">
        <v>274474.96140000003</v>
      </c>
      <c r="H1354">
        <f>VLOOKUP(A1354&amp;B1354,ticker_sector[],2,FALSE)</f>
        <v>11</v>
      </c>
      <c r="I1354">
        <f>VLOOKUP(C1354,year[],2,FALSE)</f>
        <v>0</v>
      </c>
      <c r="J1354">
        <f>VLOOKUP(E1354,showing[],2,FALSE)</f>
        <v>10</v>
      </c>
      <c r="K1354">
        <f>Сектора[[#This Row],[Значение]]</f>
        <v>274474.96140000003</v>
      </c>
      <c r="L1354" t="str">
        <f t="shared" si="21"/>
        <v>INSERT INTO msfo.statements (id_company, id_year, id_showing, value) VALUES (11,0,10,274474,9614);</v>
      </c>
    </row>
    <row r="1355" spans="1:12">
      <c r="A1355" s="28" t="s">
        <v>45</v>
      </c>
      <c r="B1355" s="28" t="s">
        <v>33</v>
      </c>
      <c r="C1355" s="28">
        <v>2011</v>
      </c>
      <c r="D1355" s="28" t="s">
        <v>4</v>
      </c>
      <c r="E1355" s="28" t="s">
        <v>13</v>
      </c>
      <c r="F1355" s="28">
        <v>333455.00770000002</v>
      </c>
      <c r="H1355">
        <f>VLOOKUP(A1355&amp;B1355,ticker_sector[],2,FALSE)</f>
        <v>11</v>
      </c>
      <c r="I1355">
        <f>VLOOKUP(C1355,year[],2,FALSE)</f>
        <v>1</v>
      </c>
      <c r="J1355">
        <f>VLOOKUP(E1355,showing[],2,FALSE)</f>
        <v>10</v>
      </c>
      <c r="K1355">
        <f>Сектора[[#This Row],[Значение]]</f>
        <v>333455.00770000002</v>
      </c>
      <c r="L1355" t="str">
        <f t="shared" si="21"/>
        <v>INSERT INTO msfo.statements (id_company, id_year, id_showing, value) VALUES (11,1,10,333455,0077);</v>
      </c>
    </row>
    <row r="1356" spans="1:12">
      <c r="A1356" s="28" t="s">
        <v>45</v>
      </c>
      <c r="B1356" s="28" t="s">
        <v>33</v>
      </c>
      <c r="C1356" s="28">
        <v>2012</v>
      </c>
      <c r="D1356" s="28" t="s">
        <v>4</v>
      </c>
      <c r="E1356" s="28" t="s">
        <v>13</v>
      </c>
      <c r="F1356" s="28">
        <v>334221.19079999998</v>
      </c>
      <c r="H1356">
        <f>VLOOKUP(A1356&amp;B1356,ticker_sector[],2,FALSE)</f>
        <v>11</v>
      </c>
      <c r="I1356">
        <f>VLOOKUP(C1356,year[],2,FALSE)</f>
        <v>2</v>
      </c>
      <c r="J1356">
        <f>VLOOKUP(E1356,showing[],2,FALSE)</f>
        <v>10</v>
      </c>
      <c r="K1356">
        <f>Сектора[[#This Row],[Значение]]</f>
        <v>334221.19079999998</v>
      </c>
      <c r="L1356" t="str">
        <f t="shared" si="21"/>
        <v>INSERT INTO msfo.statements (id_company, id_year, id_showing, value) VALUES (11,2,10,334221,1908);</v>
      </c>
    </row>
    <row r="1357" spans="1:12">
      <c r="A1357" s="28" t="s">
        <v>45</v>
      </c>
      <c r="B1357" s="28" t="s">
        <v>33</v>
      </c>
      <c r="C1357" s="28">
        <v>2013</v>
      </c>
      <c r="D1357" s="28" t="s">
        <v>4</v>
      </c>
      <c r="E1357" s="28" t="s">
        <v>13</v>
      </c>
      <c r="F1357" s="28">
        <v>256335.0944</v>
      </c>
      <c r="H1357">
        <f>VLOOKUP(A1357&amp;B1357,ticker_sector[],2,FALSE)</f>
        <v>11</v>
      </c>
      <c r="I1357">
        <f>VLOOKUP(C1357,year[],2,FALSE)</f>
        <v>3</v>
      </c>
      <c r="J1357">
        <f>VLOOKUP(E1357,showing[],2,FALSE)</f>
        <v>10</v>
      </c>
      <c r="K1357">
        <f>Сектора[[#This Row],[Значение]]</f>
        <v>256335.0944</v>
      </c>
      <c r="L1357" t="str">
        <f t="shared" si="21"/>
        <v>INSERT INTO msfo.statements (id_company, id_year, id_showing, value) VALUES (11,3,10,256335,0944);</v>
      </c>
    </row>
    <row r="1358" spans="1:12">
      <c r="A1358" s="28" t="s">
        <v>45</v>
      </c>
      <c r="B1358" s="28" t="s">
        <v>33</v>
      </c>
      <c r="C1358" s="28">
        <v>2014</v>
      </c>
      <c r="D1358" s="28" t="s">
        <v>4</v>
      </c>
      <c r="E1358" s="28" t="s">
        <v>13</v>
      </c>
      <c r="F1358" s="28">
        <v>488519</v>
      </c>
      <c r="H1358">
        <f>VLOOKUP(A1358&amp;B1358,ticker_sector[],2,FALSE)</f>
        <v>11</v>
      </c>
      <c r="I1358">
        <f>VLOOKUP(C1358,year[],2,FALSE)</f>
        <v>4</v>
      </c>
      <c r="J1358">
        <f>VLOOKUP(E1358,showing[],2,FALSE)</f>
        <v>10</v>
      </c>
      <c r="K1358">
        <f>Сектора[[#This Row],[Значение]]</f>
        <v>488519</v>
      </c>
      <c r="L1358" t="str">
        <f t="shared" si="21"/>
        <v>INSERT INTO msfo.statements (id_company, id_year, id_showing, value) VALUES (11,4,10,488519);</v>
      </c>
    </row>
    <row r="1359" spans="1:12">
      <c r="A1359" s="28" t="s">
        <v>45</v>
      </c>
      <c r="B1359" s="28" t="s">
        <v>33</v>
      </c>
      <c r="C1359" s="28">
        <v>2015</v>
      </c>
      <c r="D1359" s="28" t="s">
        <v>4</v>
      </c>
      <c r="E1359" s="28" t="s">
        <v>13</v>
      </c>
      <c r="F1359" s="28">
        <v>301831</v>
      </c>
      <c r="H1359">
        <f>VLOOKUP(A1359&amp;B1359,ticker_sector[],2,FALSE)</f>
        <v>11</v>
      </c>
      <c r="I1359">
        <f>VLOOKUP(C1359,year[],2,FALSE)</f>
        <v>5</v>
      </c>
      <c r="J1359">
        <f>VLOOKUP(E1359,showing[],2,FALSE)</f>
        <v>10</v>
      </c>
      <c r="K1359">
        <f>Сектора[[#This Row],[Значение]]</f>
        <v>301831</v>
      </c>
      <c r="L1359" t="str">
        <f t="shared" si="21"/>
        <v>INSERT INTO msfo.statements (id_company, id_year, id_showing, value) VALUES (11,5,10,301831);</v>
      </c>
    </row>
    <row r="1360" spans="1:12">
      <c r="A1360" s="28" t="s">
        <v>45</v>
      </c>
      <c r="B1360" s="28" t="s">
        <v>33</v>
      </c>
      <c r="C1360" s="28">
        <v>2016</v>
      </c>
      <c r="D1360" s="28" t="s">
        <v>4</v>
      </c>
      <c r="E1360" s="28" t="s">
        <v>13</v>
      </c>
      <c r="F1360" s="28">
        <v>206794</v>
      </c>
      <c r="H1360">
        <f>VLOOKUP(A1360&amp;B1360,ticker_sector[],2,FALSE)</f>
        <v>11</v>
      </c>
      <c r="I1360">
        <f>VLOOKUP(C1360,year[],2,FALSE)</f>
        <v>6</v>
      </c>
      <c r="J1360">
        <f>VLOOKUP(E1360,showing[],2,FALSE)</f>
        <v>10</v>
      </c>
      <c r="K1360">
        <f>Сектора[[#This Row],[Значение]]</f>
        <v>206794</v>
      </c>
      <c r="L1360" t="str">
        <f t="shared" si="21"/>
        <v>INSERT INTO msfo.statements (id_company, id_year, id_showing, value) VALUES (11,6,10,206794);</v>
      </c>
    </row>
    <row r="1361" spans="1:12">
      <c r="A1361" s="28" t="s">
        <v>45</v>
      </c>
      <c r="B1361" s="28" t="s">
        <v>33</v>
      </c>
      <c r="C1361" s="28">
        <v>2017</v>
      </c>
      <c r="D1361" s="28" t="s">
        <v>4</v>
      </c>
      <c r="E1361" s="28" t="s">
        <v>13</v>
      </c>
      <c r="F1361" s="28">
        <v>418805</v>
      </c>
      <c r="H1361">
        <f>VLOOKUP(A1361&amp;B1361,ticker_sector[],2,FALSE)</f>
        <v>11</v>
      </c>
      <c r="I1361">
        <f>VLOOKUP(C1361,year[],2,FALSE)</f>
        <v>7</v>
      </c>
      <c r="J1361">
        <f>VLOOKUP(E1361,showing[],2,FALSE)</f>
        <v>10</v>
      </c>
      <c r="K1361">
        <f>Сектора[[#This Row],[Значение]]</f>
        <v>418805</v>
      </c>
      <c r="L1361" t="str">
        <f t="shared" si="21"/>
        <v>INSERT INTO msfo.statements (id_company, id_year, id_showing, value) VALUES (11,7,10,418805);</v>
      </c>
    </row>
    <row r="1362" spans="1:12">
      <c r="A1362" s="28" t="s">
        <v>45</v>
      </c>
      <c r="B1362" s="28" t="s">
        <v>33</v>
      </c>
      <c r="C1362" s="28">
        <v>2010</v>
      </c>
      <c r="D1362" s="28" t="s">
        <v>4</v>
      </c>
      <c r="E1362" s="28" t="s">
        <v>14</v>
      </c>
      <c r="F1362" s="28">
        <v>104956</v>
      </c>
      <c r="H1362">
        <f>VLOOKUP(A1362&amp;B1362,ticker_sector[],2,FALSE)</f>
        <v>11</v>
      </c>
      <c r="I1362">
        <f>VLOOKUP(C1362,year[],2,FALSE)</f>
        <v>0</v>
      </c>
      <c r="J1362">
        <f>VLOOKUP(E1362,showing[],2,FALSE)</f>
        <v>11</v>
      </c>
      <c r="K1362">
        <f>Сектора[[#This Row],[Значение]]</f>
        <v>104956</v>
      </c>
      <c r="L1362" t="str">
        <f t="shared" si="21"/>
        <v>INSERT INTO msfo.statements (id_company, id_year, id_showing, value) VALUES (11,0,11,104956);</v>
      </c>
    </row>
    <row r="1363" spans="1:12">
      <c r="A1363" s="28" t="s">
        <v>45</v>
      </c>
      <c r="B1363" s="28" t="s">
        <v>33</v>
      </c>
      <c r="C1363" s="28">
        <v>2011</v>
      </c>
      <c r="D1363" s="28" t="s">
        <v>4</v>
      </c>
      <c r="E1363" s="28" t="s">
        <v>14</v>
      </c>
      <c r="F1363" s="28">
        <v>133650</v>
      </c>
      <c r="H1363">
        <f>VLOOKUP(A1363&amp;B1363,ticker_sector[],2,FALSE)</f>
        <v>11</v>
      </c>
      <c r="I1363">
        <f>VLOOKUP(C1363,year[],2,FALSE)</f>
        <v>1</v>
      </c>
      <c r="J1363">
        <f>VLOOKUP(E1363,showing[],2,FALSE)</f>
        <v>11</v>
      </c>
      <c r="K1363">
        <f>Сектора[[#This Row],[Значение]]</f>
        <v>133650</v>
      </c>
      <c r="L1363" t="str">
        <f t="shared" si="21"/>
        <v>INSERT INTO msfo.statements (id_company, id_year, id_showing, value) VALUES (11,1,11,133650);</v>
      </c>
    </row>
    <row r="1364" spans="1:12">
      <c r="A1364" s="28" t="s">
        <v>45</v>
      </c>
      <c r="B1364" s="28" t="s">
        <v>33</v>
      </c>
      <c r="C1364" s="28">
        <v>2012</v>
      </c>
      <c r="D1364" s="28" t="s">
        <v>4</v>
      </c>
      <c r="E1364" s="28" t="s">
        <v>14</v>
      </c>
      <c r="F1364" s="28">
        <v>139171</v>
      </c>
      <c r="H1364">
        <f>VLOOKUP(A1364&amp;B1364,ticker_sector[],2,FALSE)</f>
        <v>11</v>
      </c>
      <c r="I1364">
        <f>VLOOKUP(C1364,year[],2,FALSE)</f>
        <v>2</v>
      </c>
      <c r="J1364">
        <f>VLOOKUP(E1364,showing[],2,FALSE)</f>
        <v>11</v>
      </c>
      <c r="K1364">
        <f>Сектора[[#This Row],[Значение]]</f>
        <v>139171</v>
      </c>
      <c r="L1364" t="str">
        <f t="shared" si="21"/>
        <v>INSERT INTO msfo.statements (id_company, id_year, id_showing, value) VALUES (11,2,11,139171);</v>
      </c>
    </row>
    <row r="1365" spans="1:12">
      <c r="A1365" s="28" t="s">
        <v>45</v>
      </c>
      <c r="B1365" s="28" t="s">
        <v>33</v>
      </c>
      <c r="C1365" s="28">
        <v>2013</v>
      </c>
      <c r="D1365" s="28" t="s">
        <v>4</v>
      </c>
      <c r="E1365" s="28" t="s">
        <v>14</v>
      </c>
      <c r="F1365" s="28">
        <v>151452</v>
      </c>
      <c r="H1365">
        <f>VLOOKUP(A1365&amp;B1365,ticker_sector[],2,FALSE)</f>
        <v>11</v>
      </c>
      <c r="I1365">
        <f>VLOOKUP(C1365,year[],2,FALSE)</f>
        <v>3</v>
      </c>
      <c r="J1365">
        <f>VLOOKUP(E1365,showing[],2,FALSE)</f>
        <v>11</v>
      </c>
      <c r="K1365">
        <f>Сектора[[#This Row],[Значение]]</f>
        <v>151452</v>
      </c>
      <c r="L1365" t="str">
        <f t="shared" si="21"/>
        <v>INSERT INTO msfo.statements (id_company, id_year, id_showing, value) VALUES (11,3,11,151452);</v>
      </c>
    </row>
    <row r="1366" spans="1:12">
      <c r="A1366" s="28" t="s">
        <v>45</v>
      </c>
      <c r="B1366" s="28" t="s">
        <v>33</v>
      </c>
      <c r="C1366" s="28">
        <v>2014</v>
      </c>
      <c r="D1366" s="28" t="s">
        <v>4</v>
      </c>
      <c r="E1366" s="28" t="s">
        <v>14</v>
      </c>
      <c r="F1366" s="28">
        <v>97849.494475491651</v>
      </c>
      <c r="H1366">
        <f>VLOOKUP(A1366&amp;B1366,ticker_sector[],2,FALSE)</f>
        <v>11</v>
      </c>
      <c r="I1366">
        <f>VLOOKUP(C1366,year[],2,FALSE)</f>
        <v>4</v>
      </c>
      <c r="J1366">
        <f>VLOOKUP(E1366,showing[],2,FALSE)</f>
        <v>11</v>
      </c>
      <c r="K1366">
        <f>Сектора[[#This Row],[Значение]]</f>
        <v>97849.494475491651</v>
      </c>
      <c r="L1366" t="str">
        <f t="shared" si="21"/>
        <v>INSERT INTO msfo.statements (id_company, id_year, id_showing, value) VALUES (11,4,11,97849,4944754917);</v>
      </c>
    </row>
    <row r="1367" spans="1:12">
      <c r="A1367" s="28" t="s">
        <v>45</v>
      </c>
      <c r="B1367" s="28" t="s">
        <v>33</v>
      </c>
      <c r="C1367" s="28">
        <v>2015</v>
      </c>
      <c r="D1367" s="28" t="s">
        <v>4</v>
      </c>
      <c r="E1367" s="28" t="s">
        <v>14</v>
      </c>
      <c r="F1367" s="28">
        <v>78880.859243688828</v>
      </c>
      <c r="H1367">
        <f>VLOOKUP(A1367&amp;B1367,ticker_sector[],2,FALSE)</f>
        <v>11</v>
      </c>
      <c r="I1367">
        <f>VLOOKUP(C1367,year[],2,FALSE)</f>
        <v>5</v>
      </c>
      <c r="J1367">
        <f>VLOOKUP(E1367,showing[],2,FALSE)</f>
        <v>11</v>
      </c>
      <c r="K1367">
        <f>Сектора[[#This Row],[Значение]]</f>
        <v>78880.859243688828</v>
      </c>
      <c r="L1367" t="str">
        <f t="shared" si="21"/>
        <v>INSERT INTO msfo.statements (id_company, id_year, id_showing, value) VALUES (11,5,11,78880,8592436888);</v>
      </c>
    </row>
    <row r="1368" spans="1:12">
      <c r="A1368" s="28" t="s">
        <v>45</v>
      </c>
      <c r="B1368" s="28" t="s">
        <v>33</v>
      </c>
      <c r="C1368" s="28">
        <v>2016</v>
      </c>
      <c r="D1368" s="28" t="s">
        <v>4</v>
      </c>
      <c r="E1368" s="28" t="s">
        <v>14</v>
      </c>
      <c r="F1368" s="28">
        <v>86173.955477447744</v>
      </c>
      <c r="H1368">
        <f>VLOOKUP(A1368&amp;B1368,ticker_sector[],2,FALSE)</f>
        <v>11</v>
      </c>
      <c r="I1368">
        <f>VLOOKUP(C1368,year[],2,FALSE)</f>
        <v>6</v>
      </c>
      <c r="J1368">
        <f>VLOOKUP(E1368,showing[],2,FALSE)</f>
        <v>11</v>
      </c>
      <c r="K1368">
        <f>Сектора[[#This Row],[Значение]]</f>
        <v>86173.955477447744</v>
      </c>
      <c r="L1368" t="str">
        <f t="shared" si="21"/>
        <v>INSERT INTO msfo.statements (id_company, id_year, id_showing, value) VALUES (11,6,11,86173,9554774477);</v>
      </c>
    </row>
    <row r="1369" spans="1:12">
      <c r="A1369" s="28" t="s">
        <v>45</v>
      </c>
      <c r="B1369" s="28" t="s">
        <v>33</v>
      </c>
      <c r="C1369" s="28">
        <v>2017</v>
      </c>
      <c r="D1369" s="28" t="s">
        <v>4</v>
      </c>
      <c r="E1369" s="28" t="s">
        <v>14</v>
      </c>
      <c r="F1369" s="28">
        <v>103067.43726584282</v>
      </c>
      <c r="H1369">
        <f>VLOOKUP(A1369&amp;B1369,ticker_sector[],2,FALSE)</f>
        <v>11</v>
      </c>
      <c r="I1369">
        <f>VLOOKUP(C1369,year[],2,FALSE)</f>
        <v>7</v>
      </c>
      <c r="J1369">
        <f>VLOOKUP(E1369,showing[],2,FALSE)</f>
        <v>11</v>
      </c>
      <c r="K1369">
        <f>Сектора[[#This Row],[Значение]]</f>
        <v>103067.43726584282</v>
      </c>
      <c r="L1369" t="str">
        <f t="shared" si="21"/>
        <v>INSERT INTO msfo.statements (id_company, id_year, id_showing, value) VALUES (11,7,11,103067,437265843);</v>
      </c>
    </row>
    <row r="1370" spans="1:12">
      <c r="A1370" s="28" t="s">
        <v>45</v>
      </c>
      <c r="B1370" s="28" t="s">
        <v>33</v>
      </c>
      <c r="C1370" s="28">
        <v>2010</v>
      </c>
      <c r="D1370" s="28" t="s">
        <v>4</v>
      </c>
      <c r="E1370" s="28" t="s">
        <v>15</v>
      </c>
      <c r="F1370" s="28">
        <v>9006</v>
      </c>
      <c r="H1370">
        <f>VLOOKUP(A1370&amp;B1370,ticker_sector[],2,FALSE)</f>
        <v>11</v>
      </c>
      <c r="I1370">
        <f>VLOOKUP(C1370,year[],2,FALSE)</f>
        <v>0</v>
      </c>
      <c r="J1370">
        <f>VLOOKUP(E1370,showing[],2,FALSE)</f>
        <v>12</v>
      </c>
      <c r="K1370">
        <f>Сектора[[#This Row],[Значение]]</f>
        <v>9006</v>
      </c>
      <c r="L1370" t="str">
        <f t="shared" si="21"/>
        <v>INSERT INTO msfo.statements (id_company, id_year, id_showing, value) VALUES (11,0,12,9006);</v>
      </c>
    </row>
    <row r="1371" spans="1:12">
      <c r="A1371" s="28" t="s">
        <v>45</v>
      </c>
      <c r="B1371" s="28" t="s">
        <v>33</v>
      </c>
      <c r="C1371" s="28">
        <v>2011</v>
      </c>
      <c r="D1371" s="28" t="s">
        <v>4</v>
      </c>
      <c r="E1371" s="28" t="s">
        <v>15</v>
      </c>
      <c r="F1371" s="28">
        <v>10357</v>
      </c>
      <c r="H1371">
        <f>VLOOKUP(A1371&amp;B1371,ticker_sector[],2,FALSE)</f>
        <v>11</v>
      </c>
      <c r="I1371">
        <f>VLOOKUP(C1371,year[],2,FALSE)</f>
        <v>1</v>
      </c>
      <c r="J1371">
        <f>VLOOKUP(E1371,showing[],2,FALSE)</f>
        <v>12</v>
      </c>
      <c r="K1371">
        <f>Сектора[[#This Row],[Значение]]</f>
        <v>10357</v>
      </c>
      <c r="L1371" t="str">
        <f t="shared" si="21"/>
        <v>INSERT INTO msfo.statements (id_company, id_year, id_showing, value) VALUES (11,1,12,10357);</v>
      </c>
    </row>
    <row r="1372" spans="1:12">
      <c r="A1372" s="28" t="s">
        <v>45</v>
      </c>
      <c r="B1372" s="28" t="s">
        <v>33</v>
      </c>
      <c r="C1372" s="28">
        <v>2012</v>
      </c>
      <c r="D1372" s="28" t="s">
        <v>4</v>
      </c>
      <c r="E1372" s="28" t="s">
        <v>15</v>
      </c>
      <c r="F1372" s="28">
        <v>11004</v>
      </c>
      <c r="H1372">
        <f>VLOOKUP(A1372&amp;B1372,ticker_sector[],2,FALSE)</f>
        <v>11</v>
      </c>
      <c r="I1372">
        <f>VLOOKUP(C1372,year[],2,FALSE)</f>
        <v>2</v>
      </c>
      <c r="J1372">
        <f>VLOOKUP(E1372,showing[],2,FALSE)</f>
        <v>12</v>
      </c>
      <c r="K1372">
        <f>Сектора[[#This Row],[Значение]]</f>
        <v>11004</v>
      </c>
      <c r="L1372" t="str">
        <f t="shared" si="21"/>
        <v>INSERT INTO msfo.statements (id_company, id_year, id_showing, value) VALUES (11,2,12,11004);</v>
      </c>
    </row>
    <row r="1373" spans="1:12">
      <c r="A1373" s="28" t="s">
        <v>45</v>
      </c>
      <c r="B1373" s="28" t="s">
        <v>33</v>
      </c>
      <c r="C1373" s="28">
        <v>2013</v>
      </c>
      <c r="D1373" s="28" t="s">
        <v>4</v>
      </c>
      <c r="E1373" s="28" t="s">
        <v>15</v>
      </c>
      <c r="F1373" s="28">
        <v>7832</v>
      </c>
      <c r="H1373">
        <f>VLOOKUP(A1373&amp;B1373,ticker_sector[],2,FALSE)</f>
        <v>11</v>
      </c>
      <c r="I1373">
        <f>VLOOKUP(C1373,year[],2,FALSE)</f>
        <v>3</v>
      </c>
      <c r="J1373">
        <f>VLOOKUP(E1373,showing[],2,FALSE)</f>
        <v>12</v>
      </c>
      <c r="K1373">
        <f>Сектора[[#This Row],[Значение]]</f>
        <v>7832</v>
      </c>
      <c r="L1373" t="str">
        <f t="shared" si="21"/>
        <v>INSERT INTO msfo.statements (id_company, id_year, id_showing, value) VALUES (11,3,12,7832);</v>
      </c>
    </row>
    <row r="1374" spans="1:12">
      <c r="A1374" s="28" t="s">
        <v>45</v>
      </c>
      <c r="B1374" s="28" t="s">
        <v>33</v>
      </c>
      <c r="C1374" s="28">
        <v>2014</v>
      </c>
      <c r="D1374" s="28" t="s">
        <v>4</v>
      </c>
      <c r="E1374" s="28" t="s">
        <v>15</v>
      </c>
      <c r="F1374" s="28">
        <v>8683.4854883892895</v>
      </c>
      <c r="H1374">
        <f>VLOOKUP(A1374&amp;B1374,ticker_sector[],2,FALSE)</f>
        <v>11</v>
      </c>
      <c r="I1374">
        <f>VLOOKUP(C1374,year[],2,FALSE)</f>
        <v>4</v>
      </c>
      <c r="J1374">
        <f>VLOOKUP(E1374,showing[],2,FALSE)</f>
        <v>12</v>
      </c>
      <c r="K1374">
        <f>Сектора[[#This Row],[Значение]]</f>
        <v>8683.4854883892895</v>
      </c>
      <c r="L1374" t="str">
        <f t="shared" si="21"/>
        <v>INSERT INTO msfo.statements (id_company, id_year, id_showing, value) VALUES (11,4,12,8683,48548838929);</v>
      </c>
    </row>
    <row r="1375" spans="1:12">
      <c r="A1375" s="28" t="s">
        <v>45</v>
      </c>
      <c r="B1375" s="28" t="s">
        <v>33</v>
      </c>
      <c r="C1375" s="28">
        <v>2015</v>
      </c>
      <c r="D1375" s="28" t="s">
        <v>4</v>
      </c>
      <c r="E1375" s="28" t="s">
        <v>15</v>
      </c>
      <c r="F1375" s="28">
        <v>4141.3257192722003</v>
      </c>
      <c r="H1375">
        <f>VLOOKUP(A1375&amp;B1375,ticker_sector[],2,FALSE)</f>
        <v>11</v>
      </c>
      <c r="I1375">
        <f>VLOOKUP(C1375,year[],2,FALSE)</f>
        <v>5</v>
      </c>
      <c r="J1375">
        <f>VLOOKUP(E1375,showing[],2,FALSE)</f>
        <v>12</v>
      </c>
      <c r="K1375">
        <f>Сектора[[#This Row],[Значение]]</f>
        <v>4141.3257192722003</v>
      </c>
      <c r="L1375" t="str">
        <f t="shared" si="21"/>
        <v>INSERT INTO msfo.statements (id_company, id_year, id_showing, value) VALUES (11,5,12,4141,3257192722);</v>
      </c>
    </row>
    <row r="1376" spans="1:12">
      <c r="A1376" s="28" t="s">
        <v>45</v>
      </c>
      <c r="B1376" s="28" t="s">
        <v>33</v>
      </c>
      <c r="C1376" s="28">
        <v>2016</v>
      </c>
      <c r="D1376" s="28" t="s">
        <v>4</v>
      </c>
      <c r="E1376" s="28" t="s">
        <v>15</v>
      </c>
      <c r="F1376" s="28">
        <v>3409.2411580545659</v>
      </c>
      <c r="H1376">
        <f>VLOOKUP(A1376&amp;B1376,ticker_sector[],2,FALSE)</f>
        <v>11</v>
      </c>
      <c r="I1376">
        <f>VLOOKUP(C1376,year[],2,FALSE)</f>
        <v>6</v>
      </c>
      <c r="J1376">
        <f>VLOOKUP(E1376,showing[],2,FALSE)</f>
        <v>12</v>
      </c>
      <c r="K1376">
        <f>Сектора[[#This Row],[Значение]]</f>
        <v>3409.2411580545659</v>
      </c>
      <c r="L1376" t="str">
        <f t="shared" si="21"/>
        <v>INSERT INTO msfo.statements (id_company, id_year, id_showing, value) VALUES (11,6,12,3409,24115805457);</v>
      </c>
    </row>
    <row r="1377" spans="1:12">
      <c r="A1377" s="28" t="s">
        <v>45</v>
      </c>
      <c r="B1377" s="28" t="s">
        <v>33</v>
      </c>
      <c r="C1377" s="28">
        <v>2017</v>
      </c>
      <c r="D1377" s="28" t="s">
        <v>4</v>
      </c>
      <c r="E1377" s="28" t="s">
        <v>15</v>
      </c>
      <c r="F1377" s="28">
        <v>7270.8948927260672</v>
      </c>
      <c r="H1377">
        <f>VLOOKUP(A1377&amp;B1377,ticker_sector[],2,FALSE)</f>
        <v>11</v>
      </c>
      <c r="I1377">
        <f>VLOOKUP(C1377,year[],2,FALSE)</f>
        <v>7</v>
      </c>
      <c r="J1377">
        <f>VLOOKUP(E1377,showing[],2,FALSE)</f>
        <v>12</v>
      </c>
      <c r="K1377">
        <f>Сектора[[#This Row],[Значение]]</f>
        <v>7270.8948927260672</v>
      </c>
      <c r="L1377" t="str">
        <f t="shared" si="21"/>
        <v>INSERT INTO msfo.statements (id_company, id_year, id_showing, value) VALUES (11,7,12,7270,89489272607);</v>
      </c>
    </row>
    <row r="1378" spans="1:12">
      <c r="A1378" s="28" t="s">
        <v>45</v>
      </c>
      <c r="B1378" s="28" t="s">
        <v>33</v>
      </c>
      <c r="C1378" s="28">
        <v>2010</v>
      </c>
      <c r="D1378" s="28" t="s">
        <v>7</v>
      </c>
      <c r="E1378" s="28" t="s">
        <v>16</v>
      </c>
      <c r="F1378" s="28">
        <v>351185.3187</v>
      </c>
      <c r="H1378">
        <f>VLOOKUP(A1378&amp;B1378,ticker_sector[],2,FALSE)</f>
        <v>11</v>
      </c>
      <c r="I1378">
        <f>VLOOKUP(C1378,year[],2,FALSE)</f>
        <v>0</v>
      </c>
      <c r="J1378">
        <f>VLOOKUP(E1378,showing[],2,FALSE)</f>
        <v>13</v>
      </c>
      <c r="K1378">
        <f>Сектора[[#This Row],[Значение]]</f>
        <v>351185.3187</v>
      </c>
      <c r="L1378" t="str">
        <f t="shared" si="21"/>
        <v>INSERT INTO msfo.statements (id_company, id_year, id_showing, value) VALUES (11,0,13,351185,3187);</v>
      </c>
    </row>
    <row r="1379" spans="1:12">
      <c r="A1379" s="28" t="s">
        <v>45</v>
      </c>
      <c r="B1379" s="28" t="s">
        <v>33</v>
      </c>
      <c r="C1379" s="28">
        <v>2011</v>
      </c>
      <c r="D1379" s="28" t="s">
        <v>7</v>
      </c>
      <c r="E1379" s="28" t="s">
        <v>16</v>
      </c>
      <c r="F1379" s="28">
        <v>445980.37720000005</v>
      </c>
      <c r="H1379">
        <f>VLOOKUP(A1379&amp;B1379,ticker_sector[],2,FALSE)</f>
        <v>11</v>
      </c>
      <c r="I1379">
        <f>VLOOKUP(C1379,year[],2,FALSE)</f>
        <v>1</v>
      </c>
      <c r="J1379">
        <f>VLOOKUP(E1379,showing[],2,FALSE)</f>
        <v>13</v>
      </c>
      <c r="K1379">
        <f>Сектора[[#This Row],[Значение]]</f>
        <v>445980.37720000005</v>
      </c>
      <c r="L1379" t="str">
        <f t="shared" si="21"/>
        <v>INSERT INTO msfo.statements (id_company, id_year, id_showing, value) VALUES (11,1,13,445980,3772);</v>
      </c>
    </row>
    <row r="1380" spans="1:12">
      <c r="A1380" s="28" t="s">
        <v>45</v>
      </c>
      <c r="B1380" s="28" t="s">
        <v>33</v>
      </c>
      <c r="C1380" s="28">
        <v>2012</v>
      </c>
      <c r="D1380" s="28" t="s">
        <v>7</v>
      </c>
      <c r="E1380" s="28" t="s">
        <v>16</v>
      </c>
      <c r="F1380" s="28">
        <v>417169.03449999995</v>
      </c>
      <c r="H1380">
        <f>VLOOKUP(A1380&amp;B1380,ticker_sector[],2,FALSE)</f>
        <v>11</v>
      </c>
      <c r="I1380">
        <f>VLOOKUP(C1380,year[],2,FALSE)</f>
        <v>2</v>
      </c>
      <c r="J1380">
        <f>VLOOKUP(E1380,showing[],2,FALSE)</f>
        <v>13</v>
      </c>
      <c r="K1380">
        <f>Сектора[[#This Row],[Значение]]</f>
        <v>417169.03449999995</v>
      </c>
      <c r="L1380" t="str">
        <f t="shared" si="21"/>
        <v>INSERT INTO msfo.statements (id_company, id_year, id_showing, value) VALUES (11,2,13,417169,0345);</v>
      </c>
    </row>
    <row r="1381" spans="1:12">
      <c r="A1381" s="28" t="s">
        <v>45</v>
      </c>
      <c r="B1381" s="28" t="s">
        <v>33</v>
      </c>
      <c r="C1381" s="28">
        <v>2013</v>
      </c>
      <c r="D1381" s="28" t="s">
        <v>7</v>
      </c>
      <c r="E1381" s="28" t="s">
        <v>16</v>
      </c>
      <c r="F1381" s="28">
        <v>479646.42600000004</v>
      </c>
      <c r="H1381">
        <f>VLOOKUP(A1381&amp;B1381,ticker_sector[],2,FALSE)</f>
        <v>11</v>
      </c>
      <c r="I1381">
        <f>VLOOKUP(C1381,year[],2,FALSE)</f>
        <v>3</v>
      </c>
      <c r="J1381">
        <f>VLOOKUP(E1381,showing[],2,FALSE)</f>
        <v>13</v>
      </c>
      <c r="K1381">
        <f>Сектора[[#This Row],[Значение]]</f>
        <v>479646.42600000004</v>
      </c>
      <c r="L1381" t="str">
        <f t="shared" si="21"/>
        <v>INSERT INTO msfo.statements (id_company, id_year, id_showing, value) VALUES (11,3,13,479646,426);</v>
      </c>
    </row>
    <row r="1382" spans="1:12">
      <c r="A1382" s="28" t="s">
        <v>45</v>
      </c>
      <c r="B1382" s="28" t="s">
        <v>33</v>
      </c>
      <c r="C1382" s="28">
        <v>2014</v>
      </c>
      <c r="D1382" s="28" t="s">
        <v>7</v>
      </c>
      <c r="E1382" s="28" t="s">
        <v>16</v>
      </c>
      <c r="F1382" s="28">
        <v>664977</v>
      </c>
      <c r="H1382">
        <f>VLOOKUP(A1382&amp;B1382,ticker_sector[],2,FALSE)</f>
        <v>11</v>
      </c>
      <c r="I1382">
        <f>VLOOKUP(C1382,year[],2,FALSE)</f>
        <v>4</v>
      </c>
      <c r="J1382">
        <f>VLOOKUP(E1382,showing[],2,FALSE)</f>
        <v>13</v>
      </c>
      <c r="K1382">
        <f>Сектора[[#This Row],[Значение]]</f>
        <v>664977</v>
      </c>
      <c r="L1382" t="str">
        <f t="shared" si="21"/>
        <v>INSERT INTO msfo.statements (id_company, id_year, id_showing, value) VALUES (11,4,13,664977);</v>
      </c>
    </row>
    <row r="1383" spans="1:12">
      <c r="A1383" s="28" t="s">
        <v>45</v>
      </c>
      <c r="B1383" s="28" t="s">
        <v>33</v>
      </c>
      <c r="C1383" s="28">
        <v>2015</v>
      </c>
      <c r="D1383" s="28" t="s">
        <v>7</v>
      </c>
      <c r="E1383" s="28" t="s">
        <v>16</v>
      </c>
      <c r="F1383" s="28">
        <v>738804</v>
      </c>
      <c r="H1383">
        <f>VLOOKUP(A1383&amp;B1383,ticker_sector[],2,FALSE)</f>
        <v>11</v>
      </c>
      <c r="I1383">
        <f>VLOOKUP(C1383,year[],2,FALSE)</f>
        <v>5</v>
      </c>
      <c r="J1383">
        <f>VLOOKUP(E1383,showing[],2,FALSE)</f>
        <v>13</v>
      </c>
      <c r="K1383">
        <f>Сектора[[#This Row],[Значение]]</f>
        <v>738804</v>
      </c>
      <c r="L1383" t="str">
        <f t="shared" si="21"/>
        <v>INSERT INTO msfo.statements (id_company, id_year, id_showing, value) VALUES (11,5,13,738804);</v>
      </c>
    </row>
    <row r="1384" spans="1:12">
      <c r="A1384" s="28" t="s">
        <v>45</v>
      </c>
      <c r="B1384" s="28" t="s">
        <v>33</v>
      </c>
      <c r="C1384" s="28">
        <v>2016</v>
      </c>
      <c r="D1384" s="28" t="s">
        <v>7</v>
      </c>
      <c r="E1384" s="28" t="s">
        <v>16</v>
      </c>
      <c r="F1384" s="28">
        <v>652291</v>
      </c>
      <c r="H1384">
        <f>VLOOKUP(A1384&amp;B1384,ticker_sector[],2,FALSE)</f>
        <v>11</v>
      </c>
      <c r="I1384">
        <f>VLOOKUP(C1384,year[],2,FALSE)</f>
        <v>6</v>
      </c>
      <c r="J1384">
        <f>VLOOKUP(E1384,showing[],2,FALSE)</f>
        <v>13</v>
      </c>
      <c r="K1384">
        <f>Сектора[[#This Row],[Значение]]</f>
        <v>652291</v>
      </c>
      <c r="L1384" t="str">
        <f t="shared" si="21"/>
        <v>INSERT INTO msfo.statements (id_company, id_year, id_showing, value) VALUES (11,6,13,652291);</v>
      </c>
    </row>
    <row r="1385" spans="1:12">
      <c r="A1385" s="28" t="s">
        <v>45</v>
      </c>
      <c r="B1385" s="28" t="s">
        <v>33</v>
      </c>
      <c r="C1385" s="28">
        <v>2017</v>
      </c>
      <c r="D1385" s="28" t="s">
        <v>7</v>
      </c>
      <c r="E1385" s="28" t="s">
        <v>16</v>
      </c>
      <c r="F1385" s="28">
        <v>745601</v>
      </c>
      <c r="H1385">
        <f>VLOOKUP(A1385&amp;B1385,ticker_sector[],2,FALSE)</f>
        <v>11</v>
      </c>
      <c r="I1385">
        <f>VLOOKUP(C1385,year[],2,FALSE)</f>
        <v>7</v>
      </c>
      <c r="J1385">
        <f>VLOOKUP(E1385,showing[],2,FALSE)</f>
        <v>13</v>
      </c>
      <c r="K1385">
        <f>Сектора[[#This Row],[Значение]]</f>
        <v>745601</v>
      </c>
      <c r="L1385" t="str">
        <f t="shared" si="21"/>
        <v>INSERT INTO msfo.statements (id_company, id_year, id_showing, value) VALUES (11,7,13,745601);</v>
      </c>
    </row>
    <row r="1386" spans="1:12">
      <c r="A1386" s="28" t="s">
        <v>45</v>
      </c>
      <c r="B1386" s="28" t="s">
        <v>33</v>
      </c>
      <c r="C1386" s="28">
        <v>2010</v>
      </c>
      <c r="D1386" s="28" t="s">
        <v>7</v>
      </c>
      <c r="E1386" s="28" t="s">
        <v>17</v>
      </c>
      <c r="F1386" s="28">
        <v>11523</v>
      </c>
      <c r="H1386">
        <f>VLOOKUP(A1386&amp;B1386,ticker_sector[],2,FALSE)</f>
        <v>11</v>
      </c>
      <c r="I1386">
        <f>VLOOKUP(C1386,year[],2,FALSE)</f>
        <v>0</v>
      </c>
      <c r="J1386">
        <f>VLOOKUP(E1386,showing[],2,FALSE)</f>
        <v>14</v>
      </c>
      <c r="K1386">
        <f>Сектора[[#This Row],[Значение]]</f>
        <v>11523</v>
      </c>
      <c r="L1386" t="str">
        <f t="shared" si="21"/>
        <v>INSERT INTO msfo.statements (id_company, id_year, id_showing, value) VALUES (11,0,14,11523);</v>
      </c>
    </row>
    <row r="1387" spans="1:12">
      <c r="A1387" s="28" t="s">
        <v>45</v>
      </c>
      <c r="B1387" s="28" t="s">
        <v>33</v>
      </c>
      <c r="C1387" s="28">
        <v>2011</v>
      </c>
      <c r="D1387" s="28" t="s">
        <v>7</v>
      </c>
      <c r="E1387" s="28" t="s">
        <v>17</v>
      </c>
      <c r="F1387" s="28">
        <v>13852</v>
      </c>
      <c r="H1387">
        <f>VLOOKUP(A1387&amp;B1387,ticker_sector[],2,FALSE)</f>
        <v>11</v>
      </c>
      <c r="I1387">
        <f>VLOOKUP(C1387,year[],2,FALSE)</f>
        <v>1</v>
      </c>
      <c r="J1387">
        <f>VLOOKUP(E1387,showing[],2,FALSE)</f>
        <v>14</v>
      </c>
      <c r="K1387">
        <f>Сектора[[#This Row],[Значение]]</f>
        <v>13852</v>
      </c>
      <c r="L1387" t="str">
        <f t="shared" si="21"/>
        <v>INSERT INTO msfo.statements (id_company, id_year, id_showing, value) VALUES (11,1,14,13852);</v>
      </c>
    </row>
    <row r="1388" spans="1:12">
      <c r="A1388" s="28" t="s">
        <v>45</v>
      </c>
      <c r="B1388" s="28" t="s">
        <v>33</v>
      </c>
      <c r="C1388" s="28">
        <v>2012</v>
      </c>
      <c r="D1388" s="28" t="s">
        <v>7</v>
      </c>
      <c r="E1388" s="28" t="s">
        <v>17</v>
      </c>
      <c r="F1388" s="28">
        <v>13735</v>
      </c>
      <c r="H1388">
        <f>VLOOKUP(A1388&amp;B1388,ticker_sector[],2,FALSE)</f>
        <v>11</v>
      </c>
      <c r="I1388">
        <f>VLOOKUP(C1388,year[],2,FALSE)</f>
        <v>2</v>
      </c>
      <c r="J1388">
        <f>VLOOKUP(E1388,showing[],2,FALSE)</f>
        <v>14</v>
      </c>
      <c r="K1388">
        <f>Сектора[[#This Row],[Значение]]</f>
        <v>13735</v>
      </c>
      <c r="L1388" t="str">
        <f t="shared" si="21"/>
        <v>INSERT INTO msfo.statements (id_company, id_year, id_showing, value) VALUES (11,2,14,13735);</v>
      </c>
    </row>
    <row r="1389" spans="1:12">
      <c r="A1389" s="28" t="s">
        <v>45</v>
      </c>
      <c r="B1389" s="28" t="s">
        <v>33</v>
      </c>
      <c r="C1389" s="28">
        <v>2013</v>
      </c>
      <c r="D1389" s="28" t="s">
        <v>7</v>
      </c>
      <c r="E1389" s="28" t="s">
        <v>17</v>
      </c>
      <c r="F1389" s="28">
        <v>14655.000000000002</v>
      </c>
      <c r="H1389">
        <f>VLOOKUP(A1389&amp;B1389,ticker_sector[],2,FALSE)</f>
        <v>11</v>
      </c>
      <c r="I1389">
        <f>VLOOKUP(C1389,year[],2,FALSE)</f>
        <v>3</v>
      </c>
      <c r="J1389">
        <f>VLOOKUP(E1389,showing[],2,FALSE)</f>
        <v>14</v>
      </c>
      <c r="K1389">
        <f>Сектора[[#This Row],[Значение]]</f>
        <v>14655.000000000002</v>
      </c>
      <c r="L1389" t="str">
        <f t="shared" si="21"/>
        <v>INSERT INTO msfo.statements (id_company, id_year, id_showing, value) VALUES (11,3,14,14655);</v>
      </c>
    </row>
    <row r="1390" spans="1:12">
      <c r="A1390" s="28" t="s">
        <v>45</v>
      </c>
      <c r="B1390" s="28" t="s">
        <v>33</v>
      </c>
      <c r="C1390" s="28">
        <v>2014</v>
      </c>
      <c r="D1390" s="28" t="s">
        <v>7</v>
      </c>
      <c r="E1390" s="28" t="s">
        <v>17</v>
      </c>
      <c r="F1390" s="28">
        <v>11820.04820613455</v>
      </c>
      <c r="H1390">
        <f>VLOOKUP(A1390&amp;B1390,ticker_sector[],2,FALSE)</f>
        <v>11</v>
      </c>
      <c r="I1390">
        <f>VLOOKUP(C1390,year[],2,FALSE)</f>
        <v>4</v>
      </c>
      <c r="J1390">
        <f>VLOOKUP(E1390,showing[],2,FALSE)</f>
        <v>14</v>
      </c>
      <c r="K1390">
        <f>Сектора[[#This Row],[Значение]]</f>
        <v>11820.04820613455</v>
      </c>
      <c r="L1390" t="str">
        <f t="shared" si="21"/>
        <v>INSERT INTO msfo.statements (id_company, id_year, id_showing, value) VALUES (11,4,14,11820,0482061346);</v>
      </c>
    </row>
    <row r="1391" spans="1:12">
      <c r="A1391" s="28" t="s">
        <v>45</v>
      </c>
      <c r="B1391" s="28" t="s">
        <v>33</v>
      </c>
      <c r="C1391" s="28">
        <v>2015</v>
      </c>
      <c r="D1391" s="28" t="s">
        <v>7</v>
      </c>
      <c r="E1391" s="28" t="s">
        <v>17</v>
      </c>
      <c r="F1391" s="28">
        <v>10136.89119640189</v>
      </c>
      <c r="H1391">
        <f>VLOOKUP(A1391&amp;B1391,ticker_sector[],2,FALSE)</f>
        <v>11</v>
      </c>
      <c r="I1391">
        <f>VLOOKUP(C1391,year[],2,FALSE)</f>
        <v>5</v>
      </c>
      <c r="J1391">
        <f>VLOOKUP(E1391,showing[],2,FALSE)</f>
        <v>14</v>
      </c>
      <c r="K1391">
        <f>Сектора[[#This Row],[Значение]]</f>
        <v>10136.89119640189</v>
      </c>
      <c r="L1391" t="str">
        <f t="shared" si="21"/>
        <v>INSERT INTO msfo.statements (id_company, id_year, id_showing, value) VALUES (11,5,14,10136,8911964019);</v>
      </c>
    </row>
    <row r="1392" spans="1:12">
      <c r="A1392" s="28" t="s">
        <v>45</v>
      </c>
      <c r="B1392" s="28" t="s">
        <v>33</v>
      </c>
      <c r="C1392" s="28">
        <v>2016</v>
      </c>
      <c r="D1392" s="28" t="s">
        <v>7</v>
      </c>
      <c r="E1392" s="28" t="s">
        <v>17</v>
      </c>
      <c r="F1392" s="28">
        <v>10753.780691067299</v>
      </c>
      <c r="H1392">
        <f>VLOOKUP(A1392&amp;B1392,ticker_sector[],2,FALSE)</f>
        <v>11</v>
      </c>
      <c r="I1392">
        <f>VLOOKUP(C1392,year[],2,FALSE)</f>
        <v>6</v>
      </c>
      <c r="J1392">
        <f>VLOOKUP(E1392,showing[],2,FALSE)</f>
        <v>14</v>
      </c>
      <c r="K1392">
        <f>Сектора[[#This Row],[Значение]]</f>
        <v>10753.780691067299</v>
      </c>
      <c r="L1392" t="str">
        <f t="shared" si="21"/>
        <v>INSERT INTO msfo.statements (id_company, id_year, id_showing, value) VALUES (11,6,14,10753,7806910673);</v>
      </c>
    </row>
    <row r="1393" spans="1:12">
      <c r="A1393" s="28" t="s">
        <v>45</v>
      </c>
      <c r="B1393" s="28" t="s">
        <v>33</v>
      </c>
      <c r="C1393" s="28">
        <v>2017</v>
      </c>
      <c r="D1393" s="28" t="s">
        <v>7</v>
      </c>
      <c r="E1393" s="28" t="s">
        <v>17</v>
      </c>
      <c r="F1393" s="28">
        <v>12944.416859663681</v>
      </c>
      <c r="H1393">
        <f>VLOOKUP(A1393&amp;B1393,ticker_sector[],2,FALSE)</f>
        <v>11</v>
      </c>
      <c r="I1393">
        <f>VLOOKUP(C1393,year[],2,FALSE)</f>
        <v>7</v>
      </c>
      <c r="J1393">
        <f>VLOOKUP(E1393,showing[],2,FALSE)</f>
        <v>14</v>
      </c>
      <c r="K1393">
        <f>Сектора[[#This Row],[Значение]]</f>
        <v>12944.416859663681</v>
      </c>
      <c r="L1393" t="str">
        <f t="shared" si="21"/>
        <v>INSERT INTO msfo.statements (id_company, id_year, id_showing, value) VALUES (11,7,14,12944,4168596637);</v>
      </c>
    </row>
    <row r="1394" spans="1:12">
      <c r="A1394" s="28" t="s">
        <v>45</v>
      </c>
      <c r="B1394" s="28" t="s">
        <v>33</v>
      </c>
      <c r="C1394" s="28">
        <v>2010</v>
      </c>
      <c r="D1394" s="28" t="s">
        <v>20</v>
      </c>
      <c r="E1394" s="28" t="s">
        <v>18</v>
      </c>
      <c r="F1394" s="28">
        <v>781.35500000000002</v>
      </c>
      <c r="H1394">
        <f>VLOOKUP(A1394&amp;B1394,ticker_sector[],2,FALSE)</f>
        <v>11</v>
      </c>
      <c r="I1394">
        <f>VLOOKUP(C1394,year[],2,FALSE)</f>
        <v>0</v>
      </c>
      <c r="J1394">
        <f>VLOOKUP(E1394,showing[],2,FALSE)</f>
        <v>15</v>
      </c>
      <c r="K1394">
        <f>Сектора[[#This Row],[Значение]]</f>
        <v>781.35500000000002</v>
      </c>
      <c r="L1394" t="str">
        <f t="shared" si="21"/>
        <v>INSERT INTO msfo.statements (id_company, id_year, id_showing, value) VALUES (11,0,15,781,355);</v>
      </c>
    </row>
    <row r="1395" spans="1:12">
      <c r="A1395" s="28" t="s">
        <v>45</v>
      </c>
      <c r="B1395" s="28" t="s">
        <v>33</v>
      </c>
      <c r="C1395" s="28">
        <v>2011</v>
      </c>
      <c r="D1395" s="28" t="s">
        <v>20</v>
      </c>
      <c r="E1395" s="28" t="s">
        <v>18</v>
      </c>
      <c r="F1395" s="28">
        <v>774.46199999999999</v>
      </c>
      <c r="H1395">
        <f>VLOOKUP(A1395&amp;B1395,ticker_sector[],2,FALSE)</f>
        <v>11</v>
      </c>
      <c r="I1395">
        <f>VLOOKUP(C1395,year[],2,FALSE)</f>
        <v>1</v>
      </c>
      <c r="J1395">
        <f>VLOOKUP(E1395,showing[],2,FALSE)</f>
        <v>15</v>
      </c>
      <c r="K1395">
        <f>Сектора[[#This Row],[Значение]]</f>
        <v>774.46199999999999</v>
      </c>
      <c r="L1395" t="str">
        <f t="shared" si="21"/>
        <v>INSERT INTO msfo.statements (id_company, id_year, id_showing, value) VALUES (11,1,15,774,462);</v>
      </c>
    </row>
    <row r="1396" spans="1:12">
      <c r="A1396" s="28" t="s">
        <v>45</v>
      </c>
      <c r="B1396" s="28" t="s">
        <v>33</v>
      </c>
      <c r="C1396" s="28">
        <v>2012</v>
      </c>
      <c r="D1396" s="28" t="s">
        <v>20</v>
      </c>
      <c r="E1396" s="28" t="s">
        <v>18</v>
      </c>
      <c r="F1396" s="28">
        <v>754.86599999999999</v>
      </c>
      <c r="H1396">
        <f>VLOOKUP(A1396&amp;B1396,ticker_sector[],2,FALSE)</f>
        <v>11</v>
      </c>
      <c r="I1396">
        <f>VLOOKUP(C1396,year[],2,FALSE)</f>
        <v>2</v>
      </c>
      <c r="J1396">
        <f>VLOOKUP(E1396,showing[],2,FALSE)</f>
        <v>15</v>
      </c>
      <c r="K1396">
        <f>Сектора[[#This Row],[Значение]]</f>
        <v>754.86599999999999</v>
      </c>
      <c r="L1396" t="str">
        <f t="shared" si="21"/>
        <v>INSERT INTO msfo.statements (id_company, id_year, id_showing, value) VALUES (11,2,15,754,866);</v>
      </c>
    </row>
    <row r="1397" spans="1:12">
      <c r="A1397" s="28" t="s">
        <v>45</v>
      </c>
      <c r="B1397" s="28" t="s">
        <v>33</v>
      </c>
      <c r="C1397" s="28">
        <v>2013</v>
      </c>
      <c r="D1397" s="28" t="s">
        <v>20</v>
      </c>
      <c r="E1397" s="28" t="s">
        <v>18</v>
      </c>
      <c r="F1397" s="28">
        <v>754.86599999999999</v>
      </c>
      <c r="H1397">
        <f>VLOOKUP(A1397&amp;B1397,ticker_sector[],2,FALSE)</f>
        <v>11</v>
      </c>
      <c r="I1397">
        <f>VLOOKUP(C1397,year[],2,FALSE)</f>
        <v>3</v>
      </c>
      <c r="J1397">
        <f>VLOOKUP(E1397,showing[],2,FALSE)</f>
        <v>15</v>
      </c>
      <c r="K1397">
        <f>Сектора[[#This Row],[Значение]]</f>
        <v>754.86599999999999</v>
      </c>
      <c r="L1397" t="str">
        <f t="shared" si="21"/>
        <v>INSERT INTO msfo.statements (id_company, id_year, id_showing, value) VALUES (11,3,15,754,866);</v>
      </c>
    </row>
    <row r="1398" spans="1:12">
      <c r="A1398" s="28" t="s">
        <v>45</v>
      </c>
      <c r="B1398" s="28" t="s">
        <v>33</v>
      </c>
      <c r="C1398" s="28">
        <v>2014</v>
      </c>
      <c r="D1398" s="28" t="s">
        <v>20</v>
      </c>
      <c r="E1398" s="28" t="s">
        <v>18</v>
      </c>
      <c r="F1398" s="28">
        <v>734.55</v>
      </c>
      <c r="H1398">
        <f>VLOOKUP(A1398&amp;B1398,ticker_sector[],2,FALSE)</f>
        <v>11</v>
      </c>
      <c r="I1398">
        <f>VLOOKUP(C1398,year[],2,FALSE)</f>
        <v>4</v>
      </c>
      <c r="J1398">
        <f>VLOOKUP(E1398,showing[],2,FALSE)</f>
        <v>15</v>
      </c>
      <c r="K1398">
        <f>Сектора[[#This Row],[Значение]]</f>
        <v>734.55</v>
      </c>
      <c r="L1398" t="str">
        <f t="shared" si="21"/>
        <v>INSERT INTO msfo.statements (id_company, id_year, id_showing, value) VALUES (11,4,15,734,55);</v>
      </c>
    </row>
    <row r="1399" spans="1:12">
      <c r="A1399" s="28" t="s">
        <v>45</v>
      </c>
      <c r="B1399" s="28" t="s">
        <v>33</v>
      </c>
      <c r="C1399" s="28">
        <v>2015</v>
      </c>
      <c r="D1399" s="28" t="s">
        <v>20</v>
      </c>
      <c r="E1399" s="28" t="s">
        <v>18</v>
      </c>
      <c r="F1399" s="28">
        <v>722.82299999999998</v>
      </c>
      <c r="H1399">
        <f>VLOOKUP(A1399&amp;B1399,ticker_sector[],2,FALSE)</f>
        <v>11</v>
      </c>
      <c r="I1399">
        <f>VLOOKUP(C1399,year[],2,FALSE)</f>
        <v>5</v>
      </c>
      <c r="J1399">
        <f>VLOOKUP(E1399,showing[],2,FALSE)</f>
        <v>15</v>
      </c>
      <c r="K1399">
        <f>Сектора[[#This Row],[Значение]]</f>
        <v>722.82299999999998</v>
      </c>
      <c r="L1399" t="str">
        <f t="shared" si="21"/>
        <v>INSERT INTO msfo.statements (id_company, id_year, id_showing, value) VALUES (11,5,15,722,823);</v>
      </c>
    </row>
    <row r="1400" spans="1:12">
      <c r="A1400" s="28" t="s">
        <v>45</v>
      </c>
      <c r="B1400" s="28" t="s">
        <v>33</v>
      </c>
      <c r="C1400" s="28">
        <v>2016</v>
      </c>
      <c r="D1400" s="28" t="s">
        <v>20</v>
      </c>
      <c r="E1400" s="28" t="s">
        <v>18</v>
      </c>
      <c r="F1400" s="28">
        <v>712.93299999999999</v>
      </c>
      <c r="H1400">
        <f>VLOOKUP(A1400&amp;B1400,ticker_sector[],2,FALSE)</f>
        <v>11</v>
      </c>
      <c r="I1400">
        <f>VLOOKUP(C1400,year[],2,FALSE)</f>
        <v>6</v>
      </c>
      <c r="J1400">
        <f>VLOOKUP(E1400,showing[],2,FALSE)</f>
        <v>15</v>
      </c>
      <c r="K1400">
        <f>Сектора[[#This Row],[Значение]]</f>
        <v>712.93299999999999</v>
      </c>
      <c r="L1400" t="str">
        <f t="shared" si="21"/>
        <v>INSERT INTO msfo.statements (id_company, id_year, id_showing, value) VALUES (11,6,15,712,933);</v>
      </c>
    </row>
    <row r="1401" spans="1:12">
      <c r="A1401" s="28" t="s">
        <v>45</v>
      </c>
      <c r="B1401" s="28" t="s">
        <v>33</v>
      </c>
      <c r="C1401" s="28">
        <v>2017</v>
      </c>
      <c r="D1401" s="28" t="s">
        <v>20</v>
      </c>
      <c r="E1401" s="28" t="s">
        <v>18</v>
      </c>
      <c r="F1401" s="28">
        <v>709.66300000000001</v>
      </c>
      <c r="H1401">
        <f>VLOOKUP(A1401&amp;B1401,ticker_sector[],2,FALSE)</f>
        <v>11</v>
      </c>
      <c r="I1401">
        <f>VLOOKUP(C1401,year[],2,FALSE)</f>
        <v>7</v>
      </c>
      <c r="J1401">
        <f>VLOOKUP(E1401,showing[],2,FALSE)</f>
        <v>15</v>
      </c>
      <c r="K1401">
        <f>Сектора[[#This Row],[Значение]]</f>
        <v>709.66300000000001</v>
      </c>
      <c r="L1401" t="str">
        <f t="shared" si="21"/>
        <v>INSERT INTO msfo.statements (id_company, id_year, id_showing, value) VALUES (11,7,15,709,663);</v>
      </c>
    </row>
    <row r="1402" spans="1:12">
      <c r="A1402" s="28" t="s">
        <v>45</v>
      </c>
      <c r="B1402" s="28" t="s">
        <v>33</v>
      </c>
      <c r="C1402" s="28">
        <v>2010</v>
      </c>
      <c r="D1402" s="28" t="s">
        <v>20</v>
      </c>
      <c r="E1402" s="28" t="s">
        <v>19</v>
      </c>
      <c r="F1402" s="28">
        <v>1742</v>
      </c>
      <c r="H1402">
        <f>VLOOKUP(A1402&amp;B1402,ticker_sector[],2,FALSE)</f>
        <v>11</v>
      </c>
      <c r="I1402">
        <f>VLOOKUP(C1402,year[],2,FALSE)</f>
        <v>0</v>
      </c>
      <c r="J1402">
        <f>VLOOKUP(E1402,showing[],2,FALSE)</f>
        <v>16</v>
      </c>
      <c r="K1402">
        <f>Сектора[[#This Row],[Значение]]</f>
        <v>1742</v>
      </c>
      <c r="L1402" t="str">
        <f t="shared" si="21"/>
        <v>INSERT INTO msfo.statements (id_company, id_year, id_showing, value) VALUES (11,0,16,1742);</v>
      </c>
    </row>
    <row r="1403" spans="1:12">
      <c r="A1403" s="28" t="s">
        <v>45</v>
      </c>
      <c r="B1403" s="28" t="s">
        <v>33</v>
      </c>
      <c r="C1403" s="28">
        <v>2011</v>
      </c>
      <c r="D1403" s="28" t="s">
        <v>20</v>
      </c>
      <c r="E1403" s="28" t="s">
        <v>19</v>
      </c>
      <c r="F1403" s="28">
        <v>1702.5</v>
      </c>
      <c r="H1403">
        <f>VLOOKUP(A1403&amp;B1403,ticker_sector[],2,FALSE)</f>
        <v>11</v>
      </c>
      <c r="I1403">
        <f>VLOOKUP(C1403,year[],2,FALSE)</f>
        <v>1</v>
      </c>
      <c r="J1403">
        <f>VLOOKUP(E1403,showing[],2,FALSE)</f>
        <v>16</v>
      </c>
      <c r="K1403">
        <f>Сектора[[#This Row],[Значение]]</f>
        <v>1702.5</v>
      </c>
      <c r="L1403" t="str">
        <f t="shared" si="21"/>
        <v>INSERT INTO msfo.statements (id_company, id_year, id_showing, value) VALUES (11,1,16,1702,5);</v>
      </c>
    </row>
    <row r="1404" spans="1:12">
      <c r="A1404" s="28" t="s">
        <v>45</v>
      </c>
      <c r="B1404" s="28" t="s">
        <v>33</v>
      </c>
      <c r="C1404" s="28">
        <v>2012</v>
      </c>
      <c r="D1404" s="28" t="s">
        <v>20</v>
      </c>
      <c r="E1404" s="28" t="s">
        <v>19</v>
      </c>
      <c r="F1404" s="28">
        <v>2000</v>
      </c>
      <c r="H1404">
        <f>VLOOKUP(A1404&amp;B1404,ticker_sector[],2,FALSE)</f>
        <v>11</v>
      </c>
      <c r="I1404">
        <f>VLOOKUP(C1404,year[],2,FALSE)</f>
        <v>2</v>
      </c>
      <c r="J1404">
        <f>VLOOKUP(E1404,showing[],2,FALSE)</f>
        <v>16</v>
      </c>
      <c r="K1404">
        <f>Сектора[[#This Row],[Значение]]</f>
        <v>2000</v>
      </c>
      <c r="L1404" t="str">
        <f t="shared" si="21"/>
        <v>INSERT INTO msfo.statements (id_company, id_year, id_showing, value) VALUES (11,2,16,2000);</v>
      </c>
    </row>
    <row r="1405" spans="1:12">
      <c r="A1405" s="28" t="s">
        <v>45</v>
      </c>
      <c r="B1405" s="28" t="s">
        <v>33</v>
      </c>
      <c r="C1405" s="28">
        <v>2013</v>
      </c>
      <c r="D1405" s="28" t="s">
        <v>20</v>
      </c>
      <c r="E1405" s="28" t="s">
        <v>19</v>
      </c>
      <c r="F1405" s="28">
        <v>2040</v>
      </c>
      <c r="H1405">
        <f>VLOOKUP(A1405&amp;B1405,ticker_sector[],2,FALSE)</f>
        <v>11</v>
      </c>
      <c r="I1405">
        <f>VLOOKUP(C1405,year[],2,FALSE)</f>
        <v>3</v>
      </c>
      <c r="J1405">
        <f>VLOOKUP(E1405,showing[],2,FALSE)</f>
        <v>16</v>
      </c>
      <c r="K1405">
        <f>Сектора[[#This Row],[Значение]]</f>
        <v>2040</v>
      </c>
      <c r="L1405" t="str">
        <f t="shared" si="21"/>
        <v>INSERT INTO msfo.statements (id_company, id_year, id_showing, value) VALUES (11,3,16,2040);</v>
      </c>
    </row>
    <row r="1406" spans="1:12">
      <c r="A1406" s="28" t="s">
        <v>45</v>
      </c>
      <c r="B1406" s="28" t="s">
        <v>33</v>
      </c>
      <c r="C1406" s="28">
        <v>2014</v>
      </c>
      <c r="D1406" s="28" t="s">
        <v>20</v>
      </c>
      <c r="E1406" s="28" t="s">
        <v>19</v>
      </c>
      <c r="F1406" s="28">
        <v>2225</v>
      </c>
      <c r="H1406">
        <f>VLOOKUP(A1406&amp;B1406,ticker_sector[],2,FALSE)</f>
        <v>11</v>
      </c>
      <c r="I1406">
        <f>VLOOKUP(C1406,year[],2,FALSE)</f>
        <v>4</v>
      </c>
      <c r="J1406">
        <f>VLOOKUP(E1406,showing[],2,FALSE)</f>
        <v>16</v>
      </c>
      <c r="K1406">
        <f>Сектора[[#This Row],[Значение]]</f>
        <v>2225</v>
      </c>
      <c r="L1406" t="str">
        <f t="shared" si="21"/>
        <v>INSERT INTO msfo.statements (id_company, id_year, id_showing, value) VALUES (11,4,16,2225);</v>
      </c>
    </row>
    <row r="1407" spans="1:12">
      <c r="A1407" s="28" t="s">
        <v>45</v>
      </c>
      <c r="B1407" s="28" t="s">
        <v>33</v>
      </c>
      <c r="C1407" s="28">
        <v>2015</v>
      </c>
      <c r="D1407" s="28" t="s">
        <v>20</v>
      </c>
      <c r="E1407" s="28" t="s">
        <v>19</v>
      </c>
      <c r="F1407" s="28">
        <v>2346</v>
      </c>
      <c r="H1407">
        <f>VLOOKUP(A1407&amp;B1407,ticker_sector[],2,FALSE)</f>
        <v>11</v>
      </c>
      <c r="I1407">
        <f>VLOOKUP(C1407,year[],2,FALSE)</f>
        <v>5</v>
      </c>
      <c r="J1407">
        <f>VLOOKUP(E1407,showing[],2,FALSE)</f>
        <v>16</v>
      </c>
      <c r="K1407">
        <f>Сектора[[#This Row],[Значение]]</f>
        <v>2346</v>
      </c>
      <c r="L1407" t="str">
        <f t="shared" si="21"/>
        <v>INSERT INTO msfo.statements (id_company, id_year, id_showing, value) VALUES (11,5,16,2346);</v>
      </c>
    </row>
    <row r="1408" spans="1:12">
      <c r="A1408" s="28" t="s">
        <v>45</v>
      </c>
      <c r="B1408" s="28" t="s">
        <v>33</v>
      </c>
      <c r="C1408" s="28">
        <v>2016</v>
      </c>
      <c r="D1408" s="28" t="s">
        <v>20</v>
      </c>
      <c r="E1408" s="28" t="s">
        <v>19</v>
      </c>
      <c r="F1408" s="28">
        <v>3449</v>
      </c>
      <c r="H1408">
        <f>VLOOKUP(A1408&amp;B1408,ticker_sector[],2,FALSE)</f>
        <v>11</v>
      </c>
      <c r="I1408">
        <f>VLOOKUP(C1408,year[],2,FALSE)</f>
        <v>6</v>
      </c>
      <c r="J1408">
        <f>VLOOKUP(E1408,showing[],2,FALSE)</f>
        <v>16</v>
      </c>
      <c r="K1408">
        <f>Сектора[[#This Row],[Значение]]</f>
        <v>3449</v>
      </c>
      <c r="L1408" t="str">
        <f t="shared" si="21"/>
        <v>INSERT INTO msfo.statements (id_company, id_year, id_showing, value) VALUES (11,6,16,3449);</v>
      </c>
    </row>
    <row r="1409" spans="1:12">
      <c r="A1409" s="28" t="s">
        <v>45</v>
      </c>
      <c r="B1409" s="28" t="s">
        <v>33</v>
      </c>
      <c r="C1409" s="28">
        <v>2017</v>
      </c>
      <c r="D1409" s="28" t="s">
        <v>20</v>
      </c>
      <c r="E1409" s="28" t="s">
        <v>19</v>
      </c>
      <c r="F1409" s="28">
        <v>3334.5</v>
      </c>
      <c r="H1409">
        <f>VLOOKUP(A1409&amp;B1409,ticker_sector[],2,FALSE)</f>
        <v>11</v>
      </c>
      <c r="I1409">
        <f>VLOOKUP(C1409,year[],2,FALSE)</f>
        <v>7</v>
      </c>
      <c r="J1409">
        <f>VLOOKUP(E1409,showing[],2,FALSE)</f>
        <v>16</v>
      </c>
      <c r="K1409">
        <f>Сектора[[#This Row],[Значение]]</f>
        <v>3334.5</v>
      </c>
      <c r="L1409" t="str">
        <f t="shared" si="21"/>
        <v>INSERT INTO msfo.statements (id_company, id_year, id_showing, value) VALUES (11,7,16,3334,5);</v>
      </c>
    </row>
    <row r="1410" spans="1:12">
      <c r="A1410" s="28" t="s">
        <v>46</v>
      </c>
      <c r="B1410" s="28" t="s">
        <v>33</v>
      </c>
      <c r="C1410" s="28">
        <v>2010</v>
      </c>
      <c r="D1410" s="28" t="s">
        <v>1</v>
      </c>
      <c r="E1410" s="28" t="s">
        <v>2</v>
      </c>
      <c r="F1410" s="28">
        <v>255608</v>
      </c>
      <c r="H1410">
        <f>VLOOKUP(A1410&amp;B1410,ticker_sector[],2,FALSE)</f>
        <v>12</v>
      </c>
      <c r="I1410">
        <f>VLOOKUP(C1410,year[],2,FALSE)</f>
        <v>0</v>
      </c>
      <c r="J1410">
        <f>VLOOKUP(E1410,showing[],2,FALSE)</f>
        <v>1</v>
      </c>
      <c r="K1410">
        <f>Сектора[[#This Row],[Значение]]</f>
        <v>255608</v>
      </c>
      <c r="L1410" t="str">
        <f t="shared" si="21"/>
        <v>INSERT INTO msfo.statements (id_company, id_year, id_showing, value) VALUES (12,0,1,255608);</v>
      </c>
    </row>
    <row r="1411" spans="1:12">
      <c r="A1411" s="28" t="s">
        <v>46</v>
      </c>
      <c r="B1411" s="28" t="s">
        <v>33</v>
      </c>
      <c r="C1411" s="28">
        <v>2011</v>
      </c>
      <c r="D1411" s="28" t="s">
        <v>1</v>
      </c>
      <c r="E1411" s="28" t="s">
        <v>2</v>
      </c>
      <c r="F1411" s="28">
        <v>325116</v>
      </c>
      <c r="H1411">
        <f>VLOOKUP(A1411&amp;B1411,ticker_sector[],2,FALSE)</f>
        <v>12</v>
      </c>
      <c r="I1411">
        <f>VLOOKUP(C1411,year[],2,FALSE)</f>
        <v>1</v>
      </c>
      <c r="J1411">
        <f>VLOOKUP(E1411,showing[],2,FALSE)</f>
        <v>1</v>
      </c>
      <c r="K1411">
        <f>Сектора[[#This Row],[Значение]]</f>
        <v>325116</v>
      </c>
      <c r="L1411" t="str">
        <f t="shared" ref="L1411:L1474" si="22">"INSERT INTO msfo.statements (id_company, id_year, id_showing, value) VALUES ("&amp;H1411&amp; ","&amp;I1411&amp; ","&amp;J1411&amp; ","&amp;K1411&amp;");"</f>
        <v>INSERT INTO msfo.statements (id_company, id_year, id_showing, value) VALUES (12,1,1,325116);</v>
      </c>
    </row>
    <row r="1412" spans="1:12">
      <c r="A1412" s="28" t="s">
        <v>46</v>
      </c>
      <c r="B1412" s="28" t="s">
        <v>33</v>
      </c>
      <c r="C1412" s="28">
        <v>2012</v>
      </c>
      <c r="D1412" s="28" t="s">
        <v>1</v>
      </c>
      <c r="E1412" s="28" t="s">
        <v>2</v>
      </c>
      <c r="F1412" s="28">
        <v>404890</v>
      </c>
      <c r="H1412">
        <f>VLOOKUP(A1412&amp;B1412,ticker_sector[],2,FALSE)</f>
        <v>12</v>
      </c>
      <c r="I1412">
        <f>VLOOKUP(C1412,year[],2,FALSE)</f>
        <v>2</v>
      </c>
      <c r="J1412">
        <f>VLOOKUP(E1412,showing[],2,FALSE)</f>
        <v>1</v>
      </c>
      <c r="K1412">
        <f>Сектора[[#This Row],[Значение]]</f>
        <v>404890</v>
      </c>
      <c r="L1412" t="str">
        <f t="shared" si="22"/>
        <v>INSERT INTO msfo.statements (id_company, id_year, id_showing, value) VALUES (12,2,1,404890);</v>
      </c>
    </row>
    <row r="1413" spans="1:12">
      <c r="A1413" s="28" t="s">
        <v>46</v>
      </c>
      <c r="B1413" s="28" t="s">
        <v>33</v>
      </c>
      <c r="C1413" s="28">
        <v>2013</v>
      </c>
      <c r="D1413" s="28" t="s">
        <v>1</v>
      </c>
      <c r="E1413" s="28" t="s">
        <v>2</v>
      </c>
      <c r="F1413" s="28">
        <v>515569</v>
      </c>
      <c r="H1413">
        <f>VLOOKUP(A1413&amp;B1413,ticker_sector[],2,FALSE)</f>
        <v>12</v>
      </c>
      <c r="I1413">
        <f>VLOOKUP(C1413,year[],2,FALSE)</f>
        <v>3</v>
      </c>
      <c r="J1413">
        <f>VLOOKUP(E1413,showing[],2,FALSE)</f>
        <v>1</v>
      </c>
      <c r="K1413">
        <f>Сектора[[#This Row],[Значение]]</f>
        <v>515569</v>
      </c>
      <c r="L1413" t="str">
        <f t="shared" si="22"/>
        <v>INSERT INTO msfo.statements (id_company, id_year, id_showing, value) VALUES (12,3,1,515569);</v>
      </c>
    </row>
    <row r="1414" spans="1:12">
      <c r="A1414" s="28" t="s">
        <v>46</v>
      </c>
      <c r="B1414" s="28" t="s">
        <v>33</v>
      </c>
      <c r="C1414" s="28">
        <v>2014</v>
      </c>
      <c r="D1414" s="28" t="s">
        <v>1</v>
      </c>
      <c r="E1414" s="28" t="s">
        <v>2</v>
      </c>
      <c r="F1414" s="28">
        <v>572548</v>
      </c>
      <c r="H1414">
        <f>VLOOKUP(A1414&amp;B1414,ticker_sector[],2,FALSE)</f>
        <v>12</v>
      </c>
      <c r="I1414">
        <f>VLOOKUP(C1414,year[],2,FALSE)</f>
        <v>4</v>
      </c>
      <c r="J1414">
        <f>VLOOKUP(E1414,showing[],2,FALSE)</f>
        <v>1</v>
      </c>
      <c r="K1414">
        <f>Сектора[[#This Row],[Значение]]</f>
        <v>572548</v>
      </c>
      <c r="L1414" t="str">
        <f t="shared" si="22"/>
        <v>INSERT INTO msfo.statements (id_company, id_year, id_showing, value) VALUES (12,4,1,572548);</v>
      </c>
    </row>
    <row r="1415" spans="1:12">
      <c r="A1415" s="28" t="s">
        <v>46</v>
      </c>
      <c r="B1415" s="28" t="s">
        <v>33</v>
      </c>
      <c r="C1415" s="28">
        <v>2015</v>
      </c>
      <c r="D1415" s="28" t="s">
        <v>1</v>
      </c>
      <c r="E1415" s="28" t="s">
        <v>2</v>
      </c>
      <c r="F1415" s="28">
        <v>751552</v>
      </c>
      <c r="H1415">
        <f>VLOOKUP(A1415&amp;B1415,ticker_sector[],2,FALSE)</f>
        <v>12</v>
      </c>
      <c r="I1415">
        <f>VLOOKUP(C1415,year[],2,FALSE)</f>
        <v>5</v>
      </c>
      <c r="J1415">
        <f>VLOOKUP(E1415,showing[],2,FALSE)</f>
        <v>1</v>
      </c>
      <c r="K1415">
        <f>Сектора[[#This Row],[Значение]]</f>
        <v>751552</v>
      </c>
      <c r="L1415" t="str">
        <f t="shared" si="22"/>
        <v>INSERT INTO msfo.statements (id_company, id_year, id_showing, value) VALUES (12,5,1,751552);</v>
      </c>
    </row>
    <row r="1416" spans="1:12">
      <c r="A1416" s="28" t="s">
        <v>46</v>
      </c>
      <c r="B1416" s="28" t="s">
        <v>33</v>
      </c>
      <c r="C1416" s="28">
        <v>2016</v>
      </c>
      <c r="D1416" s="28" t="s">
        <v>1</v>
      </c>
      <c r="E1416" s="28" t="s">
        <v>2</v>
      </c>
      <c r="F1416" s="28">
        <v>831074</v>
      </c>
      <c r="H1416">
        <f>VLOOKUP(A1416&amp;B1416,ticker_sector[],2,FALSE)</f>
        <v>12</v>
      </c>
      <c r="I1416">
        <f>VLOOKUP(C1416,year[],2,FALSE)</f>
        <v>6</v>
      </c>
      <c r="J1416">
        <f>VLOOKUP(E1416,showing[],2,FALSE)</f>
        <v>1</v>
      </c>
      <c r="K1416">
        <f>Сектора[[#This Row],[Значение]]</f>
        <v>831074</v>
      </c>
      <c r="L1416" t="str">
        <f t="shared" si="22"/>
        <v>INSERT INTO msfo.statements (id_company, id_year, id_showing, value) VALUES (12,6,1,831074);</v>
      </c>
    </row>
    <row r="1417" spans="1:12">
      <c r="A1417" s="28" t="s">
        <v>46</v>
      </c>
      <c r="B1417" s="28" t="s">
        <v>33</v>
      </c>
      <c r="C1417" s="28">
        <v>2017</v>
      </c>
      <c r="D1417" s="28" t="s">
        <v>1</v>
      </c>
      <c r="E1417" s="28" t="s">
        <v>2</v>
      </c>
      <c r="F1417" s="28">
        <v>890726</v>
      </c>
      <c r="H1417">
        <f>VLOOKUP(A1417&amp;B1417,ticker_sector[],2,FALSE)</f>
        <v>12</v>
      </c>
      <c r="I1417">
        <f>VLOOKUP(C1417,year[],2,FALSE)</f>
        <v>7</v>
      </c>
      <c r="J1417">
        <f>VLOOKUP(E1417,showing[],2,FALSE)</f>
        <v>1</v>
      </c>
      <c r="K1417">
        <f>Сектора[[#This Row],[Значение]]</f>
        <v>890726</v>
      </c>
      <c r="L1417" t="str">
        <f t="shared" si="22"/>
        <v>INSERT INTO msfo.statements (id_company, id_year, id_showing, value) VALUES (12,7,1,890726);</v>
      </c>
    </row>
    <row r="1418" spans="1:12">
      <c r="A1418" s="28" t="s">
        <v>46</v>
      </c>
      <c r="B1418" s="28" t="s">
        <v>33</v>
      </c>
      <c r="C1418" s="28">
        <v>2010</v>
      </c>
      <c r="D1418" s="28" t="s">
        <v>1</v>
      </c>
      <c r="E1418" s="28" t="s">
        <v>3</v>
      </c>
      <c r="F1418" s="28">
        <v>29565</v>
      </c>
      <c r="H1418">
        <f>VLOOKUP(A1418&amp;B1418,ticker_sector[],2,FALSE)</f>
        <v>12</v>
      </c>
      <c r="I1418">
        <f>VLOOKUP(C1418,year[],2,FALSE)</f>
        <v>0</v>
      </c>
      <c r="J1418">
        <f>VLOOKUP(E1418,showing[],2,FALSE)</f>
        <v>2</v>
      </c>
      <c r="K1418">
        <f>Сектора[[#This Row],[Значение]]</f>
        <v>29565</v>
      </c>
      <c r="L1418" t="str">
        <f t="shared" si="22"/>
        <v>INSERT INTO msfo.statements (id_company, id_year, id_showing, value) VALUES (12,0,2,29565);</v>
      </c>
    </row>
    <row r="1419" spans="1:12">
      <c r="A1419" s="28" t="s">
        <v>46</v>
      </c>
      <c r="B1419" s="28" t="s">
        <v>33</v>
      </c>
      <c r="C1419" s="28">
        <v>2011</v>
      </c>
      <c r="D1419" s="28" t="s">
        <v>1</v>
      </c>
      <c r="E1419" s="28" t="s">
        <v>3</v>
      </c>
      <c r="F1419" s="28">
        <v>58316</v>
      </c>
      <c r="H1419">
        <f>VLOOKUP(A1419&amp;B1419,ticker_sector[],2,FALSE)</f>
        <v>12</v>
      </c>
      <c r="I1419">
        <f>VLOOKUP(C1419,year[],2,FALSE)</f>
        <v>1</v>
      </c>
      <c r="J1419">
        <f>VLOOKUP(E1419,showing[],2,FALSE)</f>
        <v>2</v>
      </c>
      <c r="K1419">
        <f>Сектора[[#This Row],[Значение]]</f>
        <v>58316</v>
      </c>
      <c r="L1419" t="str">
        <f t="shared" si="22"/>
        <v>INSERT INTO msfo.statements (id_company, id_year, id_showing, value) VALUES (12,1,2,58316);</v>
      </c>
    </row>
    <row r="1420" spans="1:12">
      <c r="A1420" s="28" t="s">
        <v>46</v>
      </c>
      <c r="B1420" s="28" t="s">
        <v>33</v>
      </c>
      <c r="C1420" s="28">
        <v>2012</v>
      </c>
      <c r="D1420" s="28" t="s">
        <v>1</v>
      </c>
      <c r="E1420" s="28" t="s">
        <v>3</v>
      </c>
      <c r="F1420" s="28">
        <v>58243</v>
      </c>
      <c r="H1420">
        <f>VLOOKUP(A1420&amp;B1420,ticker_sector[],2,FALSE)</f>
        <v>12</v>
      </c>
      <c r="I1420">
        <f>VLOOKUP(C1420,year[],2,FALSE)</f>
        <v>2</v>
      </c>
      <c r="J1420">
        <f>VLOOKUP(E1420,showing[],2,FALSE)</f>
        <v>2</v>
      </c>
      <c r="K1420">
        <f>Сектора[[#This Row],[Значение]]</f>
        <v>58243</v>
      </c>
      <c r="L1420" t="str">
        <f t="shared" si="22"/>
        <v>INSERT INTO msfo.statements (id_company, id_year, id_showing, value) VALUES (12,2,2,58243);</v>
      </c>
    </row>
    <row r="1421" spans="1:12">
      <c r="A1421" s="28" t="s">
        <v>46</v>
      </c>
      <c r="B1421" s="28" t="s">
        <v>33</v>
      </c>
      <c r="C1421" s="28">
        <v>2013</v>
      </c>
      <c r="D1421" s="28" t="s">
        <v>1</v>
      </c>
      <c r="E1421" s="28" t="s">
        <v>3</v>
      </c>
      <c r="F1421" s="28">
        <v>82426</v>
      </c>
      <c r="H1421">
        <f>VLOOKUP(A1421&amp;B1421,ticker_sector[],2,FALSE)</f>
        <v>12</v>
      </c>
      <c r="I1421">
        <f>VLOOKUP(C1421,year[],2,FALSE)</f>
        <v>3</v>
      </c>
      <c r="J1421">
        <f>VLOOKUP(E1421,showing[],2,FALSE)</f>
        <v>2</v>
      </c>
      <c r="K1421">
        <f>Сектора[[#This Row],[Значение]]</f>
        <v>82426</v>
      </c>
      <c r="L1421" t="str">
        <f t="shared" si="22"/>
        <v>INSERT INTO msfo.statements (id_company, id_year, id_showing, value) VALUES (12,3,2,82426);</v>
      </c>
    </row>
    <row r="1422" spans="1:12">
      <c r="A1422" s="28" t="s">
        <v>46</v>
      </c>
      <c r="B1422" s="28" t="s">
        <v>33</v>
      </c>
      <c r="C1422" s="28">
        <v>2014</v>
      </c>
      <c r="D1422" s="28" t="s">
        <v>1</v>
      </c>
      <c r="E1422" s="28" t="s">
        <v>3</v>
      </c>
      <c r="F1422" s="28">
        <v>126591</v>
      </c>
      <c r="H1422">
        <f>VLOOKUP(A1422&amp;B1422,ticker_sector[],2,FALSE)</f>
        <v>12</v>
      </c>
      <c r="I1422">
        <f>VLOOKUP(C1422,year[],2,FALSE)</f>
        <v>4</v>
      </c>
      <c r="J1422">
        <f>VLOOKUP(E1422,showing[],2,FALSE)</f>
        <v>2</v>
      </c>
      <c r="K1422">
        <f>Сектора[[#This Row],[Значение]]</f>
        <v>126591</v>
      </c>
      <c r="L1422" t="str">
        <f t="shared" si="22"/>
        <v>INSERT INTO msfo.statements (id_company, id_year, id_showing, value) VALUES (12,4,2,126591);</v>
      </c>
    </row>
    <row r="1423" spans="1:12">
      <c r="A1423" s="28" t="s">
        <v>46</v>
      </c>
      <c r="B1423" s="28" t="s">
        <v>33</v>
      </c>
      <c r="C1423" s="28">
        <v>2015</v>
      </c>
      <c r="D1423" s="28" t="s">
        <v>1</v>
      </c>
      <c r="E1423" s="28" t="s">
        <v>3</v>
      </c>
      <c r="F1423" s="28">
        <v>128472</v>
      </c>
      <c r="H1423">
        <f>VLOOKUP(A1423&amp;B1423,ticker_sector[],2,FALSE)</f>
        <v>12</v>
      </c>
      <c r="I1423">
        <f>VLOOKUP(C1423,year[],2,FALSE)</f>
        <v>5</v>
      </c>
      <c r="J1423">
        <f>VLOOKUP(E1423,showing[],2,FALSE)</f>
        <v>2</v>
      </c>
      <c r="K1423">
        <f>Сектора[[#This Row],[Значение]]</f>
        <v>128472</v>
      </c>
      <c r="L1423" t="str">
        <f t="shared" si="22"/>
        <v>INSERT INTO msfo.statements (id_company, id_year, id_showing, value) VALUES (12,5,2,128472);</v>
      </c>
    </row>
    <row r="1424" spans="1:12">
      <c r="A1424" s="28" t="s">
        <v>46</v>
      </c>
      <c r="B1424" s="28" t="s">
        <v>33</v>
      </c>
      <c r="C1424" s="28">
        <v>2016</v>
      </c>
      <c r="D1424" s="28" t="s">
        <v>1</v>
      </c>
      <c r="E1424" s="28" t="s">
        <v>3</v>
      </c>
      <c r="F1424" s="28">
        <v>132760</v>
      </c>
      <c r="H1424">
        <f>VLOOKUP(A1424&amp;B1424,ticker_sector[],2,FALSE)</f>
        <v>12</v>
      </c>
      <c r="I1424">
        <f>VLOOKUP(C1424,year[],2,FALSE)</f>
        <v>6</v>
      </c>
      <c r="J1424">
        <f>VLOOKUP(E1424,showing[],2,FALSE)</f>
        <v>2</v>
      </c>
      <c r="K1424">
        <f>Сектора[[#This Row],[Значение]]</f>
        <v>132760</v>
      </c>
      <c r="L1424" t="str">
        <f t="shared" si="22"/>
        <v>INSERT INTO msfo.statements (id_company, id_year, id_showing, value) VALUES (12,6,2,132760);</v>
      </c>
    </row>
    <row r="1425" spans="1:12">
      <c r="A1425" s="28" t="s">
        <v>46</v>
      </c>
      <c r="B1425" s="28" t="s">
        <v>33</v>
      </c>
      <c r="C1425" s="28">
        <v>2017</v>
      </c>
      <c r="D1425" s="28" t="s">
        <v>1</v>
      </c>
      <c r="E1425" s="28" t="s">
        <v>3</v>
      </c>
      <c r="F1425" s="28">
        <v>153436</v>
      </c>
      <c r="H1425">
        <f>VLOOKUP(A1425&amp;B1425,ticker_sector[],2,FALSE)</f>
        <v>12</v>
      </c>
      <c r="I1425">
        <f>VLOOKUP(C1425,year[],2,FALSE)</f>
        <v>7</v>
      </c>
      <c r="J1425">
        <f>VLOOKUP(E1425,showing[],2,FALSE)</f>
        <v>2</v>
      </c>
      <c r="K1425">
        <f>Сектора[[#This Row],[Значение]]</f>
        <v>153436</v>
      </c>
      <c r="L1425" t="str">
        <f t="shared" si="22"/>
        <v>INSERT INTO msfo.statements (id_company, id_year, id_showing, value) VALUES (12,7,2,153436);</v>
      </c>
    </row>
    <row r="1426" spans="1:12">
      <c r="A1426" s="28" t="s">
        <v>46</v>
      </c>
      <c r="B1426" s="28" t="s">
        <v>33</v>
      </c>
      <c r="C1426" s="28">
        <v>2010</v>
      </c>
      <c r="D1426" s="28" t="s">
        <v>1</v>
      </c>
      <c r="E1426" s="28" t="s">
        <v>5</v>
      </c>
      <c r="F1426" s="28">
        <v>285173</v>
      </c>
      <c r="H1426">
        <f>VLOOKUP(A1426&amp;B1426,ticker_sector[],2,FALSE)</f>
        <v>12</v>
      </c>
      <c r="I1426">
        <f>VLOOKUP(C1426,year[],2,FALSE)</f>
        <v>0</v>
      </c>
      <c r="J1426">
        <f>VLOOKUP(E1426,showing[],2,FALSE)</f>
        <v>3</v>
      </c>
      <c r="K1426">
        <f>Сектора[[#This Row],[Значение]]</f>
        <v>285173</v>
      </c>
      <c r="L1426" t="str">
        <f t="shared" si="22"/>
        <v>INSERT INTO msfo.statements (id_company, id_year, id_showing, value) VALUES (12,0,3,285173);</v>
      </c>
    </row>
    <row r="1427" spans="1:12">
      <c r="A1427" s="28" t="s">
        <v>46</v>
      </c>
      <c r="B1427" s="28" t="s">
        <v>33</v>
      </c>
      <c r="C1427" s="28">
        <v>2011</v>
      </c>
      <c r="D1427" s="28" t="s">
        <v>1</v>
      </c>
      <c r="E1427" s="28" t="s">
        <v>5</v>
      </c>
      <c r="F1427" s="28">
        <v>383432</v>
      </c>
      <c r="H1427">
        <f>VLOOKUP(A1427&amp;B1427,ticker_sector[],2,FALSE)</f>
        <v>12</v>
      </c>
      <c r="I1427">
        <f>VLOOKUP(C1427,year[],2,FALSE)</f>
        <v>1</v>
      </c>
      <c r="J1427">
        <f>VLOOKUP(E1427,showing[],2,FALSE)</f>
        <v>3</v>
      </c>
      <c r="K1427">
        <f>Сектора[[#This Row],[Значение]]</f>
        <v>383432</v>
      </c>
      <c r="L1427" t="str">
        <f t="shared" si="22"/>
        <v>INSERT INTO msfo.statements (id_company, id_year, id_showing, value) VALUES (12,1,3,383432);</v>
      </c>
    </row>
    <row r="1428" spans="1:12">
      <c r="A1428" s="28" t="s">
        <v>46</v>
      </c>
      <c r="B1428" s="28" t="s">
        <v>33</v>
      </c>
      <c r="C1428" s="28">
        <v>2012</v>
      </c>
      <c r="D1428" s="28" t="s">
        <v>1</v>
      </c>
      <c r="E1428" s="28" t="s">
        <v>5</v>
      </c>
      <c r="F1428" s="28">
        <v>463133</v>
      </c>
      <c r="H1428">
        <f>VLOOKUP(A1428&amp;B1428,ticker_sector[],2,FALSE)</f>
        <v>12</v>
      </c>
      <c r="I1428">
        <f>VLOOKUP(C1428,year[],2,FALSE)</f>
        <v>2</v>
      </c>
      <c r="J1428">
        <f>VLOOKUP(E1428,showing[],2,FALSE)</f>
        <v>3</v>
      </c>
      <c r="K1428">
        <f>Сектора[[#This Row],[Значение]]</f>
        <v>463133</v>
      </c>
      <c r="L1428" t="str">
        <f t="shared" si="22"/>
        <v>INSERT INTO msfo.statements (id_company, id_year, id_showing, value) VALUES (12,2,3,463133);</v>
      </c>
    </row>
    <row r="1429" spans="1:12">
      <c r="A1429" s="28" t="s">
        <v>46</v>
      </c>
      <c r="B1429" s="28" t="s">
        <v>33</v>
      </c>
      <c r="C1429" s="28">
        <v>2013</v>
      </c>
      <c r="D1429" s="28" t="s">
        <v>1</v>
      </c>
      <c r="E1429" s="28" t="s">
        <v>5</v>
      </c>
      <c r="F1429" s="28">
        <v>597995</v>
      </c>
      <c r="H1429">
        <f>VLOOKUP(A1429&amp;B1429,ticker_sector[],2,FALSE)</f>
        <v>12</v>
      </c>
      <c r="I1429">
        <f>VLOOKUP(C1429,year[],2,FALSE)</f>
        <v>3</v>
      </c>
      <c r="J1429">
        <f>VLOOKUP(E1429,showing[],2,FALSE)</f>
        <v>3</v>
      </c>
      <c r="K1429">
        <f>Сектора[[#This Row],[Значение]]</f>
        <v>597995</v>
      </c>
      <c r="L1429" t="str">
        <f t="shared" si="22"/>
        <v>INSERT INTO msfo.statements (id_company, id_year, id_showing, value) VALUES (12,3,3,597995);</v>
      </c>
    </row>
    <row r="1430" spans="1:12">
      <c r="A1430" s="28" t="s">
        <v>46</v>
      </c>
      <c r="B1430" s="28" t="s">
        <v>33</v>
      </c>
      <c r="C1430" s="28">
        <v>2014</v>
      </c>
      <c r="D1430" s="28" t="s">
        <v>1</v>
      </c>
      <c r="E1430" s="28" t="s">
        <v>5</v>
      </c>
      <c r="F1430" s="28">
        <v>699139</v>
      </c>
      <c r="H1430">
        <f>VLOOKUP(A1430&amp;B1430,ticker_sector[],2,FALSE)</f>
        <v>12</v>
      </c>
      <c r="I1430">
        <f>VLOOKUP(C1430,year[],2,FALSE)</f>
        <v>4</v>
      </c>
      <c r="J1430">
        <f>VLOOKUP(E1430,showing[],2,FALSE)</f>
        <v>3</v>
      </c>
      <c r="K1430">
        <f>Сектора[[#This Row],[Значение]]</f>
        <v>699139</v>
      </c>
      <c r="L1430" t="str">
        <f t="shared" si="22"/>
        <v>INSERT INTO msfo.statements (id_company, id_year, id_showing, value) VALUES (12,4,3,699139);</v>
      </c>
    </row>
    <row r="1431" spans="1:12">
      <c r="A1431" s="28" t="s">
        <v>46</v>
      </c>
      <c r="B1431" s="28" t="s">
        <v>33</v>
      </c>
      <c r="C1431" s="28">
        <v>2015</v>
      </c>
      <c r="D1431" s="28" t="s">
        <v>1</v>
      </c>
      <c r="E1431" s="28" t="s">
        <v>5</v>
      </c>
      <c r="F1431" s="28">
        <v>880024</v>
      </c>
      <c r="H1431">
        <f>VLOOKUP(A1431&amp;B1431,ticker_sector[],2,FALSE)</f>
        <v>12</v>
      </c>
      <c r="I1431">
        <f>VLOOKUP(C1431,year[],2,FALSE)</f>
        <v>5</v>
      </c>
      <c r="J1431">
        <f>VLOOKUP(E1431,showing[],2,FALSE)</f>
        <v>3</v>
      </c>
      <c r="K1431">
        <f>Сектора[[#This Row],[Значение]]</f>
        <v>880024</v>
      </c>
      <c r="L1431" t="str">
        <f t="shared" si="22"/>
        <v>INSERT INTO msfo.statements (id_company, id_year, id_showing, value) VALUES (12,5,3,880024);</v>
      </c>
    </row>
    <row r="1432" spans="1:12">
      <c r="A1432" s="28" t="s">
        <v>46</v>
      </c>
      <c r="B1432" s="28" t="s">
        <v>33</v>
      </c>
      <c r="C1432" s="28">
        <v>2016</v>
      </c>
      <c r="D1432" s="28" t="s">
        <v>1</v>
      </c>
      <c r="E1432" s="28" t="s">
        <v>5</v>
      </c>
      <c r="F1432" s="28">
        <v>963834</v>
      </c>
      <c r="H1432">
        <f>VLOOKUP(A1432&amp;B1432,ticker_sector[],2,FALSE)</f>
        <v>12</v>
      </c>
      <c r="I1432">
        <f>VLOOKUP(C1432,year[],2,FALSE)</f>
        <v>6</v>
      </c>
      <c r="J1432">
        <f>VLOOKUP(E1432,showing[],2,FALSE)</f>
        <v>3</v>
      </c>
      <c r="K1432">
        <f>Сектора[[#This Row],[Значение]]</f>
        <v>963834</v>
      </c>
      <c r="L1432" t="str">
        <f t="shared" si="22"/>
        <v>INSERT INTO msfo.statements (id_company, id_year, id_showing, value) VALUES (12,6,3,963834);</v>
      </c>
    </row>
    <row r="1433" spans="1:12">
      <c r="A1433" s="28" t="s">
        <v>46</v>
      </c>
      <c r="B1433" s="28" t="s">
        <v>33</v>
      </c>
      <c r="C1433" s="28">
        <v>2017</v>
      </c>
      <c r="D1433" s="28" t="s">
        <v>1</v>
      </c>
      <c r="E1433" s="28" t="s">
        <v>5</v>
      </c>
      <c r="F1433" s="28">
        <v>1044162</v>
      </c>
      <c r="H1433">
        <f>VLOOKUP(A1433&amp;B1433,ticker_sector[],2,FALSE)</f>
        <v>12</v>
      </c>
      <c r="I1433">
        <f>VLOOKUP(C1433,year[],2,FALSE)</f>
        <v>7</v>
      </c>
      <c r="J1433">
        <f>VLOOKUP(E1433,showing[],2,FALSE)</f>
        <v>3</v>
      </c>
      <c r="K1433">
        <f>Сектора[[#This Row],[Значение]]</f>
        <v>1044162</v>
      </c>
      <c r="L1433" t="str">
        <f t="shared" si="22"/>
        <v>INSERT INTO msfo.statements (id_company, id_year, id_showing, value) VALUES (12,7,3,1044162);</v>
      </c>
    </row>
    <row r="1434" spans="1:12">
      <c r="A1434" s="28" t="s">
        <v>46</v>
      </c>
      <c r="B1434" s="28" t="s">
        <v>33</v>
      </c>
      <c r="C1434" s="28">
        <v>2010</v>
      </c>
      <c r="D1434" s="28" t="s">
        <v>1</v>
      </c>
      <c r="E1434" s="28" t="s">
        <v>6</v>
      </c>
      <c r="F1434" s="28">
        <v>167786</v>
      </c>
      <c r="H1434">
        <f>VLOOKUP(A1434&amp;B1434,ticker_sector[],2,FALSE)</f>
        <v>12</v>
      </c>
      <c r="I1434">
        <f>VLOOKUP(C1434,year[],2,FALSE)</f>
        <v>0</v>
      </c>
      <c r="J1434">
        <f>VLOOKUP(E1434,showing[],2,FALSE)</f>
        <v>4</v>
      </c>
      <c r="K1434">
        <f>Сектора[[#This Row],[Значение]]</f>
        <v>167786</v>
      </c>
      <c r="L1434" t="str">
        <f t="shared" si="22"/>
        <v>INSERT INTO msfo.statements (id_company, id_year, id_showing, value) VALUES (12,0,4,167786);</v>
      </c>
    </row>
    <row r="1435" spans="1:12">
      <c r="A1435" s="28" t="s">
        <v>46</v>
      </c>
      <c r="B1435" s="28" t="s">
        <v>33</v>
      </c>
      <c r="C1435" s="28">
        <v>2011</v>
      </c>
      <c r="D1435" s="28" t="s">
        <v>1</v>
      </c>
      <c r="E1435" s="28" t="s">
        <v>6</v>
      </c>
      <c r="F1435" s="28">
        <v>241682</v>
      </c>
      <c r="H1435">
        <f>VLOOKUP(A1435&amp;B1435,ticker_sector[],2,FALSE)</f>
        <v>12</v>
      </c>
      <c r="I1435">
        <f>VLOOKUP(C1435,year[],2,FALSE)</f>
        <v>1</v>
      </c>
      <c r="J1435">
        <f>VLOOKUP(E1435,showing[],2,FALSE)</f>
        <v>4</v>
      </c>
      <c r="K1435">
        <f>Сектора[[#This Row],[Значение]]</f>
        <v>241682</v>
      </c>
      <c r="L1435" t="str">
        <f t="shared" si="22"/>
        <v>INSERT INTO msfo.statements (id_company, id_year, id_showing, value) VALUES (12,1,4,241682);</v>
      </c>
    </row>
    <row r="1436" spans="1:12">
      <c r="A1436" s="28" t="s">
        <v>46</v>
      </c>
      <c r="B1436" s="28" t="s">
        <v>33</v>
      </c>
      <c r="C1436" s="28">
        <v>2012</v>
      </c>
      <c r="D1436" s="28" t="s">
        <v>1</v>
      </c>
      <c r="E1436" s="28" t="s">
        <v>6</v>
      </c>
      <c r="F1436" s="28">
        <v>291301</v>
      </c>
      <c r="H1436">
        <f>VLOOKUP(A1436&amp;B1436,ticker_sector[],2,FALSE)</f>
        <v>12</v>
      </c>
      <c r="I1436">
        <f>VLOOKUP(C1436,year[],2,FALSE)</f>
        <v>2</v>
      </c>
      <c r="J1436">
        <f>VLOOKUP(E1436,showing[],2,FALSE)</f>
        <v>4</v>
      </c>
      <c r="K1436">
        <f>Сектора[[#This Row],[Значение]]</f>
        <v>291301</v>
      </c>
      <c r="L1436" t="str">
        <f t="shared" si="22"/>
        <v>INSERT INTO msfo.statements (id_company, id_year, id_showing, value) VALUES (12,2,4,291301);</v>
      </c>
    </row>
    <row r="1437" spans="1:12">
      <c r="A1437" s="28" t="s">
        <v>46</v>
      </c>
      <c r="B1437" s="28" t="s">
        <v>33</v>
      </c>
      <c r="C1437" s="28">
        <v>2013</v>
      </c>
      <c r="D1437" s="28" t="s">
        <v>1</v>
      </c>
      <c r="E1437" s="28" t="s">
        <v>6</v>
      </c>
      <c r="F1437" s="28">
        <v>373057</v>
      </c>
      <c r="H1437">
        <f>VLOOKUP(A1437&amp;B1437,ticker_sector[],2,FALSE)</f>
        <v>12</v>
      </c>
      <c r="I1437">
        <f>VLOOKUP(C1437,year[],2,FALSE)</f>
        <v>3</v>
      </c>
      <c r="J1437">
        <f>VLOOKUP(E1437,showing[],2,FALSE)</f>
        <v>4</v>
      </c>
      <c r="K1437">
        <f>Сектора[[#This Row],[Значение]]</f>
        <v>373057</v>
      </c>
      <c r="L1437" t="str">
        <f t="shared" si="22"/>
        <v>INSERT INTO msfo.statements (id_company, id_year, id_showing, value) VALUES (12,3,4,373057);</v>
      </c>
    </row>
    <row r="1438" spans="1:12">
      <c r="A1438" s="28" t="s">
        <v>46</v>
      </c>
      <c r="B1438" s="28" t="s">
        <v>33</v>
      </c>
      <c r="C1438" s="28">
        <v>2014</v>
      </c>
      <c r="D1438" s="28" t="s">
        <v>1</v>
      </c>
      <c r="E1438" s="28" t="s">
        <v>6</v>
      </c>
      <c r="F1438" s="28">
        <v>387124</v>
      </c>
      <c r="H1438">
        <f>VLOOKUP(A1438&amp;B1438,ticker_sector[],2,FALSE)</f>
        <v>12</v>
      </c>
      <c r="I1438">
        <f>VLOOKUP(C1438,year[],2,FALSE)</f>
        <v>4</v>
      </c>
      <c r="J1438">
        <f>VLOOKUP(E1438,showing[],2,FALSE)</f>
        <v>4</v>
      </c>
      <c r="K1438">
        <f>Сектора[[#This Row],[Значение]]</f>
        <v>387124</v>
      </c>
      <c r="L1438" t="str">
        <f t="shared" si="22"/>
        <v>INSERT INTO msfo.statements (id_company, id_year, id_showing, value) VALUES (12,4,4,387124);</v>
      </c>
    </row>
    <row r="1439" spans="1:12">
      <c r="A1439" s="28" t="s">
        <v>46</v>
      </c>
      <c r="B1439" s="28" t="s">
        <v>33</v>
      </c>
      <c r="C1439" s="28">
        <v>2015</v>
      </c>
      <c r="D1439" s="28" t="s">
        <v>1</v>
      </c>
      <c r="E1439" s="28" t="s">
        <v>6</v>
      </c>
      <c r="F1439" s="28">
        <v>428171</v>
      </c>
      <c r="H1439">
        <f>VLOOKUP(A1439&amp;B1439,ticker_sector[],2,FALSE)</f>
        <v>12</v>
      </c>
      <c r="I1439">
        <f>VLOOKUP(C1439,year[],2,FALSE)</f>
        <v>5</v>
      </c>
      <c r="J1439">
        <f>VLOOKUP(E1439,showing[],2,FALSE)</f>
        <v>4</v>
      </c>
      <c r="K1439">
        <f>Сектора[[#This Row],[Значение]]</f>
        <v>428171</v>
      </c>
      <c r="L1439" t="str">
        <f t="shared" si="22"/>
        <v>INSERT INTO msfo.statements (id_company, id_year, id_showing, value) VALUES (12,5,4,428171);</v>
      </c>
    </row>
    <row r="1440" spans="1:12">
      <c r="A1440" s="28" t="s">
        <v>46</v>
      </c>
      <c r="B1440" s="28" t="s">
        <v>33</v>
      </c>
      <c r="C1440" s="28">
        <v>2016</v>
      </c>
      <c r="D1440" s="28" t="s">
        <v>1</v>
      </c>
      <c r="E1440" s="28" t="s">
        <v>6</v>
      </c>
      <c r="F1440" s="28">
        <v>657720</v>
      </c>
      <c r="H1440">
        <f>VLOOKUP(A1440&amp;B1440,ticker_sector[],2,FALSE)</f>
        <v>12</v>
      </c>
      <c r="I1440">
        <f>VLOOKUP(C1440,year[],2,FALSE)</f>
        <v>6</v>
      </c>
      <c r="J1440">
        <f>VLOOKUP(E1440,showing[],2,FALSE)</f>
        <v>4</v>
      </c>
      <c r="K1440">
        <f>Сектора[[#This Row],[Значение]]</f>
        <v>657720</v>
      </c>
      <c r="L1440" t="str">
        <f t="shared" si="22"/>
        <v>INSERT INTO msfo.statements (id_company, id_year, id_showing, value) VALUES (12,6,4,657720);</v>
      </c>
    </row>
    <row r="1441" spans="1:12">
      <c r="A1441" s="28" t="s">
        <v>46</v>
      </c>
      <c r="B1441" s="28" t="s">
        <v>33</v>
      </c>
      <c r="C1441" s="28">
        <v>2017</v>
      </c>
      <c r="D1441" s="28" t="s">
        <v>1</v>
      </c>
      <c r="E1441" s="28" t="s">
        <v>6</v>
      </c>
      <c r="F1441" s="28">
        <v>775659</v>
      </c>
      <c r="H1441">
        <f>VLOOKUP(A1441&amp;B1441,ticker_sector[],2,FALSE)</f>
        <v>12</v>
      </c>
      <c r="I1441">
        <f>VLOOKUP(C1441,year[],2,FALSE)</f>
        <v>7</v>
      </c>
      <c r="J1441">
        <f>VLOOKUP(E1441,showing[],2,FALSE)</f>
        <v>4</v>
      </c>
      <c r="K1441">
        <f>Сектора[[#This Row],[Значение]]</f>
        <v>775659</v>
      </c>
      <c r="L1441" t="str">
        <f t="shared" si="22"/>
        <v>INSERT INTO msfo.statements (id_company, id_year, id_showing, value) VALUES (12,7,4,775659);</v>
      </c>
    </row>
    <row r="1442" spans="1:12">
      <c r="A1442" s="28" t="s">
        <v>46</v>
      </c>
      <c r="B1442" s="28" t="s">
        <v>33</v>
      </c>
      <c r="C1442" s="28">
        <v>2010</v>
      </c>
      <c r="D1442" s="28" t="s">
        <v>1</v>
      </c>
      <c r="E1442" s="28" t="s">
        <v>8</v>
      </c>
      <c r="F1442" s="28">
        <v>59946</v>
      </c>
      <c r="H1442">
        <f>VLOOKUP(A1442&amp;B1442,ticker_sector[],2,FALSE)</f>
        <v>12</v>
      </c>
      <c r="I1442">
        <f>VLOOKUP(C1442,year[],2,FALSE)</f>
        <v>0</v>
      </c>
      <c r="J1442">
        <f>VLOOKUP(E1442,showing[],2,FALSE)</f>
        <v>5</v>
      </c>
      <c r="K1442">
        <f>Сектора[[#This Row],[Значение]]</f>
        <v>59946</v>
      </c>
      <c r="L1442" t="str">
        <f t="shared" si="22"/>
        <v>INSERT INTO msfo.statements (id_company, id_year, id_showing, value) VALUES (12,0,5,59946);</v>
      </c>
    </row>
    <row r="1443" spans="1:12">
      <c r="A1443" s="28" t="s">
        <v>46</v>
      </c>
      <c r="B1443" s="28" t="s">
        <v>33</v>
      </c>
      <c r="C1443" s="28">
        <v>2011</v>
      </c>
      <c r="D1443" s="28" t="s">
        <v>1</v>
      </c>
      <c r="E1443" s="28" t="s">
        <v>8</v>
      </c>
      <c r="F1443" s="28">
        <v>91636</v>
      </c>
      <c r="H1443">
        <f>VLOOKUP(A1443&amp;B1443,ticker_sector[],2,FALSE)</f>
        <v>12</v>
      </c>
      <c r="I1443">
        <f>VLOOKUP(C1443,year[],2,FALSE)</f>
        <v>1</v>
      </c>
      <c r="J1443">
        <f>VLOOKUP(E1443,showing[],2,FALSE)</f>
        <v>5</v>
      </c>
      <c r="K1443">
        <f>Сектора[[#This Row],[Значение]]</f>
        <v>91636</v>
      </c>
      <c r="L1443" t="str">
        <f t="shared" si="22"/>
        <v>INSERT INTO msfo.statements (id_company, id_year, id_showing, value) VALUES (12,1,5,91636);</v>
      </c>
    </row>
    <row r="1444" spans="1:12">
      <c r="A1444" s="28" t="s">
        <v>46</v>
      </c>
      <c r="B1444" s="28" t="s">
        <v>33</v>
      </c>
      <c r="C1444" s="28">
        <v>2012</v>
      </c>
      <c r="D1444" s="28" t="s">
        <v>1</v>
      </c>
      <c r="E1444" s="28" t="s">
        <v>8</v>
      </c>
      <c r="F1444" s="28">
        <v>116702</v>
      </c>
      <c r="H1444">
        <f>VLOOKUP(A1444&amp;B1444,ticker_sector[],2,FALSE)</f>
        <v>12</v>
      </c>
      <c r="I1444">
        <f>VLOOKUP(C1444,year[],2,FALSE)</f>
        <v>2</v>
      </c>
      <c r="J1444">
        <f>VLOOKUP(E1444,showing[],2,FALSE)</f>
        <v>5</v>
      </c>
      <c r="K1444">
        <f>Сектора[[#This Row],[Значение]]</f>
        <v>116702</v>
      </c>
      <c r="L1444" t="str">
        <f t="shared" si="22"/>
        <v>INSERT INTO msfo.statements (id_company, id_year, id_showing, value) VALUES (12,2,5,116702);</v>
      </c>
    </row>
    <row r="1445" spans="1:12">
      <c r="A1445" s="28" t="s">
        <v>46</v>
      </c>
      <c r="B1445" s="28" t="s">
        <v>33</v>
      </c>
      <c r="C1445" s="28">
        <v>2013</v>
      </c>
      <c r="D1445" s="28" t="s">
        <v>1</v>
      </c>
      <c r="E1445" s="28" t="s">
        <v>8</v>
      </c>
      <c r="F1445" s="28">
        <v>165065</v>
      </c>
      <c r="H1445">
        <f>VLOOKUP(A1445&amp;B1445,ticker_sector[],2,FALSE)</f>
        <v>12</v>
      </c>
      <c r="I1445">
        <f>VLOOKUP(C1445,year[],2,FALSE)</f>
        <v>3</v>
      </c>
      <c r="J1445">
        <f>VLOOKUP(E1445,showing[],2,FALSE)</f>
        <v>5</v>
      </c>
      <c r="K1445">
        <f>Сектора[[#This Row],[Значение]]</f>
        <v>165065</v>
      </c>
      <c r="L1445" t="str">
        <f t="shared" si="22"/>
        <v>INSERT INTO msfo.statements (id_company, id_year, id_showing, value) VALUES (12,3,5,165065);</v>
      </c>
    </row>
    <row r="1446" spans="1:12">
      <c r="A1446" s="28" t="s">
        <v>46</v>
      </c>
      <c r="B1446" s="28" t="s">
        <v>33</v>
      </c>
      <c r="C1446" s="28">
        <v>2014</v>
      </c>
      <c r="D1446" s="28" t="s">
        <v>1</v>
      </c>
      <c r="E1446" s="28" t="s">
        <v>8</v>
      </c>
      <c r="F1446" s="28">
        <v>230807</v>
      </c>
      <c r="H1446">
        <f>VLOOKUP(A1446&amp;B1446,ticker_sector[],2,FALSE)</f>
        <v>12</v>
      </c>
      <c r="I1446">
        <f>VLOOKUP(C1446,year[],2,FALSE)</f>
        <v>4</v>
      </c>
      <c r="J1446">
        <f>VLOOKUP(E1446,showing[],2,FALSE)</f>
        <v>5</v>
      </c>
      <c r="K1446">
        <f>Сектора[[#This Row],[Значение]]</f>
        <v>230807</v>
      </c>
      <c r="L1446" t="str">
        <f t="shared" si="22"/>
        <v>INSERT INTO msfo.statements (id_company, id_year, id_showing, value) VALUES (12,4,5,230807);</v>
      </c>
    </row>
    <row r="1447" spans="1:12">
      <c r="A1447" s="28" t="s">
        <v>46</v>
      </c>
      <c r="B1447" s="28" t="s">
        <v>33</v>
      </c>
      <c r="C1447" s="28">
        <v>2015</v>
      </c>
      <c r="D1447" s="28" t="s">
        <v>1</v>
      </c>
      <c r="E1447" s="28" t="s">
        <v>8</v>
      </c>
      <c r="F1447" s="28">
        <v>282178</v>
      </c>
      <c r="H1447">
        <f>VLOOKUP(A1447&amp;B1447,ticker_sector[],2,FALSE)</f>
        <v>12</v>
      </c>
      <c r="I1447">
        <f>VLOOKUP(C1447,year[],2,FALSE)</f>
        <v>5</v>
      </c>
      <c r="J1447">
        <f>VLOOKUP(E1447,showing[],2,FALSE)</f>
        <v>5</v>
      </c>
      <c r="K1447">
        <f>Сектора[[#This Row],[Значение]]</f>
        <v>282178</v>
      </c>
      <c r="L1447" t="str">
        <f t="shared" si="22"/>
        <v>INSERT INTO msfo.statements (id_company, id_year, id_showing, value) VALUES (12,5,5,282178);</v>
      </c>
    </row>
    <row r="1448" spans="1:12">
      <c r="A1448" s="28" t="s">
        <v>46</v>
      </c>
      <c r="B1448" s="28" t="s">
        <v>33</v>
      </c>
      <c r="C1448" s="28">
        <v>2016</v>
      </c>
      <c r="D1448" s="28" t="s">
        <v>1</v>
      </c>
      <c r="E1448" s="28" t="s">
        <v>8</v>
      </c>
      <c r="F1448" s="28">
        <v>197323</v>
      </c>
      <c r="H1448">
        <f>VLOOKUP(A1448&amp;B1448,ticker_sector[],2,FALSE)</f>
        <v>12</v>
      </c>
      <c r="I1448">
        <f>VLOOKUP(C1448,year[],2,FALSE)</f>
        <v>6</v>
      </c>
      <c r="J1448">
        <f>VLOOKUP(E1448,showing[],2,FALSE)</f>
        <v>5</v>
      </c>
      <c r="K1448">
        <f>Сектора[[#This Row],[Значение]]</f>
        <v>197323</v>
      </c>
      <c r="L1448" t="str">
        <f t="shared" si="22"/>
        <v>INSERT INTO msfo.statements (id_company, id_year, id_showing, value) VALUES (12,6,5,197323);</v>
      </c>
    </row>
    <row r="1449" spans="1:12">
      <c r="A1449" s="28" t="s">
        <v>46</v>
      </c>
      <c r="B1449" s="28" t="s">
        <v>33</v>
      </c>
      <c r="C1449" s="28">
        <v>2017</v>
      </c>
      <c r="D1449" s="28" t="s">
        <v>1</v>
      </c>
      <c r="E1449" s="28" t="s">
        <v>8</v>
      </c>
      <c r="F1449" s="28">
        <v>184545</v>
      </c>
      <c r="H1449">
        <f>VLOOKUP(A1449&amp;B1449,ticker_sector[],2,FALSE)</f>
        <v>12</v>
      </c>
      <c r="I1449">
        <f>VLOOKUP(C1449,year[],2,FALSE)</f>
        <v>7</v>
      </c>
      <c r="J1449">
        <f>VLOOKUP(E1449,showing[],2,FALSE)</f>
        <v>5</v>
      </c>
      <c r="K1449">
        <f>Сектора[[#This Row],[Значение]]</f>
        <v>184545</v>
      </c>
      <c r="L1449" t="str">
        <f t="shared" si="22"/>
        <v>INSERT INTO msfo.statements (id_company, id_year, id_showing, value) VALUES (12,7,5,184545);</v>
      </c>
    </row>
    <row r="1450" spans="1:12">
      <c r="A1450" s="28" t="s">
        <v>46</v>
      </c>
      <c r="B1450" s="28" t="s">
        <v>33</v>
      </c>
      <c r="C1450" s="28">
        <v>2010</v>
      </c>
      <c r="D1450" s="28" t="s">
        <v>1</v>
      </c>
      <c r="E1450" s="28" t="s">
        <v>9</v>
      </c>
      <c r="F1450" s="28">
        <v>57441</v>
      </c>
      <c r="H1450">
        <f>VLOOKUP(A1450&amp;B1450,ticker_sector[],2,FALSE)</f>
        <v>12</v>
      </c>
      <c r="I1450">
        <f>VLOOKUP(C1450,year[],2,FALSE)</f>
        <v>0</v>
      </c>
      <c r="J1450">
        <f>VLOOKUP(E1450,showing[],2,FALSE)</f>
        <v>6</v>
      </c>
      <c r="K1450">
        <f>Сектора[[#This Row],[Значение]]</f>
        <v>57441</v>
      </c>
      <c r="L1450" t="str">
        <f t="shared" si="22"/>
        <v>INSERT INTO msfo.statements (id_company, id_year, id_showing, value) VALUES (12,0,6,57441);</v>
      </c>
    </row>
    <row r="1451" spans="1:12">
      <c r="A1451" s="28" t="s">
        <v>46</v>
      </c>
      <c r="B1451" s="28" t="s">
        <v>33</v>
      </c>
      <c r="C1451" s="28">
        <v>2011</v>
      </c>
      <c r="D1451" s="28" t="s">
        <v>1</v>
      </c>
      <c r="E1451" s="28" t="s">
        <v>9</v>
      </c>
      <c r="F1451" s="28">
        <v>50114</v>
      </c>
      <c r="H1451">
        <f>VLOOKUP(A1451&amp;B1451,ticker_sector[],2,FALSE)</f>
        <v>12</v>
      </c>
      <c r="I1451">
        <f>VLOOKUP(C1451,year[],2,FALSE)</f>
        <v>1</v>
      </c>
      <c r="J1451">
        <f>VLOOKUP(E1451,showing[],2,FALSE)</f>
        <v>6</v>
      </c>
      <c r="K1451">
        <f>Сектора[[#This Row],[Значение]]</f>
        <v>50114</v>
      </c>
      <c r="L1451" t="str">
        <f t="shared" si="22"/>
        <v>INSERT INTO msfo.statements (id_company, id_year, id_showing, value) VALUES (12,1,6,50114);</v>
      </c>
    </row>
    <row r="1452" spans="1:12">
      <c r="A1452" s="28" t="s">
        <v>46</v>
      </c>
      <c r="B1452" s="28" t="s">
        <v>33</v>
      </c>
      <c r="C1452" s="28">
        <v>2012</v>
      </c>
      <c r="D1452" s="28" t="s">
        <v>1</v>
      </c>
      <c r="E1452" s="28" t="s">
        <v>9</v>
      </c>
      <c r="F1452" s="28">
        <v>55130</v>
      </c>
      <c r="H1452">
        <f>VLOOKUP(A1452&amp;B1452,ticker_sector[],2,FALSE)</f>
        <v>12</v>
      </c>
      <c r="I1452">
        <f>VLOOKUP(C1452,year[],2,FALSE)</f>
        <v>2</v>
      </c>
      <c r="J1452">
        <f>VLOOKUP(E1452,showing[],2,FALSE)</f>
        <v>6</v>
      </c>
      <c r="K1452">
        <f>Сектора[[#This Row],[Значение]]</f>
        <v>55130</v>
      </c>
      <c r="L1452" t="str">
        <f t="shared" si="22"/>
        <v>INSERT INTO msfo.statements (id_company, id_year, id_showing, value) VALUES (12,2,6,55130);</v>
      </c>
    </row>
    <row r="1453" spans="1:12">
      <c r="A1453" s="28" t="s">
        <v>46</v>
      </c>
      <c r="B1453" s="28" t="s">
        <v>33</v>
      </c>
      <c r="C1453" s="28">
        <v>2013</v>
      </c>
      <c r="D1453" s="28" t="s">
        <v>1</v>
      </c>
      <c r="E1453" s="28" t="s">
        <v>9</v>
      </c>
      <c r="F1453" s="28">
        <v>59873</v>
      </c>
      <c r="H1453">
        <f>VLOOKUP(A1453&amp;B1453,ticker_sector[],2,FALSE)</f>
        <v>12</v>
      </c>
      <c r="I1453">
        <f>VLOOKUP(C1453,year[],2,FALSE)</f>
        <v>3</v>
      </c>
      <c r="J1453">
        <f>VLOOKUP(E1453,showing[],2,FALSE)</f>
        <v>6</v>
      </c>
      <c r="K1453">
        <f>Сектора[[#This Row],[Значение]]</f>
        <v>59873</v>
      </c>
      <c r="L1453" t="str">
        <f t="shared" si="22"/>
        <v>INSERT INTO msfo.statements (id_company, id_year, id_showing, value) VALUES (12,3,6,59873);</v>
      </c>
    </row>
    <row r="1454" spans="1:12">
      <c r="A1454" s="28" t="s">
        <v>46</v>
      </c>
      <c r="B1454" s="28" t="s">
        <v>33</v>
      </c>
      <c r="C1454" s="28">
        <v>2014</v>
      </c>
      <c r="D1454" s="28" t="s">
        <v>1</v>
      </c>
      <c r="E1454" s="28" t="s">
        <v>9</v>
      </c>
      <c r="F1454" s="28">
        <v>81208</v>
      </c>
      <c r="H1454">
        <f>VLOOKUP(A1454&amp;B1454,ticker_sector[],2,FALSE)</f>
        <v>12</v>
      </c>
      <c r="I1454">
        <f>VLOOKUP(C1454,year[],2,FALSE)</f>
        <v>4</v>
      </c>
      <c r="J1454">
        <f>VLOOKUP(E1454,showing[],2,FALSE)</f>
        <v>6</v>
      </c>
      <c r="K1454">
        <f>Сектора[[#This Row],[Значение]]</f>
        <v>81208</v>
      </c>
      <c r="L1454" t="str">
        <f t="shared" si="22"/>
        <v>INSERT INTO msfo.statements (id_company, id_year, id_showing, value) VALUES (12,4,6,81208);</v>
      </c>
    </row>
    <row r="1455" spans="1:12">
      <c r="A1455" s="28" t="s">
        <v>46</v>
      </c>
      <c r="B1455" s="28" t="s">
        <v>33</v>
      </c>
      <c r="C1455" s="28">
        <v>2015</v>
      </c>
      <c r="D1455" s="28" t="s">
        <v>1</v>
      </c>
      <c r="E1455" s="28" t="s">
        <v>9</v>
      </c>
      <c r="F1455" s="28">
        <v>169675</v>
      </c>
      <c r="H1455">
        <f>VLOOKUP(A1455&amp;B1455,ticker_sector[],2,FALSE)</f>
        <v>12</v>
      </c>
      <c r="I1455">
        <f>VLOOKUP(C1455,year[],2,FALSE)</f>
        <v>5</v>
      </c>
      <c r="J1455">
        <f>VLOOKUP(E1455,showing[],2,FALSE)</f>
        <v>6</v>
      </c>
      <c r="K1455">
        <f>Сектора[[#This Row],[Значение]]</f>
        <v>169675</v>
      </c>
      <c r="L1455" t="str">
        <f t="shared" si="22"/>
        <v>INSERT INTO msfo.statements (id_company, id_year, id_showing, value) VALUES (12,5,6,169675);</v>
      </c>
    </row>
    <row r="1456" spans="1:12">
      <c r="A1456" s="28" t="s">
        <v>46</v>
      </c>
      <c r="B1456" s="28" t="s">
        <v>33</v>
      </c>
      <c r="C1456" s="28">
        <v>2016</v>
      </c>
      <c r="D1456" s="28" t="s">
        <v>1</v>
      </c>
      <c r="E1456" s="28" t="s">
        <v>9</v>
      </c>
      <c r="F1456" s="28">
        <v>108791</v>
      </c>
      <c r="H1456">
        <f>VLOOKUP(A1456&amp;B1456,ticker_sector[],2,FALSE)</f>
        <v>12</v>
      </c>
      <c r="I1456">
        <f>VLOOKUP(C1456,year[],2,FALSE)</f>
        <v>6</v>
      </c>
      <c r="J1456">
        <f>VLOOKUP(E1456,showing[],2,FALSE)</f>
        <v>6</v>
      </c>
      <c r="K1456">
        <f>Сектора[[#This Row],[Значение]]</f>
        <v>108791</v>
      </c>
      <c r="L1456" t="str">
        <f t="shared" si="22"/>
        <v>INSERT INTO msfo.statements (id_company, id_year, id_showing, value) VALUES (12,6,6,108791);</v>
      </c>
    </row>
    <row r="1457" spans="1:12">
      <c r="A1457" s="28" t="s">
        <v>46</v>
      </c>
      <c r="B1457" s="28" t="s">
        <v>33</v>
      </c>
      <c r="C1457" s="28">
        <v>2017</v>
      </c>
      <c r="D1457" s="28" t="s">
        <v>1</v>
      </c>
      <c r="E1457" s="28" t="s">
        <v>9</v>
      </c>
      <c r="F1457" s="28">
        <v>83958</v>
      </c>
      <c r="H1457">
        <f>VLOOKUP(A1457&amp;B1457,ticker_sector[],2,FALSE)</f>
        <v>12</v>
      </c>
      <c r="I1457">
        <f>VLOOKUP(C1457,year[],2,FALSE)</f>
        <v>7</v>
      </c>
      <c r="J1457">
        <f>VLOOKUP(E1457,showing[],2,FALSE)</f>
        <v>6</v>
      </c>
      <c r="K1457">
        <f>Сектора[[#This Row],[Значение]]</f>
        <v>83958</v>
      </c>
      <c r="L1457" t="str">
        <f t="shared" si="22"/>
        <v>INSERT INTO msfo.statements (id_company, id_year, id_showing, value) VALUES (12,7,6,83958);</v>
      </c>
    </row>
    <row r="1458" spans="1:12">
      <c r="A1458" s="28" t="s">
        <v>46</v>
      </c>
      <c r="B1458" s="28" t="s">
        <v>33</v>
      </c>
      <c r="C1458" s="28">
        <v>2010</v>
      </c>
      <c r="D1458" s="28" t="s">
        <v>1</v>
      </c>
      <c r="E1458" s="28" t="s">
        <v>10</v>
      </c>
      <c r="F1458" s="28">
        <v>285173</v>
      </c>
      <c r="H1458">
        <f>VLOOKUP(A1458&amp;B1458,ticker_sector[],2,FALSE)</f>
        <v>12</v>
      </c>
      <c r="I1458">
        <f>VLOOKUP(C1458,year[],2,FALSE)</f>
        <v>0</v>
      </c>
      <c r="J1458">
        <f>VLOOKUP(E1458,showing[],2,FALSE)</f>
        <v>7</v>
      </c>
      <c r="K1458">
        <f>Сектора[[#This Row],[Значение]]</f>
        <v>285173</v>
      </c>
      <c r="L1458" t="str">
        <f t="shared" si="22"/>
        <v>INSERT INTO msfo.statements (id_company, id_year, id_showing, value) VALUES (12,0,7,285173);</v>
      </c>
    </row>
    <row r="1459" spans="1:12">
      <c r="A1459" s="28" t="s">
        <v>46</v>
      </c>
      <c r="B1459" s="28" t="s">
        <v>33</v>
      </c>
      <c r="C1459" s="28">
        <v>2011</v>
      </c>
      <c r="D1459" s="28" t="s">
        <v>1</v>
      </c>
      <c r="E1459" s="28" t="s">
        <v>10</v>
      </c>
      <c r="F1459" s="28">
        <v>383432</v>
      </c>
      <c r="H1459">
        <f>VLOOKUP(A1459&amp;B1459,ticker_sector[],2,FALSE)</f>
        <v>12</v>
      </c>
      <c r="I1459">
        <f>VLOOKUP(C1459,year[],2,FALSE)</f>
        <v>1</v>
      </c>
      <c r="J1459">
        <f>VLOOKUP(E1459,showing[],2,FALSE)</f>
        <v>7</v>
      </c>
      <c r="K1459">
        <f>Сектора[[#This Row],[Значение]]</f>
        <v>383432</v>
      </c>
      <c r="L1459" t="str">
        <f t="shared" si="22"/>
        <v>INSERT INTO msfo.statements (id_company, id_year, id_showing, value) VALUES (12,1,7,383432);</v>
      </c>
    </row>
    <row r="1460" spans="1:12">
      <c r="A1460" s="28" t="s">
        <v>46</v>
      </c>
      <c r="B1460" s="28" t="s">
        <v>33</v>
      </c>
      <c r="C1460" s="28">
        <v>2012</v>
      </c>
      <c r="D1460" s="28" t="s">
        <v>1</v>
      </c>
      <c r="E1460" s="28" t="s">
        <v>10</v>
      </c>
      <c r="F1460" s="28">
        <v>463133</v>
      </c>
      <c r="H1460">
        <f>VLOOKUP(A1460&amp;B1460,ticker_sector[],2,FALSE)</f>
        <v>12</v>
      </c>
      <c r="I1460">
        <f>VLOOKUP(C1460,year[],2,FALSE)</f>
        <v>2</v>
      </c>
      <c r="J1460">
        <f>VLOOKUP(E1460,showing[],2,FALSE)</f>
        <v>7</v>
      </c>
      <c r="K1460">
        <f>Сектора[[#This Row],[Значение]]</f>
        <v>463133</v>
      </c>
      <c r="L1460" t="str">
        <f t="shared" si="22"/>
        <v>INSERT INTO msfo.statements (id_company, id_year, id_showing, value) VALUES (12,2,7,463133);</v>
      </c>
    </row>
    <row r="1461" spans="1:12">
      <c r="A1461" s="28" t="s">
        <v>46</v>
      </c>
      <c r="B1461" s="28" t="s">
        <v>33</v>
      </c>
      <c r="C1461" s="28">
        <v>2013</v>
      </c>
      <c r="D1461" s="28" t="s">
        <v>1</v>
      </c>
      <c r="E1461" s="28" t="s">
        <v>10</v>
      </c>
      <c r="F1461" s="28">
        <v>597995</v>
      </c>
      <c r="H1461">
        <f>VLOOKUP(A1461&amp;B1461,ticker_sector[],2,FALSE)</f>
        <v>12</v>
      </c>
      <c r="I1461">
        <f>VLOOKUP(C1461,year[],2,FALSE)</f>
        <v>3</v>
      </c>
      <c r="J1461">
        <f>VLOOKUP(E1461,showing[],2,FALSE)</f>
        <v>7</v>
      </c>
      <c r="K1461">
        <f>Сектора[[#This Row],[Значение]]</f>
        <v>597995</v>
      </c>
      <c r="L1461" t="str">
        <f t="shared" si="22"/>
        <v>INSERT INTO msfo.statements (id_company, id_year, id_showing, value) VALUES (12,3,7,597995);</v>
      </c>
    </row>
    <row r="1462" spans="1:12">
      <c r="A1462" s="28" t="s">
        <v>46</v>
      </c>
      <c r="B1462" s="28" t="s">
        <v>33</v>
      </c>
      <c r="C1462" s="28">
        <v>2014</v>
      </c>
      <c r="D1462" s="28" t="s">
        <v>1</v>
      </c>
      <c r="E1462" s="28" t="s">
        <v>10</v>
      </c>
      <c r="F1462" s="28">
        <v>699139</v>
      </c>
      <c r="H1462">
        <f>VLOOKUP(A1462&amp;B1462,ticker_sector[],2,FALSE)</f>
        <v>12</v>
      </c>
      <c r="I1462">
        <f>VLOOKUP(C1462,year[],2,FALSE)</f>
        <v>4</v>
      </c>
      <c r="J1462">
        <f>VLOOKUP(E1462,showing[],2,FALSE)</f>
        <v>7</v>
      </c>
      <c r="K1462">
        <f>Сектора[[#This Row],[Значение]]</f>
        <v>699139</v>
      </c>
      <c r="L1462" t="str">
        <f t="shared" si="22"/>
        <v>INSERT INTO msfo.statements (id_company, id_year, id_showing, value) VALUES (12,4,7,699139);</v>
      </c>
    </row>
    <row r="1463" spans="1:12">
      <c r="A1463" s="28" t="s">
        <v>46</v>
      </c>
      <c r="B1463" s="28" t="s">
        <v>33</v>
      </c>
      <c r="C1463" s="28">
        <v>2015</v>
      </c>
      <c r="D1463" s="28" t="s">
        <v>1</v>
      </c>
      <c r="E1463" s="28" t="s">
        <v>10</v>
      </c>
      <c r="F1463" s="28">
        <v>880024</v>
      </c>
      <c r="H1463">
        <f>VLOOKUP(A1463&amp;B1463,ticker_sector[],2,FALSE)</f>
        <v>12</v>
      </c>
      <c r="I1463">
        <f>VLOOKUP(C1463,year[],2,FALSE)</f>
        <v>5</v>
      </c>
      <c r="J1463">
        <f>VLOOKUP(E1463,showing[],2,FALSE)</f>
        <v>7</v>
      </c>
      <c r="K1463">
        <f>Сектора[[#This Row],[Значение]]</f>
        <v>880024</v>
      </c>
      <c r="L1463" t="str">
        <f t="shared" si="22"/>
        <v>INSERT INTO msfo.statements (id_company, id_year, id_showing, value) VALUES (12,5,7,880024);</v>
      </c>
    </row>
    <row r="1464" spans="1:12">
      <c r="A1464" s="28" t="s">
        <v>46</v>
      </c>
      <c r="B1464" s="28" t="s">
        <v>33</v>
      </c>
      <c r="C1464" s="28">
        <v>2016</v>
      </c>
      <c r="D1464" s="28" t="s">
        <v>1</v>
      </c>
      <c r="E1464" s="28" t="s">
        <v>10</v>
      </c>
      <c r="F1464" s="28">
        <v>963834</v>
      </c>
      <c r="H1464">
        <f>VLOOKUP(A1464&amp;B1464,ticker_sector[],2,FALSE)</f>
        <v>12</v>
      </c>
      <c r="I1464">
        <f>VLOOKUP(C1464,year[],2,FALSE)</f>
        <v>6</v>
      </c>
      <c r="J1464">
        <f>VLOOKUP(E1464,showing[],2,FALSE)</f>
        <v>7</v>
      </c>
      <c r="K1464">
        <f>Сектора[[#This Row],[Значение]]</f>
        <v>963834</v>
      </c>
      <c r="L1464" t="str">
        <f t="shared" si="22"/>
        <v>INSERT INTO msfo.statements (id_company, id_year, id_showing, value) VALUES (12,6,7,963834);</v>
      </c>
    </row>
    <row r="1465" spans="1:12">
      <c r="A1465" s="28" t="s">
        <v>46</v>
      </c>
      <c r="B1465" s="28" t="s">
        <v>33</v>
      </c>
      <c r="C1465" s="28">
        <v>2017</v>
      </c>
      <c r="D1465" s="28" t="s">
        <v>1</v>
      </c>
      <c r="E1465" s="28" t="s">
        <v>10</v>
      </c>
      <c r="F1465" s="28">
        <v>1044162</v>
      </c>
      <c r="H1465">
        <f>VLOOKUP(A1465&amp;B1465,ticker_sector[],2,FALSE)</f>
        <v>12</v>
      </c>
      <c r="I1465">
        <f>VLOOKUP(C1465,year[],2,FALSE)</f>
        <v>7</v>
      </c>
      <c r="J1465">
        <f>VLOOKUP(E1465,showing[],2,FALSE)</f>
        <v>7</v>
      </c>
      <c r="K1465">
        <f>Сектора[[#This Row],[Значение]]</f>
        <v>1044162</v>
      </c>
      <c r="L1465" t="str">
        <f t="shared" si="22"/>
        <v>INSERT INTO msfo.statements (id_company, id_year, id_showing, value) VALUES (12,7,7,1044162);</v>
      </c>
    </row>
    <row r="1466" spans="1:12">
      <c r="A1466" s="28" t="s">
        <v>46</v>
      </c>
      <c r="B1466" s="28" t="s">
        <v>33</v>
      </c>
      <c r="C1466" s="28">
        <v>2010</v>
      </c>
      <c r="D1466" s="28" t="s">
        <v>1</v>
      </c>
      <c r="E1466" s="28" t="s">
        <v>11</v>
      </c>
      <c r="F1466" s="28">
        <v>0.41163434125951615</v>
      </c>
      <c r="H1466">
        <f>VLOOKUP(A1466&amp;B1466,ticker_sector[],2,FALSE)</f>
        <v>12</v>
      </c>
      <c r="I1466">
        <f>VLOOKUP(C1466,year[],2,FALSE)</f>
        <v>0</v>
      </c>
      <c r="J1466">
        <f>VLOOKUP(E1466,showing[],2,FALSE)</f>
        <v>8</v>
      </c>
      <c r="K1466">
        <f>Сектора[[#This Row],[Значение]]</f>
        <v>0.41163434125951615</v>
      </c>
      <c r="L1466" t="str">
        <f t="shared" si="22"/>
        <v>INSERT INTO msfo.statements (id_company, id_year, id_showing, value) VALUES (12,0,8,0,411634341259516);</v>
      </c>
    </row>
    <row r="1467" spans="1:12">
      <c r="A1467" s="28" t="s">
        <v>46</v>
      </c>
      <c r="B1467" s="28" t="s">
        <v>33</v>
      </c>
      <c r="C1467" s="28">
        <v>2011</v>
      </c>
      <c r="D1467" s="28" t="s">
        <v>1</v>
      </c>
      <c r="E1467" s="28" t="s">
        <v>11</v>
      </c>
      <c r="F1467" s="28">
        <v>0.36968745435957351</v>
      </c>
      <c r="H1467">
        <f>VLOOKUP(A1467&amp;B1467,ticker_sector[],2,FALSE)</f>
        <v>12</v>
      </c>
      <c r="I1467">
        <f>VLOOKUP(C1467,year[],2,FALSE)</f>
        <v>1</v>
      </c>
      <c r="J1467">
        <f>VLOOKUP(E1467,showing[],2,FALSE)</f>
        <v>8</v>
      </c>
      <c r="K1467">
        <f>Сектора[[#This Row],[Значение]]</f>
        <v>0.36968745435957351</v>
      </c>
      <c r="L1467" t="str">
        <f t="shared" si="22"/>
        <v>INSERT INTO msfo.statements (id_company, id_year, id_showing, value) VALUES (12,1,8,0,369687454359574);</v>
      </c>
    </row>
    <row r="1468" spans="1:12">
      <c r="A1468" s="28" t="s">
        <v>46</v>
      </c>
      <c r="B1468" s="28" t="s">
        <v>33</v>
      </c>
      <c r="C1468" s="28">
        <v>2012</v>
      </c>
      <c r="D1468" s="28" t="s">
        <v>1</v>
      </c>
      <c r="E1468" s="28" t="s">
        <v>11</v>
      </c>
      <c r="F1468" s="28">
        <v>0.37102085146167518</v>
      </c>
      <c r="H1468">
        <f>VLOOKUP(A1468&amp;B1468,ticker_sector[],2,FALSE)</f>
        <v>12</v>
      </c>
      <c r="I1468">
        <f>VLOOKUP(C1468,year[],2,FALSE)</f>
        <v>2</v>
      </c>
      <c r="J1468">
        <f>VLOOKUP(E1468,showing[],2,FALSE)</f>
        <v>8</v>
      </c>
      <c r="K1468">
        <f>Сектора[[#This Row],[Значение]]</f>
        <v>0.37102085146167518</v>
      </c>
      <c r="L1468" t="str">
        <f t="shared" si="22"/>
        <v>INSERT INTO msfo.statements (id_company, id_year, id_showing, value) VALUES (12,2,8,0,371020851461675);</v>
      </c>
    </row>
    <row r="1469" spans="1:12">
      <c r="A1469" s="28" t="s">
        <v>46</v>
      </c>
      <c r="B1469" s="28" t="s">
        <v>33</v>
      </c>
      <c r="C1469" s="28">
        <v>2013</v>
      </c>
      <c r="D1469" s="28" t="s">
        <v>1</v>
      </c>
      <c r="E1469" s="28" t="s">
        <v>11</v>
      </c>
      <c r="F1469" s="28">
        <v>0.37615364676962182</v>
      </c>
      <c r="H1469">
        <f>VLOOKUP(A1469&amp;B1469,ticker_sector[],2,FALSE)</f>
        <v>12</v>
      </c>
      <c r="I1469">
        <f>VLOOKUP(C1469,year[],2,FALSE)</f>
        <v>3</v>
      </c>
      <c r="J1469">
        <f>VLOOKUP(E1469,showing[],2,FALSE)</f>
        <v>8</v>
      </c>
      <c r="K1469">
        <f>Сектора[[#This Row],[Значение]]</f>
        <v>0.37615364676962182</v>
      </c>
      <c r="L1469" t="str">
        <f t="shared" si="22"/>
        <v>INSERT INTO msfo.statements (id_company, id_year, id_showing, value) VALUES (12,3,8,0,376153646769622);</v>
      </c>
    </row>
    <row r="1470" spans="1:12">
      <c r="A1470" s="28" t="s">
        <v>46</v>
      </c>
      <c r="B1470" s="28" t="s">
        <v>33</v>
      </c>
      <c r="C1470" s="28">
        <v>2014</v>
      </c>
      <c r="D1470" s="28" t="s">
        <v>1</v>
      </c>
      <c r="E1470" s="28" t="s">
        <v>11</v>
      </c>
      <c r="F1470" s="28">
        <v>0.44628464439832422</v>
      </c>
      <c r="H1470">
        <f>VLOOKUP(A1470&amp;B1470,ticker_sector[],2,FALSE)</f>
        <v>12</v>
      </c>
      <c r="I1470">
        <f>VLOOKUP(C1470,year[],2,FALSE)</f>
        <v>4</v>
      </c>
      <c r="J1470">
        <f>VLOOKUP(E1470,showing[],2,FALSE)</f>
        <v>8</v>
      </c>
      <c r="K1470">
        <f>Сектора[[#This Row],[Значение]]</f>
        <v>0.44628464439832422</v>
      </c>
      <c r="L1470" t="str">
        <f t="shared" si="22"/>
        <v>INSERT INTO msfo.statements (id_company, id_year, id_showing, value) VALUES (12,4,8,0,446284644398324);</v>
      </c>
    </row>
    <row r="1471" spans="1:12">
      <c r="A1471" s="28" t="s">
        <v>46</v>
      </c>
      <c r="B1471" s="28" t="s">
        <v>33</v>
      </c>
      <c r="C1471" s="28">
        <v>2015</v>
      </c>
      <c r="D1471" s="28" t="s">
        <v>1</v>
      </c>
      <c r="E1471" s="28" t="s">
        <v>11</v>
      </c>
      <c r="F1471" s="28">
        <v>0.51345531485504936</v>
      </c>
      <c r="H1471">
        <f>VLOOKUP(A1471&amp;B1471,ticker_sector[],2,FALSE)</f>
        <v>12</v>
      </c>
      <c r="I1471">
        <f>VLOOKUP(C1471,year[],2,FALSE)</f>
        <v>5</v>
      </c>
      <c r="J1471">
        <f>VLOOKUP(E1471,showing[],2,FALSE)</f>
        <v>8</v>
      </c>
      <c r="K1471">
        <f>Сектора[[#This Row],[Значение]]</f>
        <v>0.51345531485504936</v>
      </c>
      <c r="L1471" t="str">
        <f t="shared" si="22"/>
        <v>INSERT INTO msfo.statements (id_company, id_year, id_showing, value) VALUES (12,5,8,0,513455314855049);</v>
      </c>
    </row>
    <row r="1472" spans="1:12">
      <c r="A1472" s="28" t="s">
        <v>46</v>
      </c>
      <c r="B1472" s="28" t="s">
        <v>33</v>
      </c>
      <c r="C1472" s="28">
        <v>2016</v>
      </c>
      <c r="D1472" s="28" t="s">
        <v>1</v>
      </c>
      <c r="E1472" s="28" t="s">
        <v>11</v>
      </c>
      <c r="F1472" s="28">
        <v>0.31760033366741575</v>
      </c>
      <c r="H1472">
        <f>VLOOKUP(A1472&amp;B1472,ticker_sector[],2,FALSE)</f>
        <v>12</v>
      </c>
      <c r="I1472">
        <f>VLOOKUP(C1472,year[],2,FALSE)</f>
        <v>6</v>
      </c>
      <c r="J1472">
        <f>VLOOKUP(E1472,showing[],2,FALSE)</f>
        <v>8</v>
      </c>
      <c r="K1472">
        <f>Сектора[[#This Row],[Значение]]</f>
        <v>0.31760033366741575</v>
      </c>
      <c r="L1472" t="str">
        <f t="shared" si="22"/>
        <v>INSERT INTO msfo.statements (id_company, id_year, id_showing, value) VALUES (12,6,8,0,317600333667416);</v>
      </c>
    </row>
    <row r="1473" spans="1:12">
      <c r="A1473" s="28" t="s">
        <v>46</v>
      </c>
      <c r="B1473" s="28" t="s">
        <v>33</v>
      </c>
      <c r="C1473" s="28">
        <v>2017</v>
      </c>
      <c r="D1473" s="28" t="s">
        <v>1</v>
      </c>
      <c r="E1473" s="28" t="s">
        <v>11</v>
      </c>
      <c r="F1473" s="28">
        <v>0.25714687950720289</v>
      </c>
      <c r="H1473">
        <f>VLOOKUP(A1473&amp;B1473,ticker_sector[],2,FALSE)</f>
        <v>12</v>
      </c>
      <c r="I1473">
        <f>VLOOKUP(C1473,year[],2,FALSE)</f>
        <v>7</v>
      </c>
      <c r="J1473">
        <f>VLOOKUP(E1473,showing[],2,FALSE)</f>
        <v>8</v>
      </c>
      <c r="K1473">
        <f>Сектора[[#This Row],[Значение]]</f>
        <v>0.25714687950720289</v>
      </c>
      <c r="L1473" t="str">
        <f t="shared" si="22"/>
        <v>INSERT INTO msfo.statements (id_company, id_year, id_showing, value) VALUES (12,7,8,0,257146879507203);</v>
      </c>
    </row>
    <row r="1474" spans="1:12">
      <c r="A1474" s="28" t="s">
        <v>46</v>
      </c>
      <c r="B1474" s="28" t="s">
        <v>33</v>
      </c>
      <c r="C1474" s="28">
        <v>2010</v>
      </c>
      <c r="D1474" s="28" t="s">
        <v>4</v>
      </c>
      <c r="E1474" s="28" t="s">
        <v>12</v>
      </c>
      <c r="F1474" s="28">
        <v>117024</v>
      </c>
      <c r="H1474">
        <f>VLOOKUP(A1474&amp;B1474,ticker_sector[],2,FALSE)</f>
        <v>12</v>
      </c>
      <c r="I1474">
        <f>VLOOKUP(C1474,year[],2,FALSE)</f>
        <v>0</v>
      </c>
      <c r="J1474">
        <f>VLOOKUP(E1474,showing[],2,FALSE)</f>
        <v>9</v>
      </c>
      <c r="K1474">
        <f>Сектора[[#This Row],[Значение]]</f>
        <v>117024</v>
      </c>
      <c r="L1474" t="str">
        <f t="shared" si="22"/>
        <v>INSERT INTO msfo.statements (id_company, id_year, id_showing, value) VALUES (12,0,9,117024);</v>
      </c>
    </row>
    <row r="1475" spans="1:12">
      <c r="A1475" s="28" t="s">
        <v>46</v>
      </c>
      <c r="B1475" s="28" t="s">
        <v>33</v>
      </c>
      <c r="C1475" s="28">
        <v>2011</v>
      </c>
      <c r="D1475" s="28" t="s">
        <v>4</v>
      </c>
      <c r="E1475" s="28" t="s">
        <v>12</v>
      </c>
      <c r="F1475" s="28">
        <v>176064</v>
      </c>
      <c r="H1475">
        <f>VLOOKUP(A1475&amp;B1475,ticker_sector[],2,FALSE)</f>
        <v>12</v>
      </c>
      <c r="I1475">
        <f>VLOOKUP(C1475,year[],2,FALSE)</f>
        <v>1</v>
      </c>
      <c r="J1475">
        <f>VLOOKUP(E1475,showing[],2,FALSE)</f>
        <v>9</v>
      </c>
      <c r="K1475">
        <f>Сектора[[#This Row],[Значение]]</f>
        <v>176064</v>
      </c>
      <c r="L1475" t="str">
        <f t="shared" ref="L1475:L1538" si="23">"INSERT INTO msfo.statements (id_company, id_year, id_showing, value) VALUES ("&amp;H1475&amp; ","&amp;I1475&amp; ","&amp;J1475&amp; ","&amp;K1475&amp;");"</f>
        <v>INSERT INTO msfo.statements (id_company, id_year, id_showing, value) VALUES (12,1,9,176064);</v>
      </c>
    </row>
    <row r="1476" spans="1:12">
      <c r="A1476" s="28" t="s">
        <v>46</v>
      </c>
      <c r="B1476" s="28" t="s">
        <v>33</v>
      </c>
      <c r="C1476" s="28">
        <v>2012</v>
      </c>
      <c r="D1476" s="28" t="s">
        <v>4</v>
      </c>
      <c r="E1476" s="28" t="s">
        <v>12</v>
      </c>
      <c r="F1476" s="28">
        <v>210973</v>
      </c>
      <c r="H1476">
        <f>VLOOKUP(A1476&amp;B1476,ticker_sector[],2,FALSE)</f>
        <v>12</v>
      </c>
      <c r="I1476">
        <f>VLOOKUP(C1476,year[],2,FALSE)</f>
        <v>2</v>
      </c>
      <c r="J1476">
        <f>VLOOKUP(E1476,showing[],2,FALSE)</f>
        <v>9</v>
      </c>
      <c r="K1476">
        <f>Сектора[[#This Row],[Значение]]</f>
        <v>210973</v>
      </c>
      <c r="L1476" t="str">
        <f t="shared" si="23"/>
        <v>INSERT INTO msfo.statements (id_company, id_year, id_showing, value) VALUES (12,2,9,210973);</v>
      </c>
    </row>
    <row r="1477" spans="1:12">
      <c r="A1477" s="28" t="s">
        <v>46</v>
      </c>
      <c r="B1477" s="28" t="s">
        <v>33</v>
      </c>
      <c r="C1477" s="28">
        <v>2013</v>
      </c>
      <c r="D1477" s="28" t="s">
        <v>4</v>
      </c>
      <c r="E1477" s="28" t="s">
        <v>12</v>
      </c>
      <c r="F1477" s="28">
        <v>298158</v>
      </c>
      <c r="H1477">
        <f>VLOOKUP(A1477&amp;B1477,ticker_sector[],2,FALSE)</f>
        <v>12</v>
      </c>
      <c r="I1477">
        <f>VLOOKUP(C1477,year[],2,FALSE)</f>
        <v>3</v>
      </c>
      <c r="J1477">
        <f>VLOOKUP(E1477,showing[],2,FALSE)</f>
        <v>9</v>
      </c>
      <c r="K1477">
        <f>Сектора[[#This Row],[Значение]]</f>
        <v>298158</v>
      </c>
      <c r="L1477" t="str">
        <f t="shared" si="23"/>
        <v>INSERT INTO msfo.statements (id_company, id_year, id_showing, value) VALUES (12,3,9,298158);</v>
      </c>
    </row>
    <row r="1478" spans="1:12">
      <c r="A1478" s="28" t="s">
        <v>46</v>
      </c>
      <c r="B1478" s="28" t="s">
        <v>33</v>
      </c>
      <c r="C1478" s="28">
        <v>2014</v>
      </c>
      <c r="D1478" s="28" t="s">
        <v>4</v>
      </c>
      <c r="E1478" s="28" t="s">
        <v>12</v>
      </c>
      <c r="F1478" s="28">
        <v>357643</v>
      </c>
      <c r="H1478">
        <f>VLOOKUP(A1478&amp;B1478,ticker_sector[],2,FALSE)</f>
        <v>12</v>
      </c>
      <c r="I1478">
        <f>VLOOKUP(C1478,year[],2,FALSE)</f>
        <v>4</v>
      </c>
      <c r="J1478">
        <f>VLOOKUP(E1478,showing[],2,FALSE)</f>
        <v>9</v>
      </c>
      <c r="K1478">
        <f>Сектора[[#This Row],[Значение]]</f>
        <v>357643</v>
      </c>
      <c r="L1478" t="str">
        <f t="shared" si="23"/>
        <v>INSERT INTO msfo.statements (id_company, id_year, id_showing, value) VALUES (12,4,9,357643);</v>
      </c>
    </row>
    <row r="1479" spans="1:12">
      <c r="A1479" s="28" t="s">
        <v>46</v>
      </c>
      <c r="B1479" s="28" t="s">
        <v>33</v>
      </c>
      <c r="C1479" s="28">
        <v>2015</v>
      </c>
      <c r="D1479" s="28" t="s">
        <v>4</v>
      </c>
      <c r="E1479" s="28" t="s">
        <v>12</v>
      </c>
      <c r="F1479" s="28">
        <v>475325</v>
      </c>
      <c r="H1479">
        <f>VLOOKUP(A1479&amp;B1479,ticker_sector[],2,FALSE)</f>
        <v>12</v>
      </c>
      <c r="I1479">
        <f>VLOOKUP(C1479,year[],2,FALSE)</f>
        <v>5</v>
      </c>
      <c r="J1479">
        <f>VLOOKUP(E1479,showing[],2,FALSE)</f>
        <v>9</v>
      </c>
      <c r="K1479">
        <f>Сектора[[#This Row],[Значение]]</f>
        <v>475325</v>
      </c>
      <c r="L1479" t="str">
        <f t="shared" si="23"/>
        <v>INSERT INTO msfo.statements (id_company, id_year, id_showing, value) VALUES (12,5,9,475325);</v>
      </c>
    </row>
    <row r="1480" spans="1:12">
      <c r="A1480" s="28" t="s">
        <v>46</v>
      </c>
      <c r="B1480" s="28" t="s">
        <v>33</v>
      </c>
      <c r="C1480" s="28">
        <v>2016</v>
      </c>
      <c r="D1480" s="28" t="s">
        <v>4</v>
      </c>
      <c r="E1480" s="28" t="s">
        <v>12</v>
      </c>
      <c r="F1480" s="28">
        <v>537472</v>
      </c>
      <c r="H1480">
        <f>VLOOKUP(A1480&amp;B1480,ticker_sector[],2,FALSE)</f>
        <v>12</v>
      </c>
      <c r="I1480">
        <f>VLOOKUP(C1480,year[],2,FALSE)</f>
        <v>6</v>
      </c>
      <c r="J1480">
        <f>VLOOKUP(E1480,showing[],2,FALSE)</f>
        <v>9</v>
      </c>
      <c r="K1480">
        <f>Сектора[[#This Row],[Значение]]</f>
        <v>537472</v>
      </c>
      <c r="L1480" t="str">
        <f t="shared" si="23"/>
        <v>INSERT INTO msfo.statements (id_company, id_year, id_showing, value) VALUES (12,6,9,537472);</v>
      </c>
    </row>
    <row r="1481" spans="1:12">
      <c r="A1481" s="28" t="s">
        <v>46</v>
      </c>
      <c r="B1481" s="28" t="s">
        <v>33</v>
      </c>
      <c r="C1481" s="28">
        <v>2017</v>
      </c>
      <c r="D1481" s="28" t="s">
        <v>4</v>
      </c>
      <c r="E1481" s="28" t="s">
        <v>12</v>
      </c>
      <c r="F1481" s="28">
        <v>583186</v>
      </c>
      <c r="H1481">
        <f>VLOOKUP(A1481&amp;B1481,ticker_sector[],2,FALSE)</f>
        <v>12</v>
      </c>
      <c r="I1481">
        <f>VLOOKUP(C1481,year[],2,FALSE)</f>
        <v>7</v>
      </c>
      <c r="J1481">
        <f>VLOOKUP(E1481,showing[],2,FALSE)</f>
        <v>9</v>
      </c>
      <c r="K1481">
        <f>Сектора[[#This Row],[Значение]]</f>
        <v>583186</v>
      </c>
      <c r="L1481" t="str">
        <f t="shared" si="23"/>
        <v>INSERT INTO msfo.statements (id_company, id_year, id_showing, value) VALUES (12,7,9,583186);</v>
      </c>
    </row>
    <row r="1482" spans="1:12">
      <c r="A1482" s="28" t="s">
        <v>46</v>
      </c>
      <c r="B1482" s="28" t="s">
        <v>33</v>
      </c>
      <c r="C1482" s="28">
        <v>2010</v>
      </c>
      <c r="D1482" s="28" t="s">
        <v>4</v>
      </c>
      <c r="E1482" s="28" t="s">
        <v>13</v>
      </c>
      <c r="F1482" s="28">
        <v>40278</v>
      </c>
      <c r="H1482">
        <f>VLOOKUP(A1482&amp;B1482,ticker_sector[],2,FALSE)</f>
        <v>12</v>
      </c>
      <c r="I1482">
        <f>VLOOKUP(C1482,year[],2,FALSE)</f>
        <v>0</v>
      </c>
      <c r="J1482">
        <f>VLOOKUP(E1482,showing[],2,FALSE)</f>
        <v>10</v>
      </c>
      <c r="K1482">
        <f>Сектора[[#This Row],[Значение]]</f>
        <v>40278</v>
      </c>
      <c r="L1482" t="str">
        <f t="shared" si="23"/>
        <v>INSERT INTO msfo.statements (id_company, id_year, id_showing, value) VALUES (12,0,10,40278);</v>
      </c>
    </row>
    <row r="1483" spans="1:12">
      <c r="A1483" s="28" t="s">
        <v>46</v>
      </c>
      <c r="B1483" s="28" t="s">
        <v>33</v>
      </c>
      <c r="C1483" s="28">
        <v>2011</v>
      </c>
      <c r="D1483" s="28" t="s">
        <v>4</v>
      </c>
      <c r="E1483" s="28" t="s">
        <v>13</v>
      </c>
      <c r="F1483" s="28">
        <v>119291</v>
      </c>
      <c r="H1483">
        <f>VLOOKUP(A1483&amp;B1483,ticker_sector[],2,FALSE)</f>
        <v>12</v>
      </c>
      <c r="I1483">
        <f>VLOOKUP(C1483,year[],2,FALSE)</f>
        <v>1</v>
      </c>
      <c r="J1483">
        <f>VLOOKUP(E1483,showing[],2,FALSE)</f>
        <v>10</v>
      </c>
      <c r="K1483">
        <f>Сектора[[#This Row],[Значение]]</f>
        <v>119291</v>
      </c>
      <c r="L1483" t="str">
        <f t="shared" si="23"/>
        <v>INSERT INTO msfo.statements (id_company, id_year, id_showing, value) VALUES (12,1,10,119291);</v>
      </c>
    </row>
    <row r="1484" spans="1:12">
      <c r="A1484" s="28" t="s">
        <v>46</v>
      </c>
      <c r="B1484" s="28" t="s">
        <v>33</v>
      </c>
      <c r="C1484" s="28">
        <v>2012</v>
      </c>
      <c r="D1484" s="28" t="s">
        <v>4</v>
      </c>
      <c r="E1484" s="28" t="s">
        <v>13</v>
      </c>
      <c r="F1484" s="28">
        <v>69441</v>
      </c>
      <c r="H1484">
        <f>VLOOKUP(A1484&amp;B1484,ticker_sector[],2,FALSE)</f>
        <v>12</v>
      </c>
      <c r="I1484">
        <f>VLOOKUP(C1484,year[],2,FALSE)</f>
        <v>2</v>
      </c>
      <c r="J1484">
        <f>VLOOKUP(E1484,showing[],2,FALSE)</f>
        <v>10</v>
      </c>
      <c r="K1484">
        <f>Сектора[[#This Row],[Значение]]</f>
        <v>69441</v>
      </c>
      <c r="L1484" t="str">
        <f t="shared" si="23"/>
        <v>INSERT INTO msfo.statements (id_company, id_year, id_showing, value) VALUES (12,2,10,69441);</v>
      </c>
    </row>
    <row r="1485" spans="1:12">
      <c r="A1485" s="28" t="s">
        <v>46</v>
      </c>
      <c r="B1485" s="28" t="s">
        <v>33</v>
      </c>
      <c r="C1485" s="28">
        <v>2013</v>
      </c>
      <c r="D1485" s="28" t="s">
        <v>4</v>
      </c>
      <c r="E1485" s="28" t="s">
        <v>13</v>
      </c>
      <c r="F1485" s="28">
        <v>109945</v>
      </c>
      <c r="H1485">
        <f>VLOOKUP(A1485&amp;B1485,ticker_sector[],2,FALSE)</f>
        <v>12</v>
      </c>
      <c r="I1485">
        <f>VLOOKUP(C1485,year[],2,FALSE)</f>
        <v>3</v>
      </c>
      <c r="J1485">
        <f>VLOOKUP(E1485,showing[],2,FALSE)</f>
        <v>10</v>
      </c>
      <c r="K1485">
        <f>Сектора[[#This Row],[Значение]]</f>
        <v>109945</v>
      </c>
      <c r="L1485" t="str">
        <f t="shared" si="23"/>
        <v>INSERT INTO msfo.statements (id_company, id_year, id_showing, value) VALUES (12,3,10,109945);</v>
      </c>
    </row>
    <row r="1486" spans="1:12">
      <c r="A1486" s="28" t="s">
        <v>46</v>
      </c>
      <c r="B1486" s="28" t="s">
        <v>33</v>
      </c>
      <c r="C1486" s="28">
        <v>2014</v>
      </c>
      <c r="D1486" s="28" t="s">
        <v>4</v>
      </c>
      <c r="E1486" s="28" t="s">
        <v>13</v>
      </c>
      <c r="F1486" s="28">
        <v>36915</v>
      </c>
      <c r="H1486">
        <f>VLOOKUP(A1486&amp;B1486,ticker_sector[],2,FALSE)</f>
        <v>12</v>
      </c>
      <c r="I1486">
        <f>VLOOKUP(C1486,year[],2,FALSE)</f>
        <v>4</v>
      </c>
      <c r="J1486">
        <f>VLOOKUP(E1486,showing[],2,FALSE)</f>
        <v>10</v>
      </c>
      <c r="K1486">
        <f>Сектора[[#This Row],[Значение]]</f>
        <v>36915</v>
      </c>
      <c r="L1486" t="str">
        <f t="shared" si="23"/>
        <v>INSERT INTO msfo.statements (id_company, id_year, id_showing, value) VALUES (12,4,10,36915);</v>
      </c>
    </row>
    <row r="1487" spans="1:12">
      <c r="A1487" s="28" t="s">
        <v>46</v>
      </c>
      <c r="B1487" s="28" t="s">
        <v>33</v>
      </c>
      <c r="C1487" s="28">
        <v>2015</v>
      </c>
      <c r="D1487" s="28" t="s">
        <v>4</v>
      </c>
      <c r="E1487" s="28" t="s">
        <v>13</v>
      </c>
      <c r="F1487" s="28">
        <v>74119</v>
      </c>
      <c r="H1487">
        <f>VLOOKUP(A1487&amp;B1487,ticker_sector[],2,FALSE)</f>
        <v>12</v>
      </c>
      <c r="I1487">
        <f>VLOOKUP(C1487,year[],2,FALSE)</f>
        <v>5</v>
      </c>
      <c r="J1487">
        <f>VLOOKUP(E1487,showing[],2,FALSE)</f>
        <v>10</v>
      </c>
      <c r="K1487">
        <f>Сектора[[#This Row],[Значение]]</f>
        <v>74119</v>
      </c>
      <c r="L1487" t="str">
        <f t="shared" si="23"/>
        <v>INSERT INTO msfo.statements (id_company, id_year, id_showing, value) VALUES (12,5,10,74119);</v>
      </c>
    </row>
    <row r="1488" spans="1:12">
      <c r="A1488" s="28" t="s">
        <v>46</v>
      </c>
      <c r="B1488" s="28" t="s">
        <v>33</v>
      </c>
      <c r="C1488" s="28">
        <v>2016</v>
      </c>
      <c r="D1488" s="28" t="s">
        <v>4</v>
      </c>
      <c r="E1488" s="28" t="s">
        <v>13</v>
      </c>
      <c r="F1488" s="28">
        <v>265073</v>
      </c>
      <c r="H1488">
        <f>VLOOKUP(A1488&amp;B1488,ticker_sector[],2,FALSE)</f>
        <v>12</v>
      </c>
      <c r="I1488">
        <f>VLOOKUP(C1488,year[],2,FALSE)</f>
        <v>6</v>
      </c>
      <c r="J1488">
        <f>VLOOKUP(E1488,showing[],2,FALSE)</f>
        <v>10</v>
      </c>
      <c r="K1488">
        <f>Сектора[[#This Row],[Значение]]</f>
        <v>265073</v>
      </c>
      <c r="L1488" t="str">
        <f t="shared" si="23"/>
        <v>INSERT INTO msfo.statements (id_company, id_year, id_showing, value) VALUES (12,6,10,265073);</v>
      </c>
    </row>
    <row r="1489" spans="1:12">
      <c r="A1489" s="28" t="s">
        <v>46</v>
      </c>
      <c r="B1489" s="28" t="s">
        <v>33</v>
      </c>
      <c r="C1489" s="28">
        <v>2017</v>
      </c>
      <c r="D1489" s="28" t="s">
        <v>4</v>
      </c>
      <c r="E1489" s="28" t="s">
        <v>13</v>
      </c>
      <c r="F1489" s="28">
        <v>166470</v>
      </c>
      <c r="H1489">
        <f>VLOOKUP(A1489&amp;B1489,ticker_sector[],2,FALSE)</f>
        <v>12</v>
      </c>
      <c r="I1489">
        <f>VLOOKUP(C1489,year[],2,FALSE)</f>
        <v>7</v>
      </c>
      <c r="J1489">
        <f>VLOOKUP(E1489,showing[],2,FALSE)</f>
        <v>10</v>
      </c>
      <c r="K1489">
        <f>Сектора[[#This Row],[Значение]]</f>
        <v>166470</v>
      </c>
      <c r="L1489" t="str">
        <f t="shared" si="23"/>
        <v>INSERT INTO msfo.statements (id_company, id_year, id_showing, value) VALUES (12,7,10,166470);</v>
      </c>
    </row>
    <row r="1490" spans="1:12">
      <c r="A1490" s="28" t="s">
        <v>46</v>
      </c>
      <c r="B1490" s="28" t="s">
        <v>33</v>
      </c>
      <c r="C1490" s="28">
        <v>2010</v>
      </c>
      <c r="D1490" s="28" t="s">
        <v>4</v>
      </c>
      <c r="E1490" s="28" t="s">
        <v>14</v>
      </c>
      <c r="F1490" s="28">
        <v>3839.7606055734013</v>
      </c>
      <c r="H1490">
        <f>VLOOKUP(A1490&amp;B1490,ticker_sector[],2,FALSE)</f>
        <v>12</v>
      </c>
      <c r="I1490">
        <f>VLOOKUP(C1490,year[],2,FALSE)</f>
        <v>0</v>
      </c>
      <c r="J1490">
        <f>VLOOKUP(E1490,showing[],2,FALSE)</f>
        <v>11</v>
      </c>
      <c r="K1490">
        <f>Сектора[[#This Row],[Значение]]</f>
        <v>3839.7606055734013</v>
      </c>
      <c r="L1490" t="str">
        <f t="shared" si="23"/>
        <v>INSERT INTO msfo.statements (id_company, id_year, id_showing, value) VALUES (12,0,11,3839,7606055734);</v>
      </c>
    </row>
    <row r="1491" spans="1:12">
      <c r="A1491" s="28" t="s">
        <v>46</v>
      </c>
      <c r="B1491" s="28" t="s">
        <v>33</v>
      </c>
      <c r="C1491" s="28">
        <v>2011</v>
      </c>
      <c r="D1491" s="28" t="s">
        <v>4</v>
      </c>
      <c r="E1491" s="28" t="s">
        <v>14</v>
      </c>
      <c r="F1491" s="28">
        <v>5468.4884194048345</v>
      </c>
      <c r="H1491">
        <f>VLOOKUP(A1491&amp;B1491,ticker_sector[],2,FALSE)</f>
        <v>12</v>
      </c>
      <c r="I1491">
        <f>VLOOKUP(C1491,year[],2,FALSE)</f>
        <v>1</v>
      </c>
      <c r="J1491">
        <f>VLOOKUP(E1491,showing[],2,FALSE)</f>
        <v>11</v>
      </c>
      <c r="K1491">
        <f>Сектора[[#This Row],[Значение]]</f>
        <v>5468.4884194048345</v>
      </c>
      <c r="L1491" t="str">
        <f t="shared" si="23"/>
        <v>INSERT INTO msfo.statements (id_company, id_year, id_showing, value) VALUES (12,1,11,5468,48841940483);</v>
      </c>
    </row>
    <row r="1492" spans="1:12">
      <c r="A1492" s="28" t="s">
        <v>46</v>
      </c>
      <c r="B1492" s="28" t="s">
        <v>33</v>
      </c>
      <c r="C1492" s="28">
        <v>2012</v>
      </c>
      <c r="D1492" s="28" t="s">
        <v>4</v>
      </c>
      <c r="E1492" s="28" t="s">
        <v>14</v>
      </c>
      <c r="F1492" s="28">
        <v>6946.1391315227165</v>
      </c>
      <c r="H1492">
        <f>VLOOKUP(A1492&amp;B1492,ticker_sector[],2,FALSE)</f>
        <v>12</v>
      </c>
      <c r="I1492">
        <f>VLOOKUP(C1492,year[],2,FALSE)</f>
        <v>2</v>
      </c>
      <c r="J1492">
        <f>VLOOKUP(E1492,showing[],2,FALSE)</f>
        <v>11</v>
      </c>
      <c r="K1492">
        <f>Сектора[[#This Row],[Значение]]</f>
        <v>6946.1391315227165</v>
      </c>
      <c r="L1492" t="str">
        <f t="shared" si="23"/>
        <v>INSERT INTO msfo.statements (id_company, id_year, id_showing, value) VALUES (12,2,11,6946,13913152272);</v>
      </c>
    </row>
    <row r="1493" spans="1:12">
      <c r="A1493" s="28" t="s">
        <v>46</v>
      </c>
      <c r="B1493" s="28" t="s">
        <v>33</v>
      </c>
      <c r="C1493" s="28">
        <v>2013</v>
      </c>
      <c r="D1493" s="28" t="s">
        <v>4</v>
      </c>
      <c r="E1493" s="28" t="s">
        <v>14</v>
      </c>
      <c r="F1493" s="28">
        <v>9109.8468645735302</v>
      </c>
      <c r="H1493">
        <f>VLOOKUP(A1493&amp;B1493,ticker_sector[],2,FALSE)</f>
        <v>12</v>
      </c>
      <c r="I1493">
        <f>VLOOKUP(C1493,year[],2,FALSE)</f>
        <v>3</v>
      </c>
      <c r="J1493">
        <f>VLOOKUP(E1493,showing[],2,FALSE)</f>
        <v>11</v>
      </c>
      <c r="K1493">
        <f>Сектора[[#This Row],[Значение]]</f>
        <v>9109.8468645735302</v>
      </c>
      <c r="L1493" t="str">
        <f t="shared" si="23"/>
        <v>INSERT INTO msfo.statements (id_company, id_year, id_showing, value) VALUES (12,3,11,9109,84686457353);</v>
      </c>
    </row>
    <row r="1494" spans="1:12">
      <c r="A1494" s="28" t="s">
        <v>46</v>
      </c>
      <c r="B1494" s="28" t="s">
        <v>33</v>
      </c>
      <c r="C1494" s="28">
        <v>2014</v>
      </c>
      <c r="D1494" s="28" t="s">
        <v>4</v>
      </c>
      <c r="E1494" s="28" t="s">
        <v>14</v>
      </c>
      <c r="F1494" s="28">
        <v>6357.1484436101982</v>
      </c>
      <c r="H1494">
        <f>VLOOKUP(A1494&amp;B1494,ticker_sector[],2,FALSE)</f>
        <v>12</v>
      </c>
      <c r="I1494">
        <f>VLOOKUP(C1494,year[],2,FALSE)</f>
        <v>4</v>
      </c>
      <c r="J1494">
        <f>VLOOKUP(E1494,showing[],2,FALSE)</f>
        <v>11</v>
      </c>
      <c r="K1494">
        <f>Сектора[[#This Row],[Значение]]</f>
        <v>6357.1484436101982</v>
      </c>
      <c r="L1494" t="str">
        <f t="shared" si="23"/>
        <v>INSERT INTO msfo.statements (id_company, id_year, id_showing, value) VALUES (12,4,11,6357,1484436102);</v>
      </c>
    </row>
    <row r="1495" spans="1:12">
      <c r="A1495" s="28" t="s">
        <v>46</v>
      </c>
      <c r="B1495" s="28" t="s">
        <v>33</v>
      </c>
      <c r="C1495" s="28">
        <v>2015</v>
      </c>
      <c r="D1495" s="28" t="s">
        <v>4</v>
      </c>
      <c r="E1495" s="28" t="s">
        <v>14</v>
      </c>
      <c r="F1495" s="28">
        <v>6521.7808890175584</v>
      </c>
      <c r="H1495">
        <f>VLOOKUP(A1495&amp;B1495,ticker_sector[],2,FALSE)</f>
        <v>12</v>
      </c>
      <c r="I1495">
        <f>VLOOKUP(C1495,year[],2,FALSE)</f>
        <v>5</v>
      </c>
      <c r="J1495">
        <f>VLOOKUP(E1495,showing[],2,FALSE)</f>
        <v>11</v>
      </c>
      <c r="K1495">
        <f>Сектора[[#This Row],[Значение]]</f>
        <v>6521.7808890175584</v>
      </c>
      <c r="L1495" t="str">
        <f t="shared" si="23"/>
        <v>INSERT INTO msfo.statements (id_company, id_year, id_showing, value) VALUES (12,5,11,6521,78088901756);</v>
      </c>
    </row>
    <row r="1496" spans="1:12">
      <c r="A1496" s="28" t="s">
        <v>46</v>
      </c>
      <c r="B1496" s="28" t="s">
        <v>33</v>
      </c>
      <c r="C1496" s="28">
        <v>2016</v>
      </c>
      <c r="D1496" s="28" t="s">
        <v>4</v>
      </c>
      <c r="E1496" s="28" t="s">
        <v>14</v>
      </c>
      <c r="F1496" s="28">
        <v>8860.8550717230846</v>
      </c>
      <c r="H1496">
        <f>VLOOKUP(A1496&amp;B1496,ticker_sector[],2,FALSE)</f>
        <v>12</v>
      </c>
      <c r="I1496">
        <f>VLOOKUP(C1496,year[],2,FALSE)</f>
        <v>6</v>
      </c>
      <c r="J1496">
        <f>VLOOKUP(E1496,showing[],2,FALSE)</f>
        <v>11</v>
      </c>
      <c r="K1496">
        <f>Сектора[[#This Row],[Значение]]</f>
        <v>8860.8550717230846</v>
      </c>
      <c r="L1496" t="str">
        <f t="shared" si="23"/>
        <v>INSERT INTO msfo.statements (id_company, id_year, id_showing, value) VALUES (12,6,11,8860,85507172308);</v>
      </c>
    </row>
    <row r="1497" spans="1:12">
      <c r="A1497" s="28" t="s">
        <v>46</v>
      </c>
      <c r="B1497" s="28" t="s">
        <v>33</v>
      </c>
      <c r="C1497" s="28">
        <v>2017</v>
      </c>
      <c r="D1497" s="28" t="s">
        <v>4</v>
      </c>
      <c r="E1497" s="28" t="s">
        <v>14</v>
      </c>
      <c r="F1497" s="28">
        <v>10124.721789160454</v>
      </c>
      <c r="H1497">
        <f>VLOOKUP(A1497&amp;B1497,ticker_sector[],2,FALSE)</f>
        <v>12</v>
      </c>
      <c r="I1497">
        <f>VLOOKUP(C1497,year[],2,FALSE)</f>
        <v>7</v>
      </c>
      <c r="J1497">
        <f>VLOOKUP(E1497,showing[],2,FALSE)</f>
        <v>11</v>
      </c>
      <c r="K1497">
        <f>Сектора[[#This Row],[Значение]]</f>
        <v>10124.721789160454</v>
      </c>
      <c r="L1497" t="str">
        <f t="shared" si="23"/>
        <v>INSERT INTO msfo.statements (id_company, id_year, id_showing, value) VALUES (12,7,11,10124,7217891605);</v>
      </c>
    </row>
    <row r="1498" spans="1:12">
      <c r="A1498" s="28" t="s">
        <v>46</v>
      </c>
      <c r="B1498" s="28" t="s">
        <v>33</v>
      </c>
      <c r="C1498" s="28">
        <v>2010</v>
      </c>
      <c r="D1498" s="28" t="s">
        <v>4</v>
      </c>
      <c r="E1498" s="28" t="s">
        <v>15</v>
      </c>
      <c r="F1498" s="28">
        <v>1321.5911067070469</v>
      </c>
      <c r="H1498">
        <f>VLOOKUP(A1498&amp;B1498,ticker_sector[],2,FALSE)</f>
        <v>12</v>
      </c>
      <c r="I1498">
        <f>VLOOKUP(C1498,year[],2,FALSE)</f>
        <v>0</v>
      </c>
      <c r="J1498">
        <f>VLOOKUP(E1498,showing[],2,FALSE)</f>
        <v>12</v>
      </c>
      <c r="K1498">
        <f>Сектора[[#This Row],[Значение]]</f>
        <v>1321.5911067070469</v>
      </c>
      <c r="L1498" t="str">
        <f t="shared" si="23"/>
        <v>INSERT INTO msfo.statements (id_company, id_year, id_showing, value) VALUES (12,0,12,1321,59110670705);</v>
      </c>
    </row>
    <row r="1499" spans="1:12">
      <c r="A1499" s="28" t="s">
        <v>46</v>
      </c>
      <c r="B1499" s="28" t="s">
        <v>33</v>
      </c>
      <c r="C1499" s="28">
        <v>2011</v>
      </c>
      <c r="D1499" s="28" t="s">
        <v>4</v>
      </c>
      <c r="E1499" s="28" t="s">
        <v>15</v>
      </c>
      <c r="F1499" s="28">
        <v>3705.138199968319</v>
      </c>
      <c r="H1499">
        <f>VLOOKUP(A1499&amp;B1499,ticker_sector[],2,FALSE)</f>
        <v>12</v>
      </c>
      <c r="I1499">
        <f>VLOOKUP(C1499,year[],2,FALSE)</f>
        <v>1</v>
      </c>
      <c r="J1499">
        <f>VLOOKUP(E1499,showing[],2,FALSE)</f>
        <v>12</v>
      </c>
      <c r="K1499">
        <f>Сектора[[#This Row],[Значение]]</f>
        <v>3705.138199968319</v>
      </c>
      <c r="L1499" t="str">
        <f t="shared" si="23"/>
        <v>INSERT INTO msfo.statements (id_company, id_year, id_showing, value) VALUES (12,1,12,3705,13819996832);</v>
      </c>
    </row>
    <row r="1500" spans="1:12">
      <c r="A1500" s="28" t="s">
        <v>46</v>
      </c>
      <c r="B1500" s="28" t="s">
        <v>33</v>
      </c>
      <c r="C1500" s="28">
        <v>2012</v>
      </c>
      <c r="D1500" s="28" t="s">
        <v>4</v>
      </c>
      <c r="E1500" s="28" t="s">
        <v>15</v>
      </c>
      <c r="F1500" s="28">
        <v>2286.2965755431687</v>
      </c>
      <c r="H1500">
        <f>VLOOKUP(A1500&amp;B1500,ticker_sector[],2,FALSE)</f>
        <v>12</v>
      </c>
      <c r="I1500">
        <f>VLOOKUP(C1500,year[],2,FALSE)</f>
        <v>2</v>
      </c>
      <c r="J1500">
        <f>VLOOKUP(E1500,showing[],2,FALSE)</f>
        <v>12</v>
      </c>
      <c r="K1500">
        <f>Сектора[[#This Row],[Значение]]</f>
        <v>2286.2965755431687</v>
      </c>
      <c r="L1500" t="str">
        <f t="shared" si="23"/>
        <v>INSERT INTO msfo.statements (id_company, id_year, id_showing, value) VALUES (12,2,12,2286,29657554317);</v>
      </c>
    </row>
    <row r="1501" spans="1:12">
      <c r="A1501" s="28" t="s">
        <v>46</v>
      </c>
      <c r="B1501" s="28" t="s">
        <v>33</v>
      </c>
      <c r="C1501" s="28">
        <v>2013</v>
      </c>
      <c r="D1501" s="28" t="s">
        <v>4</v>
      </c>
      <c r="E1501" s="28" t="s">
        <v>15</v>
      </c>
      <c r="F1501" s="28">
        <v>3359.2327340723268</v>
      </c>
      <c r="H1501">
        <f>VLOOKUP(A1501&amp;B1501,ticker_sector[],2,FALSE)</f>
        <v>12</v>
      </c>
      <c r="I1501">
        <f>VLOOKUP(C1501,year[],2,FALSE)</f>
        <v>3</v>
      </c>
      <c r="J1501">
        <f>VLOOKUP(E1501,showing[],2,FALSE)</f>
        <v>12</v>
      </c>
      <c r="K1501">
        <f>Сектора[[#This Row],[Значение]]</f>
        <v>3359.2327340723268</v>
      </c>
      <c r="L1501" t="str">
        <f t="shared" si="23"/>
        <v>INSERT INTO msfo.statements (id_company, id_year, id_showing, value) VALUES (12,3,12,3359,23273407233);</v>
      </c>
    </row>
    <row r="1502" spans="1:12">
      <c r="A1502" s="28" t="s">
        <v>46</v>
      </c>
      <c r="B1502" s="28" t="s">
        <v>33</v>
      </c>
      <c r="C1502" s="28">
        <v>2014</v>
      </c>
      <c r="D1502" s="28" t="s">
        <v>4</v>
      </c>
      <c r="E1502" s="28" t="s">
        <v>15</v>
      </c>
      <c r="F1502" s="28">
        <v>656.16867881063092</v>
      </c>
      <c r="H1502">
        <f>VLOOKUP(A1502&amp;B1502,ticker_sector[],2,FALSE)</f>
        <v>12</v>
      </c>
      <c r="I1502">
        <f>VLOOKUP(C1502,year[],2,FALSE)</f>
        <v>4</v>
      </c>
      <c r="J1502">
        <f>VLOOKUP(E1502,showing[],2,FALSE)</f>
        <v>12</v>
      </c>
      <c r="K1502">
        <f>Сектора[[#This Row],[Значение]]</f>
        <v>656.16867881063092</v>
      </c>
      <c r="L1502" t="str">
        <f t="shared" si="23"/>
        <v>INSERT INTO msfo.statements (id_company, id_year, id_showing, value) VALUES (12,4,12,656,168678810631);</v>
      </c>
    </row>
    <row r="1503" spans="1:12">
      <c r="A1503" s="28" t="s">
        <v>46</v>
      </c>
      <c r="B1503" s="28" t="s">
        <v>33</v>
      </c>
      <c r="C1503" s="28">
        <v>2015</v>
      </c>
      <c r="D1503" s="28" t="s">
        <v>4</v>
      </c>
      <c r="E1503" s="28" t="s">
        <v>15</v>
      </c>
      <c r="F1503" s="28">
        <v>1016.9628732195706</v>
      </c>
      <c r="H1503">
        <f>VLOOKUP(A1503&amp;B1503,ticker_sector[],2,FALSE)</f>
        <v>12</v>
      </c>
      <c r="I1503">
        <f>VLOOKUP(C1503,year[],2,FALSE)</f>
        <v>5</v>
      </c>
      <c r="J1503">
        <f>VLOOKUP(E1503,showing[],2,FALSE)</f>
        <v>12</v>
      </c>
      <c r="K1503">
        <f>Сектора[[#This Row],[Значение]]</f>
        <v>1016.9628732195706</v>
      </c>
      <c r="L1503" t="str">
        <f t="shared" si="23"/>
        <v>INSERT INTO msfo.statements (id_company, id_year, id_showing, value) VALUES (12,5,12,1016,96287321957);</v>
      </c>
    </row>
    <row r="1504" spans="1:12">
      <c r="A1504" s="28" t="s">
        <v>46</v>
      </c>
      <c r="B1504" s="28" t="s">
        <v>33</v>
      </c>
      <c r="C1504" s="28">
        <v>2016</v>
      </c>
      <c r="D1504" s="28" t="s">
        <v>4</v>
      </c>
      <c r="E1504" s="28" t="s">
        <v>15</v>
      </c>
      <c r="F1504" s="28">
        <v>4370.038693042341</v>
      </c>
      <c r="H1504">
        <f>VLOOKUP(A1504&amp;B1504,ticker_sector[],2,FALSE)</f>
        <v>12</v>
      </c>
      <c r="I1504">
        <f>VLOOKUP(C1504,year[],2,FALSE)</f>
        <v>6</v>
      </c>
      <c r="J1504">
        <f>VLOOKUP(E1504,showing[],2,FALSE)</f>
        <v>12</v>
      </c>
      <c r="K1504">
        <f>Сектора[[#This Row],[Значение]]</f>
        <v>4370.038693042341</v>
      </c>
      <c r="L1504" t="str">
        <f t="shared" si="23"/>
        <v>INSERT INTO msfo.statements (id_company, id_year, id_showing, value) VALUES (12,6,12,4370,03869304234);</v>
      </c>
    </row>
    <row r="1505" spans="1:12">
      <c r="A1505" s="28" t="s">
        <v>46</v>
      </c>
      <c r="B1505" s="28" t="s">
        <v>33</v>
      </c>
      <c r="C1505" s="28">
        <v>2017</v>
      </c>
      <c r="D1505" s="28" t="s">
        <v>4</v>
      </c>
      <c r="E1505" s="28" t="s">
        <v>15</v>
      </c>
      <c r="F1505" s="28">
        <v>2890.0941316175986</v>
      </c>
      <c r="H1505">
        <f>VLOOKUP(A1505&amp;B1505,ticker_sector[],2,FALSE)</f>
        <v>12</v>
      </c>
      <c r="I1505">
        <f>VLOOKUP(C1505,year[],2,FALSE)</f>
        <v>7</v>
      </c>
      <c r="J1505">
        <f>VLOOKUP(E1505,showing[],2,FALSE)</f>
        <v>12</v>
      </c>
      <c r="K1505">
        <f>Сектора[[#This Row],[Значение]]</f>
        <v>2890.0941316175986</v>
      </c>
      <c r="L1505" t="str">
        <f t="shared" si="23"/>
        <v>INSERT INTO msfo.statements (id_company, id_year, id_showing, value) VALUES (12,7,12,2890,0941316176);</v>
      </c>
    </row>
    <row r="1506" spans="1:12">
      <c r="A1506" s="28" t="s">
        <v>46</v>
      </c>
      <c r="B1506" s="28" t="s">
        <v>33</v>
      </c>
      <c r="C1506" s="28">
        <v>2010</v>
      </c>
      <c r="D1506" s="28" t="s">
        <v>7</v>
      </c>
      <c r="E1506" s="28" t="s">
        <v>16</v>
      </c>
      <c r="F1506" s="28">
        <v>48957</v>
      </c>
      <c r="H1506">
        <f>VLOOKUP(A1506&amp;B1506,ticker_sector[],2,FALSE)</f>
        <v>12</v>
      </c>
      <c r="I1506">
        <f>VLOOKUP(C1506,year[],2,FALSE)</f>
        <v>0</v>
      </c>
      <c r="J1506">
        <f>VLOOKUP(E1506,showing[],2,FALSE)</f>
        <v>13</v>
      </c>
      <c r="K1506">
        <f>Сектора[[#This Row],[Значение]]</f>
        <v>48957</v>
      </c>
      <c r="L1506" t="str">
        <f t="shared" si="23"/>
        <v>INSERT INTO msfo.statements (id_company, id_year, id_showing, value) VALUES (12,0,13,48957);</v>
      </c>
    </row>
    <row r="1507" spans="1:12">
      <c r="A1507" s="28" t="s">
        <v>46</v>
      </c>
      <c r="B1507" s="28" t="s">
        <v>33</v>
      </c>
      <c r="C1507" s="28">
        <v>2011</v>
      </c>
      <c r="D1507" s="28" t="s">
        <v>7</v>
      </c>
      <c r="E1507" s="28" t="s">
        <v>16</v>
      </c>
      <c r="F1507" s="28">
        <v>76566</v>
      </c>
      <c r="H1507">
        <f>VLOOKUP(A1507&amp;B1507,ticker_sector[],2,FALSE)</f>
        <v>12</v>
      </c>
      <c r="I1507">
        <f>VLOOKUP(C1507,year[],2,FALSE)</f>
        <v>1</v>
      </c>
      <c r="J1507">
        <f>VLOOKUP(E1507,showing[],2,FALSE)</f>
        <v>13</v>
      </c>
      <c r="K1507">
        <f>Сектора[[#This Row],[Значение]]</f>
        <v>76566</v>
      </c>
      <c r="L1507" t="str">
        <f t="shared" si="23"/>
        <v>INSERT INTO msfo.statements (id_company, id_year, id_showing, value) VALUES (12,1,13,76566);</v>
      </c>
    </row>
    <row r="1508" spans="1:12">
      <c r="A1508" s="28" t="s">
        <v>46</v>
      </c>
      <c r="B1508" s="28" t="s">
        <v>33</v>
      </c>
      <c r="C1508" s="28">
        <v>2012</v>
      </c>
      <c r="D1508" s="28" t="s">
        <v>7</v>
      </c>
      <c r="E1508" s="28" t="s">
        <v>16</v>
      </c>
      <c r="F1508" s="28">
        <v>84118</v>
      </c>
      <c r="H1508">
        <f>VLOOKUP(A1508&amp;B1508,ticker_sector[],2,FALSE)</f>
        <v>12</v>
      </c>
      <c r="I1508">
        <f>VLOOKUP(C1508,year[],2,FALSE)</f>
        <v>2</v>
      </c>
      <c r="J1508">
        <f>VLOOKUP(E1508,showing[],2,FALSE)</f>
        <v>13</v>
      </c>
      <c r="K1508">
        <f>Сектора[[#This Row],[Значение]]</f>
        <v>84118</v>
      </c>
      <c r="L1508" t="str">
        <f t="shared" si="23"/>
        <v>INSERT INTO msfo.statements (id_company, id_year, id_showing, value) VALUES (12,2,13,84118);</v>
      </c>
    </row>
    <row r="1509" spans="1:12">
      <c r="A1509" s="28" t="s">
        <v>46</v>
      </c>
      <c r="B1509" s="28" t="s">
        <v>33</v>
      </c>
      <c r="C1509" s="28">
        <v>2013</v>
      </c>
      <c r="D1509" s="28" t="s">
        <v>7</v>
      </c>
      <c r="E1509" s="28" t="s">
        <v>16</v>
      </c>
      <c r="F1509" s="28">
        <v>104163</v>
      </c>
      <c r="H1509">
        <f>VLOOKUP(A1509&amp;B1509,ticker_sector[],2,FALSE)</f>
        <v>12</v>
      </c>
      <c r="I1509">
        <f>VLOOKUP(C1509,year[],2,FALSE)</f>
        <v>3</v>
      </c>
      <c r="J1509">
        <f>VLOOKUP(E1509,showing[],2,FALSE)</f>
        <v>13</v>
      </c>
      <c r="K1509">
        <f>Сектора[[#This Row],[Значение]]</f>
        <v>104163</v>
      </c>
      <c r="L1509" t="str">
        <f t="shared" si="23"/>
        <v>INSERT INTO msfo.statements (id_company, id_year, id_showing, value) VALUES (12,3,13,104163);</v>
      </c>
    </row>
    <row r="1510" spans="1:12">
      <c r="A1510" s="28" t="s">
        <v>46</v>
      </c>
      <c r="B1510" s="28" t="s">
        <v>33</v>
      </c>
      <c r="C1510" s="28">
        <v>2014</v>
      </c>
      <c r="D1510" s="28" t="s">
        <v>7</v>
      </c>
      <c r="E1510" s="28" t="s">
        <v>16</v>
      </c>
      <c r="F1510" s="28">
        <v>108864</v>
      </c>
      <c r="H1510">
        <f>VLOOKUP(A1510&amp;B1510,ticker_sector[],2,FALSE)</f>
        <v>12</v>
      </c>
      <c r="I1510">
        <f>VLOOKUP(C1510,year[],2,FALSE)</f>
        <v>4</v>
      </c>
      <c r="J1510">
        <f>VLOOKUP(E1510,showing[],2,FALSE)</f>
        <v>13</v>
      </c>
      <c r="K1510">
        <f>Сектора[[#This Row],[Значение]]</f>
        <v>108864</v>
      </c>
      <c r="L1510" t="str">
        <f t="shared" si="23"/>
        <v>INSERT INTO msfo.statements (id_company, id_year, id_showing, value) VALUES (12,4,13,108864);</v>
      </c>
    </row>
    <row r="1511" spans="1:12">
      <c r="A1511" s="28" t="s">
        <v>46</v>
      </c>
      <c r="B1511" s="28" t="s">
        <v>33</v>
      </c>
      <c r="C1511" s="28">
        <v>2015</v>
      </c>
      <c r="D1511" s="28" t="s">
        <v>7</v>
      </c>
      <c r="E1511" s="28" t="s">
        <v>16</v>
      </c>
      <c r="F1511" s="28">
        <v>130833</v>
      </c>
      <c r="H1511">
        <f>VLOOKUP(A1511&amp;B1511,ticker_sector[],2,FALSE)</f>
        <v>12</v>
      </c>
      <c r="I1511">
        <f>VLOOKUP(C1511,year[],2,FALSE)</f>
        <v>5</v>
      </c>
      <c r="J1511">
        <f>VLOOKUP(E1511,showing[],2,FALSE)</f>
        <v>13</v>
      </c>
      <c r="K1511">
        <f>Сектора[[#This Row],[Значение]]</f>
        <v>130833</v>
      </c>
      <c r="L1511" t="str">
        <f t="shared" si="23"/>
        <v>INSERT INTO msfo.statements (id_company, id_year, id_showing, value) VALUES (12,5,13,130833);</v>
      </c>
    </row>
    <row r="1512" spans="1:12">
      <c r="A1512" s="28" t="s">
        <v>46</v>
      </c>
      <c r="B1512" s="28" t="s">
        <v>33</v>
      </c>
      <c r="C1512" s="28">
        <v>2016</v>
      </c>
      <c r="D1512" s="28" t="s">
        <v>7</v>
      </c>
      <c r="E1512" s="28" t="s">
        <v>16</v>
      </c>
      <c r="F1512" s="28">
        <v>144292</v>
      </c>
      <c r="H1512">
        <f>VLOOKUP(A1512&amp;B1512,ticker_sector[],2,FALSE)</f>
        <v>12</v>
      </c>
      <c r="I1512">
        <f>VLOOKUP(C1512,year[],2,FALSE)</f>
        <v>6</v>
      </c>
      <c r="J1512">
        <f>VLOOKUP(E1512,showing[],2,FALSE)</f>
        <v>13</v>
      </c>
      <c r="K1512">
        <f>Сектора[[#This Row],[Значение]]</f>
        <v>144292</v>
      </c>
      <c r="L1512" t="str">
        <f t="shared" si="23"/>
        <v>INSERT INTO msfo.statements (id_company, id_year, id_showing, value) VALUES (12,6,13,144292);</v>
      </c>
    </row>
    <row r="1513" spans="1:12">
      <c r="A1513" s="28" t="s">
        <v>46</v>
      </c>
      <c r="B1513" s="28" t="s">
        <v>33</v>
      </c>
      <c r="C1513" s="28">
        <v>2017</v>
      </c>
      <c r="D1513" s="28" t="s">
        <v>7</v>
      </c>
      <c r="E1513" s="28" t="s">
        <v>16</v>
      </c>
      <c r="F1513" s="28">
        <v>168712</v>
      </c>
      <c r="H1513">
        <f>VLOOKUP(A1513&amp;B1513,ticker_sector[],2,FALSE)</f>
        <v>12</v>
      </c>
      <c r="I1513">
        <f>VLOOKUP(C1513,year[],2,FALSE)</f>
        <v>7</v>
      </c>
      <c r="J1513">
        <f>VLOOKUP(E1513,showing[],2,FALSE)</f>
        <v>13</v>
      </c>
      <c r="K1513">
        <f>Сектора[[#This Row],[Значение]]</f>
        <v>168712</v>
      </c>
      <c r="L1513" t="str">
        <f t="shared" si="23"/>
        <v>INSERT INTO msfo.statements (id_company, id_year, id_showing, value) VALUES (12,7,13,168712);</v>
      </c>
    </row>
    <row r="1514" spans="1:12">
      <c r="A1514" s="28" t="s">
        <v>46</v>
      </c>
      <c r="B1514" s="28" t="s">
        <v>33</v>
      </c>
      <c r="C1514" s="28">
        <v>2010</v>
      </c>
      <c r="D1514" s="28" t="s">
        <v>7</v>
      </c>
      <c r="E1514" s="28" t="s">
        <v>17</v>
      </c>
      <c r="F1514" s="28">
        <v>1606.3641643342992</v>
      </c>
      <c r="H1514">
        <f>VLOOKUP(A1514&amp;B1514,ticker_sector[],2,FALSE)</f>
        <v>12</v>
      </c>
      <c r="I1514">
        <f>VLOOKUP(C1514,year[],2,FALSE)</f>
        <v>0</v>
      </c>
      <c r="J1514">
        <f>VLOOKUP(E1514,showing[],2,FALSE)</f>
        <v>14</v>
      </c>
      <c r="K1514">
        <f>Сектора[[#This Row],[Значение]]</f>
        <v>1606.3641643342992</v>
      </c>
      <c r="L1514" t="str">
        <f t="shared" si="23"/>
        <v>INSERT INTO msfo.statements (id_company, id_year, id_showing, value) VALUES (12,0,14,1606,3641643343);</v>
      </c>
    </row>
    <row r="1515" spans="1:12">
      <c r="A1515" s="28" t="s">
        <v>46</v>
      </c>
      <c r="B1515" s="28" t="s">
        <v>33</v>
      </c>
      <c r="C1515" s="28">
        <v>2011</v>
      </c>
      <c r="D1515" s="28" t="s">
        <v>7</v>
      </c>
      <c r="E1515" s="28" t="s">
        <v>17</v>
      </c>
      <c r="F1515" s="28">
        <v>2378.1141194119782</v>
      </c>
      <c r="H1515">
        <f>VLOOKUP(A1515&amp;B1515,ticker_sector[],2,FALSE)</f>
        <v>12</v>
      </c>
      <c r="I1515">
        <f>VLOOKUP(C1515,year[],2,FALSE)</f>
        <v>1</v>
      </c>
      <c r="J1515">
        <f>VLOOKUP(E1515,showing[],2,FALSE)</f>
        <v>14</v>
      </c>
      <c r="K1515">
        <f>Сектора[[#This Row],[Значение]]</f>
        <v>2378.1141194119782</v>
      </c>
      <c r="L1515" t="str">
        <f t="shared" si="23"/>
        <v>INSERT INTO msfo.statements (id_company, id_year, id_showing, value) VALUES (12,1,14,2378,11411941198);</v>
      </c>
    </row>
    <row r="1516" spans="1:12">
      <c r="A1516" s="28" t="s">
        <v>46</v>
      </c>
      <c r="B1516" s="28" t="s">
        <v>33</v>
      </c>
      <c r="C1516" s="28">
        <v>2012</v>
      </c>
      <c r="D1516" s="28" t="s">
        <v>7</v>
      </c>
      <c r="E1516" s="28" t="s">
        <v>17</v>
      </c>
      <c r="F1516" s="28">
        <v>2769.5265814366194</v>
      </c>
      <c r="H1516">
        <f>VLOOKUP(A1516&amp;B1516,ticker_sector[],2,FALSE)</f>
        <v>12</v>
      </c>
      <c r="I1516">
        <f>VLOOKUP(C1516,year[],2,FALSE)</f>
        <v>2</v>
      </c>
      <c r="J1516">
        <f>VLOOKUP(E1516,showing[],2,FALSE)</f>
        <v>14</v>
      </c>
      <c r="K1516">
        <f>Сектора[[#This Row],[Значение]]</f>
        <v>2769.5265814366194</v>
      </c>
      <c r="L1516" t="str">
        <f t="shared" si="23"/>
        <v>INSERT INTO msfo.statements (id_company, id_year, id_showing, value) VALUES (12,2,14,2769,52658143662);</v>
      </c>
    </row>
    <row r="1517" spans="1:12">
      <c r="A1517" s="28" t="s">
        <v>46</v>
      </c>
      <c r="B1517" s="28" t="s">
        <v>33</v>
      </c>
      <c r="C1517" s="28">
        <v>2013</v>
      </c>
      <c r="D1517" s="28" t="s">
        <v>7</v>
      </c>
      <c r="E1517" s="28" t="s">
        <v>17</v>
      </c>
      <c r="F1517" s="28">
        <v>3182.570915268323</v>
      </c>
      <c r="H1517">
        <f>VLOOKUP(A1517&amp;B1517,ticker_sector[],2,FALSE)</f>
        <v>12</v>
      </c>
      <c r="I1517">
        <f>VLOOKUP(C1517,year[],2,FALSE)</f>
        <v>3</v>
      </c>
      <c r="J1517">
        <f>VLOOKUP(E1517,showing[],2,FALSE)</f>
        <v>14</v>
      </c>
      <c r="K1517">
        <f>Сектора[[#This Row],[Значение]]</f>
        <v>3182.570915268323</v>
      </c>
      <c r="L1517" t="str">
        <f t="shared" si="23"/>
        <v>INSERT INTO msfo.statements (id_company, id_year, id_showing, value) VALUES (12,3,14,3182,57091526832);</v>
      </c>
    </row>
    <row r="1518" spans="1:12">
      <c r="A1518" s="28" t="s">
        <v>46</v>
      </c>
      <c r="B1518" s="28" t="s">
        <v>33</v>
      </c>
      <c r="C1518" s="28">
        <v>2014</v>
      </c>
      <c r="D1518" s="28" t="s">
        <v>7</v>
      </c>
      <c r="E1518" s="28" t="s">
        <v>17</v>
      </c>
      <c r="F1518" s="28">
        <v>1935.071029392944</v>
      </c>
      <c r="H1518">
        <f>VLOOKUP(A1518&amp;B1518,ticker_sector[],2,FALSE)</f>
        <v>12</v>
      </c>
      <c r="I1518">
        <f>VLOOKUP(C1518,year[],2,FALSE)</f>
        <v>4</v>
      </c>
      <c r="J1518">
        <f>VLOOKUP(E1518,showing[],2,FALSE)</f>
        <v>14</v>
      </c>
      <c r="K1518">
        <f>Сектора[[#This Row],[Значение]]</f>
        <v>1935.071029392944</v>
      </c>
      <c r="L1518" t="str">
        <f t="shared" si="23"/>
        <v>INSERT INTO msfo.statements (id_company, id_year, id_showing, value) VALUES (12,4,14,1935,07102939294);</v>
      </c>
    </row>
    <row r="1519" spans="1:12">
      <c r="A1519" s="28" t="s">
        <v>46</v>
      </c>
      <c r="B1519" s="28" t="s">
        <v>33</v>
      </c>
      <c r="C1519" s="28">
        <v>2015</v>
      </c>
      <c r="D1519" s="28" t="s">
        <v>7</v>
      </c>
      <c r="E1519" s="28" t="s">
        <v>17</v>
      </c>
      <c r="F1519" s="28">
        <v>1795.117359812411</v>
      </c>
      <c r="H1519">
        <f>VLOOKUP(A1519&amp;B1519,ticker_sector[],2,FALSE)</f>
        <v>12</v>
      </c>
      <c r="I1519">
        <f>VLOOKUP(C1519,year[],2,FALSE)</f>
        <v>5</v>
      </c>
      <c r="J1519">
        <f>VLOOKUP(E1519,showing[],2,FALSE)</f>
        <v>14</v>
      </c>
      <c r="K1519">
        <f>Сектора[[#This Row],[Значение]]</f>
        <v>1795.117359812411</v>
      </c>
      <c r="L1519" t="str">
        <f t="shared" si="23"/>
        <v>INSERT INTO msfo.statements (id_company, id_year, id_showing, value) VALUES (12,5,14,1795,11735981241);</v>
      </c>
    </row>
    <row r="1520" spans="1:12">
      <c r="A1520" s="28" t="s">
        <v>46</v>
      </c>
      <c r="B1520" s="28" t="s">
        <v>33</v>
      </c>
      <c r="C1520" s="28">
        <v>2016</v>
      </c>
      <c r="D1520" s="28" t="s">
        <v>7</v>
      </c>
      <c r="E1520" s="28" t="s">
        <v>17</v>
      </c>
      <c r="F1520" s="28">
        <v>2378.8225247251344</v>
      </c>
      <c r="H1520">
        <f>VLOOKUP(A1520&amp;B1520,ticker_sector[],2,FALSE)</f>
        <v>12</v>
      </c>
      <c r="I1520">
        <f>VLOOKUP(C1520,year[],2,FALSE)</f>
        <v>6</v>
      </c>
      <c r="J1520">
        <f>VLOOKUP(E1520,showing[],2,FALSE)</f>
        <v>14</v>
      </c>
      <c r="K1520">
        <f>Сектора[[#This Row],[Значение]]</f>
        <v>2378.8225247251344</v>
      </c>
      <c r="L1520" t="str">
        <f t="shared" si="23"/>
        <v>INSERT INTO msfo.statements (id_company, id_year, id_showing, value) VALUES (12,6,14,2378,82252472513);</v>
      </c>
    </row>
    <row r="1521" spans="1:12">
      <c r="A1521" s="28" t="s">
        <v>46</v>
      </c>
      <c r="B1521" s="28" t="s">
        <v>33</v>
      </c>
      <c r="C1521" s="28">
        <v>2017</v>
      </c>
      <c r="D1521" s="28" t="s">
        <v>7</v>
      </c>
      <c r="E1521" s="28" t="s">
        <v>17</v>
      </c>
      <c r="F1521" s="28">
        <v>2929.0176075777513</v>
      </c>
      <c r="H1521">
        <f>VLOOKUP(A1521&amp;B1521,ticker_sector[],2,FALSE)</f>
        <v>12</v>
      </c>
      <c r="I1521">
        <f>VLOOKUP(C1521,year[],2,FALSE)</f>
        <v>7</v>
      </c>
      <c r="J1521">
        <f>VLOOKUP(E1521,showing[],2,FALSE)</f>
        <v>14</v>
      </c>
      <c r="K1521">
        <f>Сектора[[#This Row],[Значение]]</f>
        <v>2929.0176075777513</v>
      </c>
      <c r="L1521" t="str">
        <f t="shared" si="23"/>
        <v>INSERT INTO msfo.statements (id_company, id_year, id_showing, value) VALUES (12,7,14,2929,01760757775);</v>
      </c>
    </row>
    <row r="1522" spans="1:12">
      <c r="A1522" s="28" t="s">
        <v>46</v>
      </c>
      <c r="B1522" s="28" t="s">
        <v>33</v>
      </c>
      <c r="C1522" s="28">
        <v>2010</v>
      </c>
      <c r="D1522" s="28" t="s">
        <v>20</v>
      </c>
      <c r="E1522" s="28" t="s">
        <v>18</v>
      </c>
      <c r="F1522" s="28">
        <v>3032.114</v>
      </c>
      <c r="H1522">
        <f>VLOOKUP(A1522&amp;B1522,ticker_sector[],2,FALSE)</f>
        <v>12</v>
      </c>
      <c r="I1522">
        <f>VLOOKUP(C1522,year[],2,FALSE)</f>
        <v>0</v>
      </c>
      <c r="J1522">
        <f>VLOOKUP(E1522,showing[],2,FALSE)</f>
        <v>15</v>
      </c>
      <c r="K1522">
        <f>Сектора[[#This Row],[Значение]]</f>
        <v>3032.114</v>
      </c>
      <c r="L1522" t="str">
        <f t="shared" si="23"/>
        <v>INSERT INTO msfo.statements (id_company, id_year, id_showing, value) VALUES (12,0,15,3032,114);</v>
      </c>
    </row>
    <row r="1523" spans="1:12">
      <c r="A1523" s="28" t="s">
        <v>46</v>
      </c>
      <c r="B1523" s="28" t="s">
        <v>33</v>
      </c>
      <c r="C1523" s="28">
        <v>2011</v>
      </c>
      <c r="D1523" s="28" t="s">
        <v>20</v>
      </c>
      <c r="E1523" s="28" t="s">
        <v>18</v>
      </c>
      <c r="F1523" s="28">
        <v>3033.3020000000001</v>
      </c>
      <c r="H1523">
        <f>VLOOKUP(A1523&amp;B1523,ticker_sector[],2,FALSE)</f>
        <v>12</v>
      </c>
      <c r="I1523">
        <f>VLOOKUP(C1523,year[],2,FALSE)</f>
        <v>1</v>
      </c>
      <c r="J1523">
        <f>VLOOKUP(E1523,showing[],2,FALSE)</f>
        <v>15</v>
      </c>
      <c r="K1523">
        <f>Сектора[[#This Row],[Значение]]</f>
        <v>3033.3020000000001</v>
      </c>
      <c r="L1523" t="str">
        <f t="shared" si="23"/>
        <v>INSERT INTO msfo.statements (id_company, id_year, id_showing, value) VALUES (12,1,15,3033,302);</v>
      </c>
    </row>
    <row r="1524" spans="1:12">
      <c r="A1524" s="28" t="s">
        <v>46</v>
      </c>
      <c r="B1524" s="28" t="s">
        <v>33</v>
      </c>
      <c r="C1524" s="28">
        <v>2012</v>
      </c>
      <c r="D1524" s="28" t="s">
        <v>20</v>
      </c>
      <c r="E1524" s="28" t="s">
        <v>18</v>
      </c>
      <c r="F1524" s="28">
        <v>3034.2449999999999</v>
      </c>
      <c r="H1524">
        <f>VLOOKUP(A1524&amp;B1524,ticker_sector[],2,FALSE)</f>
        <v>12</v>
      </c>
      <c r="I1524">
        <f>VLOOKUP(C1524,year[],2,FALSE)</f>
        <v>2</v>
      </c>
      <c r="J1524">
        <f>VLOOKUP(E1524,showing[],2,FALSE)</f>
        <v>15</v>
      </c>
      <c r="K1524">
        <f>Сектора[[#This Row],[Значение]]</f>
        <v>3034.2449999999999</v>
      </c>
      <c r="L1524" t="str">
        <f t="shared" si="23"/>
        <v>INSERT INTO msfo.statements (id_company, id_year, id_showing, value) VALUES (12,2,15,3034,245);</v>
      </c>
    </row>
    <row r="1525" spans="1:12">
      <c r="A1525" s="28" t="s">
        <v>46</v>
      </c>
      <c r="B1525" s="28" t="s">
        <v>33</v>
      </c>
      <c r="C1525" s="28">
        <v>2013</v>
      </c>
      <c r="D1525" s="28" t="s">
        <v>20</v>
      </c>
      <c r="E1525" s="28" t="s">
        <v>18</v>
      </c>
      <c r="F1525" s="28">
        <v>3029.5320000000002</v>
      </c>
      <c r="H1525">
        <f>VLOOKUP(A1525&amp;B1525,ticker_sector[],2,FALSE)</f>
        <v>12</v>
      </c>
      <c r="I1525">
        <f>VLOOKUP(C1525,year[],2,FALSE)</f>
        <v>3</v>
      </c>
      <c r="J1525">
        <f>VLOOKUP(E1525,showing[],2,FALSE)</f>
        <v>15</v>
      </c>
      <c r="K1525">
        <f>Сектора[[#This Row],[Значение]]</f>
        <v>3029.5320000000002</v>
      </c>
      <c r="L1525" t="str">
        <f t="shared" si="23"/>
        <v>INSERT INTO msfo.statements (id_company, id_year, id_showing, value) VALUES (12,3,15,3029,532);</v>
      </c>
    </row>
    <row r="1526" spans="1:12">
      <c r="A1526" s="28" t="s">
        <v>46</v>
      </c>
      <c r="B1526" s="28" t="s">
        <v>33</v>
      </c>
      <c r="C1526" s="28">
        <v>2014</v>
      </c>
      <c r="D1526" s="28" t="s">
        <v>20</v>
      </c>
      <c r="E1526" s="28" t="s">
        <v>18</v>
      </c>
      <c r="F1526" s="28">
        <v>3022.2</v>
      </c>
      <c r="H1526">
        <f>VLOOKUP(A1526&amp;B1526,ticker_sector[],2,FALSE)</f>
        <v>12</v>
      </c>
      <c r="I1526">
        <f>VLOOKUP(C1526,year[],2,FALSE)</f>
        <v>4</v>
      </c>
      <c r="J1526">
        <f>VLOOKUP(E1526,showing[],2,FALSE)</f>
        <v>15</v>
      </c>
      <c r="K1526">
        <f>Сектора[[#This Row],[Значение]]</f>
        <v>3022.2</v>
      </c>
      <c r="L1526" t="str">
        <f t="shared" si="23"/>
        <v>INSERT INTO msfo.statements (id_company, id_year, id_showing, value) VALUES (12,4,15,3022,2);</v>
      </c>
    </row>
    <row r="1527" spans="1:12">
      <c r="A1527" s="28" t="s">
        <v>46</v>
      </c>
      <c r="B1527" s="28" t="s">
        <v>33</v>
      </c>
      <c r="C1527" s="28">
        <v>2015</v>
      </c>
      <c r="D1527" s="28" t="s">
        <v>20</v>
      </c>
      <c r="E1527" s="28" t="s">
        <v>18</v>
      </c>
      <c r="F1527" s="28">
        <v>3020.3</v>
      </c>
      <c r="H1527">
        <f>VLOOKUP(A1527&amp;B1527,ticker_sector[],2,FALSE)</f>
        <v>12</v>
      </c>
      <c r="I1527">
        <f>VLOOKUP(C1527,year[],2,FALSE)</f>
        <v>5</v>
      </c>
      <c r="J1527">
        <f>VLOOKUP(E1527,showing[],2,FALSE)</f>
        <v>15</v>
      </c>
      <c r="K1527">
        <f>Сектора[[#This Row],[Значение]]</f>
        <v>3020.3</v>
      </c>
      <c r="L1527" t="str">
        <f t="shared" si="23"/>
        <v>INSERT INTO msfo.statements (id_company, id_year, id_showing, value) VALUES (12,5,15,3020,3);</v>
      </c>
    </row>
    <row r="1528" spans="1:12">
      <c r="A1528" s="28" t="s">
        <v>46</v>
      </c>
      <c r="B1528" s="28" t="s">
        <v>33</v>
      </c>
      <c r="C1528" s="28">
        <v>2016</v>
      </c>
      <c r="D1528" s="28" t="s">
        <v>20</v>
      </c>
      <c r="E1528" s="28" t="s">
        <v>18</v>
      </c>
      <c r="F1528" s="28">
        <v>3018.5</v>
      </c>
      <c r="H1528">
        <f>VLOOKUP(A1528&amp;B1528,ticker_sector[],2,FALSE)</f>
        <v>12</v>
      </c>
      <c r="I1528">
        <f>VLOOKUP(C1528,year[],2,FALSE)</f>
        <v>6</v>
      </c>
      <c r="J1528">
        <f>VLOOKUP(E1528,showing[],2,FALSE)</f>
        <v>15</v>
      </c>
      <c r="K1528">
        <f>Сектора[[#This Row],[Значение]]</f>
        <v>3018.5</v>
      </c>
      <c r="L1528" t="str">
        <f t="shared" si="23"/>
        <v>INSERT INTO msfo.statements (id_company, id_year, id_showing, value) VALUES (12,6,15,3018,5);</v>
      </c>
    </row>
    <row r="1529" spans="1:12">
      <c r="A1529" s="28" t="s">
        <v>46</v>
      </c>
      <c r="B1529" s="28" t="s">
        <v>33</v>
      </c>
      <c r="C1529" s="28">
        <v>2017</v>
      </c>
      <c r="D1529" s="28" t="s">
        <v>20</v>
      </c>
      <c r="E1529" s="28" t="s">
        <v>18</v>
      </c>
      <c r="F1529" s="28">
        <v>3016.2</v>
      </c>
      <c r="H1529">
        <f>VLOOKUP(A1529&amp;B1529,ticker_sector[],2,FALSE)</f>
        <v>12</v>
      </c>
      <c r="I1529">
        <f>VLOOKUP(C1529,year[],2,FALSE)</f>
        <v>7</v>
      </c>
      <c r="J1529">
        <f>VLOOKUP(E1529,showing[],2,FALSE)</f>
        <v>15</v>
      </c>
      <c r="K1529">
        <f>Сектора[[#This Row],[Значение]]</f>
        <v>3016.2</v>
      </c>
      <c r="L1529" t="str">
        <f t="shared" si="23"/>
        <v>INSERT INTO msfo.statements (id_company, id_year, id_showing, value) VALUES (12,7,15,3016,2);</v>
      </c>
    </row>
    <row r="1530" spans="1:12">
      <c r="A1530" s="28" t="s">
        <v>46</v>
      </c>
      <c r="B1530" s="28" t="s">
        <v>33</v>
      </c>
      <c r="C1530" s="28">
        <v>2010</v>
      </c>
      <c r="D1530" s="28" t="s">
        <v>20</v>
      </c>
      <c r="E1530" s="28" t="s">
        <v>19</v>
      </c>
      <c r="F1530" s="28">
        <v>334.1</v>
      </c>
      <c r="H1530">
        <f>VLOOKUP(A1530&amp;B1530,ticker_sector[],2,FALSE)</f>
        <v>12</v>
      </c>
      <c r="I1530">
        <f>VLOOKUP(C1530,year[],2,FALSE)</f>
        <v>0</v>
      </c>
      <c r="J1530">
        <f>VLOOKUP(E1530,showing[],2,FALSE)</f>
        <v>16</v>
      </c>
      <c r="K1530">
        <f>Сектора[[#This Row],[Значение]]</f>
        <v>334.1</v>
      </c>
      <c r="L1530" t="str">
        <f t="shared" si="23"/>
        <v>INSERT INTO msfo.statements (id_company, id_year, id_showing, value) VALUES (12,0,16,334,1);</v>
      </c>
    </row>
    <row r="1531" spans="1:12">
      <c r="A1531" s="28" t="s">
        <v>46</v>
      </c>
      <c r="B1531" s="28" t="s">
        <v>33</v>
      </c>
      <c r="C1531" s="28">
        <v>2011</v>
      </c>
      <c r="D1531" s="28" t="s">
        <v>20</v>
      </c>
      <c r="E1531" s="28" t="s">
        <v>19</v>
      </c>
      <c r="F1531" s="28">
        <v>394</v>
      </c>
      <c r="H1531">
        <f>VLOOKUP(A1531&amp;B1531,ticker_sector[],2,FALSE)</f>
        <v>12</v>
      </c>
      <c r="I1531">
        <f>VLOOKUP(C1531,year[],2,FALSE)</f>
        <v>1</v>
      </c>
      <c r="J1531">
        <f>VLOOKUP(E1531,showing[],2,FALSE)</f>
        <v>16</v>
      </c>
      <c r="K1531">
        <f>Сектора[[#This Row],[Значение]]</f>
        <v>394</v>
      </c>
      <c r="L1531" t="str">
        <f t="shared" si="23"/>
        <v>INSERT INTO msfo.statements (id_company, id_year, id_showing, value) VALUES (12,1,16,394);</v>
      </c>
    </row>
    <row r="1532" spans="1:12">
      <c r="A1532" s="28" t="s">
        <v>46</v>
      </c>
      <c r="B1532" s="28" t="s">
        <v>33</v>
      </c>
      <c r="C1532" s="28">
        <v>2012</v>
      </c>
      <c r="D1532" s="28" t="s">
        <v>20</v>
      </c>
      <c r="E1532" s="28" t="s">
        <v>19</v>
      </c>
      <c r="F1532" s="28">
        <v>346.1</v>
      </c>
      <c r="H1532">
        <f>VLOOKUP(A1532&amp;B1532,ticker_sector[],2,FALSE)</f>
        <v>12</v>
      </c>
      <c r="I1532">
        <f>VLOOKUP(C1532,year[],2,FALSE)</f>
        <v>2</v>
      </c>
      <c r="J1532">
        <f>VLOOKUP(E1532,showing[],2,FALSE)</f>
        <v>16</v>
      </c>
      <c r="K1532">
        <f>Сектора[[#This Row],[Значение]]</f>
        <v>346.1</v>
      </c>
      <c r="L1532" t="str">
        <f t="shared" si="23"/>
        <v>INSERT INTO msfo.statements (id_company, id_year, id_showing, value) VALUES (12,2,16,346,1);</v>
      </c>
    </row>
    <row r="1533" spans="1:12">
      <c r="A1533" s="28" t="s">
        <v>46</v>
      </c>
      <c r="B1533" s="28" t="s">
        <v>33</v>
      </c>
      <c r="C1533" s="28">
        <v>2013</v>
      </c>
      <c r="D1533" s="28" t="s">
        <v>20</v>
      </c>
      <c r="E1533" s="28" t="s">
        <v>19</v>
      </c>
      <c r="F1533" s="28">
        <v>399.7</v>
      </c>
      <c r="H1533">
        <f>VLOOKUP(A1533&amp;B1533,ticker_sector[],2,FALSE)</f>
        <v>12</v>
      </c>
      <c r="I1533">
        <f>VLOOKUP(C1533,year[],2,FALSE)</f>
        <v>3</v>
      </c>
      <c r="J1533">
        <f>VLOOKUP(E1533,showing[],2,FALSE)</f>
        <v>16</v>
      </c>
      <c r="K1533">
        <f>Сектора[[#This Row],[Значение]]</f>
        <v>399.7</v>
      </c>
      <c r="L1533" t="str">
        <f t="shared" si="23"/>
        <v>INSERT INTO msfo.statements (id_company, id_year, id_showing, value) VALUES (12,3,16,399,7);</v>
      </c>
    </row>
    <row r="1534" spans="1:12">
      <c r="A1534" s="28" t="s">
        <v>46</v>
      </c>
      <c r="B1534" s="28" t="s">
        <v>33</v>
      </c>
      <c r="C1534" s="28">
        <v>2014</v>
      </c>
      <c r="D1534" s="28" t="s">
        <v>20</v>
      </c>
      <c r="E1534" s="28" t="s">
        <v>19</v>
      </c>
      <c r="F1534" s="28">
        <v>434.6</v>
      </c>
      <c r="H1534">
        <f>VLOOKUP(A1534&amp;B1534,ticker_sector[],2,FALSE)</f>
        <v>12</v>
      </c>
      <c r="I1534">
        <f>VLOOKUP(C1534,year[],2,FALSE)</f>
        <v>4</v>
      </c>
      <c r="J1534">
        <f>VLOOKUP(E1534,showing[],2,FALSE)</f>
        <v>16</v>
      </c>
      <c r="K1534">
        <f>Сектора[[#This Row],[Значение]]</f>
        <v>434.6</v>
      </c>
      <c r="L1534" t="str">
        <f t="shared" si="23"/>
        <v>INSERT INTO msfo.statements (id_company, id_year, id_showing, value) VALUES (12,4,16,434,6);</v>
      </c>
    </row>
    <row r="1535" spans="1:12">
      <c r="A1535" s="28" t="s">
        <v>46</v>
      </c>
      <c r="B1535" s="28" t="s">
        <v>33</v>
      </c>
      <c r="C1535" s="28">
        <v>2015</v>
      </c>
      <c r="D1535" s="28" t="s">
        <v>20</v>
      </c>
      <c r="E1535" s="28" t="s">
        <v>19</v>
      </c>
      <c r="F1535" s="28">
        <v>591</v>
      </c>
      <c r="H1535">
        <f>VLOOKUP(A1535&amp;B1535,ticker_sector[],2,FALSE)</f>
        <v>12</v>
      </c>
      <c r="I1535">
        <f>VLOOKUP(C1535,year[],2,FALSE)</f>
        <v>5</v>
      </c>
      <c r="J1535">
        <f>VLOOKUP(E1535,showing[],2,FALSE)</f>
        <v>16</v>
      </c>
      <c r="K1535">
        <f>Сектора[[#This Row],[Значение]]</f>
        <v>591</v>
      </c>
      <c r="L1535" t="str">
        <f t="shared" si="23"/>
        <v>INSERT INTO msfo.statements (id_company, id_year, id_showing, value) VALUES (12,5,16,591);</v>
      </c>
    </row>
    <row r="1536" spans="1:12">
      <c r="A1536" s="28" t="s">
        <v>46</v>
      </c>
      <c r="B1536" s="28" t="s">
        <v>33</v>
      </c>
      <c r="C1536" s="28">
        <v>2016</v>
      </c>
      <c r="D1536" s="28" t="s">
        <v>20</v>
      </c>
      <c r="E1536" s="28" t="s">
        <v>19</v>
      </c>
      <c r="F1536" s="28">
        <v>791.9</v>
      </c>
      <c r="H1536">
        <f>VLOOKUP(A1536&amp;B1536,ticker_sector[],2,FALSE)</f>
        <v>12</v>
      </c>
      <c r="I1536">
        <f>VLOOKUP(C1536,year[],2,FALSE)</f>
        <v>6</v>
      </c>
      <c r="J1536">
        <f>VLOOKUP(E1536,showing[],2,FALSE)</f>
        <v>16</v>
      </c>
      <c r="K1536">
        <f>Сектора[[#This Row],[Значение]]</f>
        <v>791.9</v>
      </c>
      <c r="L1536" t="str">
        <f t="shared" si="23"/>
        <v>INSERT INTO msfo.statements (id_company, id_year, id_showing, value) VALUES (12,6,16,791,9);</v>
      </c>
    </row>
    <row r="1537" spans="1:12">
      <c r="A1537" s="28" t="s">
        <v>46</v>
      </c>
      <c r="B1537" s="28" t="s">
        <v>33</v>
      </c>
      <c r="C1537" s="28">
        <v>2017</v>
      </c>
      <c r="D1537" s="28" t="s">
        <v>20</v>
      </c>
      <c r="E1537" s="28" t="s">
        <v>19</v>
      </c>
      <c r="F1537" s="28">
        <v>677.7</v>
      </c>
      <c r="H1537">
        <f>VLOOKUP(A1537&amp;B1537,ticker_sector[],2,FALSE)</f>
        <v>12</v>
      </c>
      <c r="I1537">
        <f>VLOOKUP(C1537,year[],2,FALSE)</f>
        <v>7</v>
      </c>
      <c r="J1537">
        <f>VLOOKUP(E1537,showing[],2,FALSE)</f>
        <v>16</v>
      </c>
      <c r="K1537">
        <f>Сектора[[#This Row],[Значение]]</f>
        <v>677.7</v>
      </c>
      <c r="L1537" t="str">
        <f t="shared" si="23"/>
        <v>INSERT INTO msfo.statements (id_company, id_year, id_showing, value) VALUES (12,7,16,677,7);</v>
      </c>
    </row>
    <row r="1538" spans="1:12">
      <c r="A1538" s="28" t="s">
        <v>47</v>
      </c>
      <c r="B1538" s="28" t="s">
        <v>33</v>
      </c>
      <c r="C1538" s="28">
        <v>2010</v>
      </c>
      <c r="D1538" s="28" t="s">
        <v>1</v>
      </c>
      <c r="E1538" s="28" t="s">
        <v>2</v>
      </c>
      <c r="F1538" s="28">
        <v>2318000</v>
      </c>
      <c r="H1538">
        <f>VLOOKUP(A1538&amp;B1538,ticker_sector[],2,FALSE)</f>
        <v>13</v>
      </c>
      <c r="I1538">
        <f>VLOOKUP(C1538,year[],2,FALSE)</f>
        <v>0</v>
      </c>
      <c r="J1538">
        <f>VLOOKUP(E1538,showing[],2,FALSE)</f>
        <v>1</v>
      </c>
      <c r="K1538">
        <f>Сектора[[#This Row],[Значение]]</f>
        <v>2318000</v>
      </c>
      <c r="L1538" t="str">
        <f t="shared" si="23"/>
        <v>INSERT INTO msfo.statements (id_company, id_year, id_showing, value) VALUES (13,0,1,2318000);</v>
      </c>
    </row>
    <row r="1539" spans="1:12">
      <c r="A1539" s="28" t="s">
        <v>47</v>
      </c>
      <c r="B1539" s="28" t="s">
        <v>33</v>
      </c>
      <c r="C1539" s="28">
        <v>2011</v>
      </c>
      <c r="D1539" s="28" t="s">
        <v>1</v>
      </c>
      <c r="E1539" s="28" t="s">
        <v>2</v>
      </c>
      <c r="F1539" s="28">
        <v>2562000</v>
      </c>
      <c r="H1539">
        <f>VLOOKUP(A1539&amp;B1539,ticker_sector[],2,FALSE)</f>
        <v>13</v>
      </c>
      <c r="I1539">
        <f>VLOOKUP(C1539,year[],2,FALSE)</f>
        <v>1</v>
      </c>
      <c r="J1539">
        <f>VLOOKUP(E1539,showing[],2,FALSE)</f>
        <v>1</v>
      </c>
      <c r="K1539">
        <f>Сектора[[#This Row],[Значение]]</f>
        <v>2562000</v>
      </c>
      <c r="L1539" t="str">
        <f t="shared" ref="L1539:L1602" si="24">"INSERT INTO msfo.statements (id_company, id_year, id_showing, value) VALUES ("&amp;H1539&amp; ","&amp;I1539&amp; ","&amp;J1539&amp; ","&amp;K1539&amp;");"</f>
        <v>INSERT INTO msfo.statements (id_company, id_year, id_showing, value) VALUES (13,1,1,2562000);</v>
      </c>
    </row>
    <row r="1540" spans="1:12">
      <c r="A1540" s="28" t="s">
        <v>47</v>
      </c>
      <c r="B1540" s="28" t="s">
        <v>33</v>
      </c>
      <c r="C1540" s="28">
        <v>2012</v>
      </c>
      <c r="D1540" s="28" t="s">
        <v>1</v>
      </c>
      <c r="E1540" s="28" t="s">
        <v>2</v>
      </c>
      <c r="F1540" s="28">
        <v>2938000</v>
      </c>
      <c r="H1540">
        <f>VLOOKUP(A1540&amp;B1540,ticker_sector[],2,FALSE)</f>
        <v>13</v>
      </c>
      <c r="I1540">
        <f>VLOOKUP(C1540,year[],2,FALSE)</f>
        <v>2</v>
      </c>
      <c r="J1540">
        <f>VLOOKUP(E1540,showing[],2,FALSE)</f>
        <v>1</v>
      </c>
      <c r="K1540">
        <f>Сектора[[#This Row],[Значение]]</f>
        <v>2938000</v>
      </c>
      <c r="L1540" t="str">
        <f t="shared" si="24"/>
        <v>INSERT INTO msfo.statements (id_company, id_year, id_showing, value) VALUES (13,2,1,2938000);</v>
      </c>
    </row>
    <row r="1541" spans="1:12">
      <c r="A1541" s="28" t="s">
        <v>47</v>
      </c>
      <c r="B1541" s="28" t="s">
        <v>33</v>
      </c>
      <c r="C1541" s="28">
        <v>2013</v>
      </c>
      <c r="D1541" s="28" t="s">
        <v>1</v>
      </c>
      <c r="E1541" s="28" t="s">
        <v>2</v>
      </c>
      <c r="F1541" s="28">
        <v>6083000</v>
      </c>
      <c r="H1541">
        <f>VLOOKUP(A1541&amp;B1541,ticker_sector[],2,FALSE)</f>
        <v>13</v>
      </c>
      <c r="I1541">
        <f>VLOOKUP(C1541,year[],2,FALSE)</f>
        <v>3</v>
      </c>
      <c r="J1541">
        <f>VLOOKUP(E1541,showing[],2,FALSE)</f>
        <v>1</v>
      </c>
      <c r="K1541">
        <f>Сектора[[#This Row],[Значение]]</f>
        <v>6083000</v>
      </c>
      <c r="L1541" t="str">
        <f t="shared" si="24"/>
        <v>INSERT INTO msfo.statements (id_company, id_year, id_showing, value) VALUES (13,3,1,6083000);</v>
      </c>
    </row>
    <row r="1542" spans="1:12">
      <c r="A1542" s="28" t="s">
        <v>47</v>
      </c>
      <c r="B1542" s="28" t="s">
        <v>33</v>
      </c>
      <c r="C1542" s="28">
        <v>2014</v>
      </c>
      <c r="D1542" s="28" t="s">
        <v>1</v>
      </c>
      <c r="E1542" s="28" t="s">
        <v>2</v>
      </c>
      <c r="F1542" s="28">
        <v>6605000</v>
      </c>
      <c r="H1542">
        <f>VLOOKUP(A1542&amp;B1542,ticker_sector[],2,FALSE)</f>
        <v>13</v>
      </c>
      <c r="I1542">
        <f>VLOOKUP(C1542,year[],2,FALSE)</f>
        <v>4</v>
      </c>
      <c r="J1542">
        <f>VLOOKUP(E1542,showing[],2,FALSE)</f>
        <v>1</v>
      </c>
      <c r="K1542">
        <f>Сектора[[#This Row],[Значение]]</f>
        <v>6605000</v>
      </c>
      <c r="L1542" t="str">
        <f t="shared" si="24"/>
        <v>INSERT INTO msfo.statements (id_company, id_year, id_showing, value) VALUES (13,4,1,6605000);</v>
      </c>
    </row>
    <row r="1543" spans="1:12">
      <c r="A1543" s="28" t="s">
        <v>47</v>
      </c>
      <c r="B1543" s="28" t="s">
        <v>33</v>
      </c>
      <c r="C1543" s="28">
        <v>2015</v>
      </c>
      <c r="D1543" s="28" t="s">
        <v>1</v>
      </c>
      <c r="E1543" s="28" t="s">
        <v>2</v>
      </c>
      <c r="F1543" s="28">
        <v>7234000</v>
      </c>
      <c r="H1543">
        <f>VLOOKUP(A1543&amp;B1543,ticker_sector[],2,FALSE)</f>
        <v>13</v>
      </c>
      <c r="I1543">
        <f>VLOOKUP(C1543,year[],2,FALSE)</f>
        <v>5</v>
      </c>
      <c r="J1543">
        <f>VLOOKUP(E1543,showing[],2,FALSE)</f>
        <v>1</v>
      </c>
      <c r="K1543">
        <f>Сектора[[#This Row],[Значение]]</f>
        <v>7234000</v>
      </c>
      <c r="L1543" t="str">
        <f t="shared" si="24"/>
        <v>INSERT INTO msfo.statements (id_company, id_year, id_showing, value) VALUES (13,5,1,7234000);</v>
      </c>
    </row>
    <row r="1544" spans="1:12">
      <c r="A1544" s="28" t="s">
        <v>47</v>
      </c>
      <c r="B1544" s="28" t="s">
        <v>33</v>
      </c>
      <c r="C1544" s="28">
        <v>2016</v>
      </c>
      <c r="D1544" s="28" t="s">
        <v>1</v>
      </c>
      <c r="E1544" s="28" t="s">
        <v>2</v>
      </c>
      <c r="F1544" s="28">
        <v>8730000</v>
      </c>
      <c r="H1544">
        <f>VLOOKUP(A1544&amp;B1544,ticker_sector[],2,FALSE)</f>
        <v>13</v>
      </c>
      <c r="I1544">
        <f>VLOOKUP(C1544,year[],2,FALSE)</f>
        <v>6</v>
      </c>
      <c r="J1544">
        <f>VLOOKUP(E1544,showing[],2,FALSE)</f>
        <v>1</v>
      </c>
      <c r="K1544">
        <f>Сектора[[#This Row],[Значение]]</f>
        <v>8730000</v>
      </c>
      <c r="L1544" t="str">
        <f t="shared" si="24"/>
        <v>INSERT INTO msfo.statements (id_company, id_year, id_showing, value) VALUES (13,6,1,8730000);</v>
      </c>
    </row>
    <row r="1545" spans="1:12">
      <c r="A1545" s="28" t="s">
        <v>47</v>
      </c>
      <c r="B1545" s="28" t="s">
        <v>33</v>
      </c>
      <c r="C1545" s="28">
        <v>2017</v>
      </c>
      <c r="D1545" s="28" t="s">
        <v>1</v>
      </c>
      <c r="E1545" s="28" t="s">
        <v>2</v>
      </c>
      <c r="F1545" s="28">
        <v>9935000</v>
      </c>
      <c r="H1545">
        <f>VLOOKUP(A1545&amp;B1545,ticker_sector[],2,FALSE)</f>
        <v>13</v>
      </c>
      <c r="I1545">
        <f>VLOOKUP(C1545,year[],2,FALSE)</f>
        <v>7</v>
      </c>
      <c r="J1545">
        <f>VLOOKUP(E1545,showing[],2,FALSE)</f>
        <v>1</v>
      </c>
      <c r="K1545">
        <f>Сектора[[#This Row],[Значение]]</f>
        <v>9935000</v>
      </c>
      <c r="L1545" t="str">
        <f t="shared" si="24"/>
        <v>INSERT INTO msfo.statements (id_company, id_year, id_showing, value) VALUES (13,7,1,9935000);</v>
      </c>
    </row>
    <row r="1546" spans="1:12">
      <c r="A1546" s="28" t="s">
        <v>47</v>
      </c>
      <c r="B1546" s="28" t="s">
        <v>33</v>
      </c>
      <c r="C1546" s="28">
        <v>2010</v>
      </c>
      <c r="D1546" s="28" t="s">
        <v>1</v>
      </c>
      <c r="E1546" s="28" t="s">
        <v>3</v>
      </c>
      <c r="F1546" s="28">
        <v>696000</v>
      </c>
      <c r="H1546">
        <f>VLOOKUP(A1546&amp;B1546,ticker_sector[],2,FALSE)</f>
        <v>13</v>
      </c>
      <c r="I1546">
        <f>VLOOKUP(C1546,year[],2,FALSE)</f>
        <v>0</v>
      </c>
      <c r="J1546">
        <f>VLOOKUP(E1546,showing[],2,FALSE)</f>
        <v>2</v>
      </c>
      <c r="K1546">
        <f>Сектора[[#This Row],[Значение]]</f>
        <v>696000</v>
      </c>
      <c r="L1546" t="str">
        <f t="shared" si="24"/>
        <v>INSERT INTO msfo.statements (id_company, id_year, id_showing, value) VALUES (13,0,2,696000);</v>
      </c>
    </row>
    <row r="1547" spans="1:12">
      <c r="A1547" s="28" t="s">
        <v>47</v>
      </c>
      <c r="B1547" s="28" t="s">
        <v>33</v>
      </c>
      <c r="C1547" s="28">
        <v>2011</v>
      </c>
      <c r="D1547" s="28" t="s">
        <v>1</v>
      </c>
      <c r="E1547" s="28" t="s">
        <v>3</v>
      </c>
      <c r="F1547" s="28">
        <v>815000</v>
      </c>
      <c r="H1547">
        <f>VLOOKUP(A1547&amp;B1547,ticker_sector[],2,FALSE)</f>
        <v>13</v>
      </c>
      <c r="I1547">
        <f>VLOOKUP(C1547,year[],2,FALSE)</f>
        <v>1</v>
      </c>
      <c r="J1547">
        <f>VLOOKUP(E1547,showing[],2,FALSE)</f>
        <v>2</v>
      </c>
      <c r="K1547">
        <f>Сектора[[#This Row],[Значение]]</f>
        <v>815000</v>
      </c>
      <c r="L1547" t="str">
        <f t="shared" si="24"/>
        <v>INSERT INTO msfo.statements (id_company, id_year, id_showing, value) VALUES (13,1,2,815000);</v>
      </c>
    </row>
    <row r="1548" spans="1:12">
      <c r="A1548" s="28" t="s">
        <v>47</v>
      </c>
      <c r="B1548" s="28" t="s">
        <v>33</v>
      </c>
      <c r="C1548" s="28">
        <v>2012</v>
      </c>
      <c r="D1548" s="28" t="s">
        <v>1</v>
      </c>
      <c r="E1548" s="28" t="s">
        <v>3</v>
      </c>
      <c r="F1548" s="28">
        <v>920000</v>
      </c>
      <c r="H1548">
        <f>VLOOKUP(A1548&amp;B1548,ticker_sector[],2,FALSE)</f>
        <v>13</v>
      </c>
      <c r="I1548">
        <f>VLOOKUP(C1548,year[],2,FALSE)</f>
        <v>2</v>
      </c>
      <c r="J1548">
        <f>VLOOKUP(E1548,showing[],2,FALSE)</f>
        <v>2</v>
      </c>
      <c r="K1548">
        <f>Сектора[[#This Row],[Значение]]</f>
        <v>920000</v>
      </c>
      <c r="L1548" t="str">
        <f t="shared" si="24"/>
        <v>INSERT INTO msfo.statements (id_company, id_year, id_showing, value) VALUES (13,2,2,920000);</v>
      </c>
    </row>
    <row r="1549" spans="1:12">
      <c r="A1549" s="28" t="s">
        <v>47</v>
      </c>
      <c r="B1549" s="28" t="s">
        <v>33</v>
      </c>
      <c r="C1549" s="28">
        <v>2013</v>
      </c>
      <c r="D1549" s="28" t="s">
        <v>1</v>
      </c>
      <c r="E1549" s="28" t="s">
        <v>3</v>
      </c>
      <c r="F1549" s="28">
        <v>1455000</v>
      </c>
      <c r="H1549">
        <f>VLOOKUP(A1549&amp;B1549,ticker_sector[],2,FALSE)</f>
        <v>13</v>
      </c>
      <c r="I1549">
        <f>VLOOKUP(C1549,year[],2,FALSE)</f>
        <v>3</v>
      </c>
      <c r="J1549">
        <f>VLOOKUP(E1549,showing[],2,FALSE)</f>
        <v>2</v>
      </c>
      <c r="K1549">
        <f>Сектора[[#This Row],[Значение]]</f>
        <v>1455000</v>
      </c>
      <c r="L1549" t="str">
        <f t="shared" si="24"/>
        <v>INSERT INTO msfo.statements (id_company, id_year, id_showing, value) VALUES (13,3,2,1455000);</v>
      </c>
    </row>
    <row r="1550" spans="1:12">
      <c r="A1550" s="28" t="s">
        <v>47</v>
      </c>
      <c r="B1550" s="28" t="s">
        <v>33</v>
      </c>
      <c r="C1550" s="28">
        <v>2014</v>
      </c>
      <c r="D1550" s="28" t="s">
        <v>1</v>
      </c>
      <c r="E1550" s="28" t="s">
        <v>3</v>
      </c>
      <c r="F1550" s="28">
        <v>2131000</v>
      </c>
      <c r="H1550">
        <f>VLOOKUP(A1550&amp;B1550,ticker_sector[],2,FALSE)</f>
        <v>13</v>
      </c>
      <c r="I1550">
        <f>VLOOKUP(C1550,year[],2,FALSE)</f>
        <v>4</v>
      </c>
      <c r="J1550">
        <f>VLOOKUP(E1550,showing[],2,FALSE)</f>
        <v>2</v>
      </c>
      <c r="K1550">
        <f>Сектора[[#This Row],[Значение]]</f>
        <v>2131000</v>
      </c>
      <c r="L1550" t="str">
        <f t="shared" si="24"/>
        <v>INSERT INTO msfo.statements (id_company, id_year, id_showing, value) VALUES (13,4,2,2131000);</v>
      </c>
    </row>
    <row r="1551" spans="1:12">
      <c r="A1551" s="28" t="s">
        <v>47</v>
      </c>
      <c r="B1551" s="28" t="s">
        <v>33</v>
      </c>
      <c r="C1551" s="28">
        <v>2015</v>
      </c>
      <c r="D1551" s="28" t="s">
        <v>1</v>
      </c>
      <c r="E1551" s="28" t="s">
        <v>3</v>
      </c>
      <c r="F1551" s="28">
        <v>2404000</v>
      </c>
      <c r="H1551">
        <f>VLOOKUP(A1551&amp;B1551,ticker_sector[],2,FALSE)</f>
        <v>13</v>
      </c>
      <c r="I1551">
        <f>VLOOKUP(C1551,year[],2,FALSE)</f>
        <v>5</v>
      </c>
      <c r="J1551">
        <f>VLOOKUP(E1551,showing[],2,FALSE)</f>
        <v>2</v>
      </c>
      <c r="K1551">
        <f>Сектора[[#This Row],[Значение]]</f>
        <v>2404000</v>
      </c>
      <c r="L1551" t="str">
        <f t="shared" si="24"/>
        <v>INSERT INTO msfo.statements (id_company, id_year, id_showing, value) VALUES (13,5,2,2404000);</v>
      </c>
    </row>
    <row r="1552" spans="1:12">
      <c r="A1552" s="28" t="s">
        <v>47</v>
      </c>
      <c r="B1552" s="28" t="s">
        <v>33</v>
      </c>
      <c r="C1552" s="28">
        <v>2016</v>
      </c>
      <c r="D1552" s="28" t="s">
        <v>1</v>
      </c>
      <c r="E1552" s="28" t="s">
        <v>3</v>
      </c>
      <c r="F1552" s="28">
        <v>2300000</v>
      </c>
      <c r="H1552">
        <f>VLOOKUP(A1552&amp;B1552,ticker_sector[],2,FALSE)</f>
        <v>13</v>
      </c>
      <c r="I1552">
        <f>VLOOKUP(C1552,year[],2,FALSE)</f>
        <v>6</v>
      </c>
      <c r="J1552">
        <f>VLOOKUP(E1552,showing[],2,FALSE)</f>
        <v>2</v>
      </c>
      <c r="K1552">
        <f>Сектора[[#This Row],[Значение]]</f>
        <v>2300000</v>
      </c>
      <c r="L1552" t="str">
        <f t="shared" si="24"/>
        <v>INSERT INTO msfo.statements (id_company, id_year, id_showing, value) VALUES (13,6,2,2300000);</v>
      </c>
    </row>
    <row r="1553" spans="1:12">
      <c r="A1553" s="28" t="s">
        <v>47</v>
      </c>
      <c r="B1553" s="28" t="s">
        <v>33</v>
      </c>
      <c r="C1553" s="28">
        <v>2017</v>
      </c>
      <c r="D1553" s="28" t="s">
        <v>1</v>
      </c>
      <c r="E1553" s="28" t="s">
        <v>3</v>
      </c>
      <c r="F1553" s="28">
        <v>2292000</v>
      </c>
      <c r="H1553">
        <f>VLOOKUP(A1553&amp;B1553,ticker_sector[],2,FALSE)</f>
        <v>13</v>
      </c>
      <c r="I1553">
        <f>VLOOKUP(C1553,year[],2,FALSE)</f>
        <v>7</v>
      </c>
      <c r="J1553">
        <f>VLOOKUP(E1553,showing[],2,FALSE)</f>
        <v>2</v>
      </c>
      <c r="K1553">
        <f>Сектора[[#This Row],[Значение]]</f>
        <v>2292000</v>
      </c>
      <c r="L1553" t="str">
        <f t="shared" si="24"/>
        <v>INSERT INTO msfo.statements (id_company, id_year, id_showing, value) VALUES (13,7,2,2292000);</v>
      </c>
    </row>
    <row r="1554" spans="1:12">
      <c r="A1554" s="28" t="s">
        <v>47</v>
      </c>
      <c r="B1554" s="28" t="s">
        <v>33</v>
      </c>
      <c r="C1554" s="28">
        <v>2010</v>
      </c>
      <c r="D1554" s="28" t="s">
        <v>1</v>
      </c>
      <c r="E1554" s="28" t="s">
        <v>5</v>
      </c>
      <c r="F1554" s="28">
        <v>3014000</v>
      </c>
      <c r="H1554">
        <f>VLOOKUP(A1554&amp;B1554,ticker_sector[],2,FALSE)</f>
        <v>13</v>
      </c>
      <c r="I1554">
        <f>VLOOKUP(C1554,year[],2,FALSE)</f>
        <v>0</v>
      </c>
      <c r="J1554">
        <f>VLOOKUP(E1554,showing[],2,FALSE)</f>
        <v>3</v>
      </c>
      <c r="K1554">
        <f>Сектора[[#This Row],[Значение]]</f>
        <v>3014000</v>
      </c>
      <c r="L1554" t="str">
        <f t="shared" si="24"/>
        <v>INSERT INTO msfo.statements (id_company, id_year, id_showing, value) VALUES (13,0,3,3014000);</v>
      </c>
    </row>
    <row r="1555" spans="1:12">
      <c r="A1555" s="28" t="s">
        <v>47</v>
      </c>
      <c r="B1555" s="28" t="s">
        <v>33</v>
      </c>
      <c r="C1555" s="28">
        <v>2011</v>
      </c>
      <c r="D1555" s="28" t="s">
        <v>1</v>
      </c>
      <c r="E1555" s="28" t="s">
        <v>5</v>
      </c>
      <c r="F1555" s="28">
        <v>3377000</v>
      </c>
      <c r="H1555">
        <f>VLOOKUP(A1555&amp;B1555,ticker_sector[],2,FALSE)</f>
        <v>13</v>
      </c>
      <c r="I1555">
        <f>VLOOKUP(C1555,year[],2,FALSE)</f>
        <v>1</v>
      </c>
      <c r="J1555">
        <f>VLOOKUP(E1555,showing[],2,FALSE)</f>
        <v>3</v>
      </c>
      <c r="K1555">
        <f>Сектора[[#This Row],[Значение]]</f>
        <v>3377000</v>
      </c>
      <c r="L1555" t="str">
        <f t="shared" si="24"/>
        <v>INSERT INTO msfo.statements (id_company, id_year, id_showing, value) VALUES (13,1,3,3377000);</v>
      </c>
    </row>
    <row r="1556" spans="1:12">
      <c r="A1556" s="28" t="s">
        <v>47</v>
      </c>
      <c r="B1556" s="28" t="s">
        <v>33</v>
      </c>
      <c r="C1556" s="28">
        <v>2012</v>
      </c>
      <c r="D1556" s="28" t="s">
        <v>1</v>
      </c>
      <c r="E1556" s="28" t="s">
        <v>5</v>
      </c>
      <c r="F1556" s="28">
        <v>3858000</v>
      </c>
      <c r="H1556">
        <f>VLOOKUP(A1556&amp;B1556,ticker_sector[],2,FALSE)</f>
        <v>13</v>
      </c>
      <c r="I1556">
        <f>VLOOKUP(C1556,year[],2,FALSE)</f>
        <v>2</v>
      </c>
      <c r="J1556">
        <f>VLOOKUP(E1556,showing[],2,FALSE)</f>
        <v>3</v>
      </c>
      <c r="K1556">
        <f>Сектора[[#This Row],[Значение]]</f>
        <v>3858000</v>
      </c>
      <c r="L1556" t="str">
        <f t="shared" si="24"/>
        <v>INSERT INTO msfo.statements (id_company, id_year, id_showing, value) VALUES (13,2,3,3858000);</v>
      </c>
    </row>
    <row r="1557" spans="1:12">
      <c r="A1557" s="28" t="s">
        <v>47</v>
      </c>
      <c r="B1557" s="28" t="s">
        <v>33</v>
      </c>
      <c r="C1557" s="28">
        <v>2013</v>
      </c>
      <c r="D1557" s="28" t="s">
        <v>1</v>
      </c>
      <c r="E1557" s="28" t="s">
        <v>5</v>
      </c>
      <c r="F1557" s="28">
        <v>7538000</v>
      </c>
      <c r="H1557">
        <f>VLOOKUP(A1557&amp;B1557,ticker_sector[],2,FALSE)</f>
        <v>13</v>
      </c>
      <c r="I1557">
        <f>VLOOKUP(C1557,year[],2,FALSE)</f>
        <v>3</v>
      </c>
      <c r="J1557">
        <f>VLOOKUP(E1557,showing[],2,FALSE)</f>
        <v>3</v>
      </c>
      <c r="K1557">
        <f>Сектора[[#This Row],[Значение]]</f>
        <v>7538000</v>
      </c>
      <c r="L1557" t="str">
        <f t="shared" si="24"/>
        <v>INSERT INTO msfo.statements (id_company, id_year, id_showing, value) VALUES (13,3,3,7538000);</v>
      </c>
    </row>
    <row r="1558" spans="1:12">
      <c r="A1558" s="28" t="s">
        <v>47</v>
      </c>
      <c r="B1558" s="28" t="s">
        <v>33</v>
      </c>
      <c r="C1558" s="28">
        <v>2014</v>
      </c>
      <c r="D1558" s="28" t="s">
        <v>1</v>
      </c>
      <c r="E1558" s="28" t="s">
        <v>5</v>
      </c>
      <c r="F1558" s="28">
        <v>8736000</v>
      </c>
      <c r="H1558">
        <f>VLOOKUP(A1558&amp;B1558,ticker_sector[],2,FALSE)</f>
        <v>13</v>
      </c>
      <c r="I1558">
        <f>VLOOKUP(C1558,year[],2,FALSE)</f>
        <v>4</v>
      </c>
      <c r="J1558">
        <f>VLOOKUP(E1558,showing[],2,FALSE)</f>
        <v>3</v>
      </c>
      <c r="K1558">
        <f>Сектора[[#This Row],[Значение]]</f>
        <v>8736000</v>
      </c>
      <c r="L1558" t="str">
        <f t="shared" si="24"/>
        <v>INSERT INTO msfo.statements (id_company, id_year, id_showing, value) VALUES (13,4,3,8736000);</v>
      </c>
    </row>
    <row r="1559" spans="1:12">
      <c r="A1559" s="28" t="s">
        <v>47</v>
      </c>
      <c r="B1559" s="28" t="s">
        <v>33</v>
      </c>
      <c r="C1559" s="28">
        <v>2015</v>
      </c>
      <c r="D1559" s="28" t="s">
        <v>1</v>
      </c>
      <c r="E1559" s="28" t="s">
        <v>5</v>
      </c>
      <c r="F1559" s="28">
        <v>9638000</v>
      </c>
      <c r="H1559">
        <f>VLOOKUP(A1559&amp;B1559,ticker_sector[],2,FALSE)</f>
        <v>13</v>
      </c>
      <c r="I1559">
        <f>VLOOKUP(C1559,year[],2,FALSE)</f>
        <v>5</v>
      </c>
      <c r="J1559">
        <f>VLOOKUP(E1559,showing[],2,FALSE)</f>
        <v>3</v>
      </c>
      <c r="K1559">
        <f>Сектора[[#This Row],[Значение]]</f>
        <v>9638000</v>
      </c>
      <c r="L1559" t="str">
        <f t="shared" si="24"/>
        <v>INSERT INTO msfo.statements (id_company, id_year, id_showing, value) VALUES (13,5,3,9638000);</v>
      </c>
    </row>
    <row r="1560" spans="1:12">
      <c r="A1560" s="28" t="s">
        <v>47</v>
      </c>
      <c r="B1560" s="28" t="s">
        <v>33</v>
      </c>
      <c r="C1560" s="28">
        <v>2016</v>
      </c>
      <c r="D1560" s="28" t="s">
        <v>1</v>
      </c>
      <c r="E1560" s="28" t="s">
        <v>5</v>
      </c>
      <c r="F1560" s="28">
        <v>11030000</v>
      </c>
      <c r="H1560">
        <f>VLOOKUP(A1560&amp;B1560,ticker_sector[],2,FALSE)</f>
        <v>13</v>
      </c>
      <c r="I1560">
        <f>VLOOKUP(C1560,year[],2,FALSE)</f>
        <v>6</v>
      </c>
      <c r="J1560">
        <f>VLOOKUP(E1560,showing[],2,FALSE)</f>
        <v>3</v>
      </c>
      <c r="K1560">
        <f>Сектора[[#This Row],[Значение]]</f>
        <v>11030000</v>
      </c>
      <c r="L1560" t="str">
        <f t="shared" si="24"/>
        <v>INSERT INTO msfo.statements (id_company, id_year, id_showing, value) VALUES (13,6,3,11030000);</v>
      </c>
    </row>
    <row r="1561" spans="1:12">
      <c r="A1561" s="28" t="s">
        <v>47</v>
      </c>
      <c r="B1561" s="28" t="s">
        <v>33</v>
      </c>
      <c r="C1561" s="28">
        <v>2017</v>
      </c>
      <c r="D1561" s="28" t="s">
        <v>1</v>
      </c>
      <c r="E1561" s="28" t="s">
        <v>5</v>
      </c>
      <c r="F1561" s="28">
        <v>12227000</v>
      </c>
      <c r="H1561">
        <f>VLOOKUP(A1561&amp;B1561,ticker_sector[],2,FALSE)</f>
        <v>13</v>
      </c>
      <c r="I1561">
        <f>VLOOKUP(C1561,year[],2,FALSE)</f>
        <v>7</v>
      </c>
      <c r="J1561">
        <f>VLOOKUP(E1561,showing[],2,FALSE)</f>
        <v>3</v>
      </c>
      <c r="K1561">
        <f>Сектора[[#This Row],[Значение]]</f>
        <v>12227000</v>
      </c>
      <c r="L1561" t="str">
        <f t="shared" si="24"/>
        <v>INSERT INTO msfo.statements (id_company, id_year, id_showing, value) VALUES (13,7,3,12227000);</v>
      </c>
    </row>
    <row r="1562" spans="1:12">
      <c r="A1562" s="28" t="s">
        <v>47</v>
      </c>
      <c r="B1562" s="28" t="s">
        <v>33</v>
      </c>
      <c r="C1562" s="28">
        <v>2010</v>
      </c>
      <c r="D1562" s="28" t="s">
        <v>1</v>
      </c>
      <c r="E1562" s="28" t="s">
        <v>6</v>
      </c>
      <c r="F1562" s="28">
        <v>1791000</v>
      </c>
      <c r="H1562">
        <f>VLOOKUP(A1562&amp;B1562,ticker_sector[],2,FALSE)</f>
        <v>13</v>
      </c>
      <c r="I1562">
        <f>VLOOKUP(C1562,year[],2,FALSE)</f>
        <v>0</v>
      </c>
      <c r="J1562">
        <f>VLOOKUP(E1562,showing[],2,FALSE)</f>
        <v>4</v>
      </c>
      <c r="K1562">
        <f>Сектора[[#This Row],[Значение]]</f>
        <v>1791000</v>
      </c>
      <c r="L1562" t="str">
        <f t="shared" si="24"/>
        <v>INSERT INTO msfo.statements (id_company, id_year, id_showing, value) VALUES (13,0,4,1791000);</v>
      </c>
    </row>
    <row r="1563" spans="1:12">
      <c r="A1563" s="28" t="s">
        <v>47</v>
      </c>
      <c r="B1563" s="28" t="s">
        <v>33</v>
      </c>
      <c r="C1563" s="28">
        <v>2011</v>
      </c>
      <c r="D1563" s="28" t="s">
        <v>1</v>
      </c>
      <c r="E1563" s="28" t="s">
        <v>6</v>
      </c>
      <c r="F1563" s="28">
        <v>2069000</v>
      </c>
      <c r="H1563">
        <f>VLOOKUP(A1563&amp;B1563,ticker_sector[],2,FALSE)</f>
        <v>13</v>
      </c>
      <c r="I1563">
        <f>VLOOKUP(C1563,year[],2,FALSE)</f>
        <v>1</v>
      </c>
      <c r="J1563">
        <f>VLOOKUP(E1563,showing[],2,FALSE)</f>
        <v>4</v>
      </c>
      <c r="K1563">
        <f>Сектора[[#This Row],[Значение]]</f>
        <v>2069000</v>
      </c>
      <c r="L1563" t="str">
        <f t="shared" si="24"/>
        <v>INSERT INTO msfo.statements (id_company, id_year, id_showing, value) VALUES (13,1,4,2069000);</v>
      </c>
    </row>
    <row r="1564" spans="1:12">
      <c r="A1564" s="28" t="s">
        <v>47</v>
      </c>
      <c r="B1564" s="28" t="s">
        <v>33</v>
      </c>
      <c r="C1564" s="28">
        <v>2012</v>
      </c>
      <c r="D1564" s="28" t="s">
        <v>1</v>
      </c>
      <c r="E1564" s="28" t="s">
        <v>6</v>
      </c>
      <c r="F1564" s="28">
        <v>2266000</v>
      </c>
      <c r="H1564">
        <f>VLOOKUP(A1564&amp;B1564,ticker_sector[],2,FALSE)</f>
        <v>13</v>
      </c>
      <c r="I1564">
        <f>VLOOKUP(C1564,year[],2,FALSE)</f>
        <v>2</v>
      </c>
      <c r="J1564">
        <f>VLOOKUP(E1564,showing[],2,FALSE)</f>
        <v>4</v>
      </c>
      <c r="K1564">
        <f>Сектора[[#This Row],[Значение]]</f>
        <v>2266000</v>
      </c>
      <c r="L1564" t="str">
        <f t="shared" si="24"/>
        <v>INSERT INTO msfo.statements (id_company, id_year, id_showing, value) VALUES (13,2,4,2266000);</v>
      </c>
    </row>
    <row r="1565" spans="1:12">
      <c r="A1565" s="28" t="s">
        <v>47</v>
      </c>
      <c r="B1565" s="28" t="s">
        <v>33</v>
      </c>
      <c r="C1565" s="28">
        <v>2013</v>
      </c>
      <c r="D1565" s="28" t="s">
        <v>1</v>
      </c>
      <c r="E1565" s="28" t="s">
        <v>6</v>
      </c>
      <c r="F1565" s="28">
        <v>3165000</v>
      </c>
      <c r="H1565">
        <f>VLOOKUP(A1565&amp;B1565,ticker_sector[],2,FALSE)</f>
        <v>13</v>
      </c>
      <c r="I1565">
        <f>VLOOKUP(C1565,year[],2,FALSE)</f>
        <v>3</v>
      </c>
      <c r="J1565">
        <f>VLOOKUP(E1565,showing[],2,FALSE)</f>
        <v>4</v>
      </c>
      <c r="K1565">
        <f>Сектора[[#This Row],[Значение]]</f>
        <v>3165000</v>
      </c>
      <c r="L1565" t="str">
        <f t="shared" si="24"/>
        <v>INSERT INTO msfo.statements (id_company, id_year, id_showing, value) VALUES (13,3,4,3165000);</v>
      </c>
    </row>
    <row r="1566" spans="1:12">
      <c r="A1566" s="28" t="s">
        <v>47</v>
      </c>
      <c r="B1566" s="28" t="s">
        <v>33</v>
      </c>
      <c r="C1566" s="28">
        <v>2014</v>
      </c>
      <c r="D1566" s="28" t="s">
        <v>1</v>
      </c>
      <c r="E1566" s="28" t="s">
        <v>6</v>
      </c>
      <c r="F1566" s="28">
        <v>2881000</v>
      </c>
      <c r="H1566">
        <f>VLOOKUP(A1566&amp;B1566,ticker_sector[],2,FALSE)</f>
        <v>13</v>
      </c>
      <c r="I1566">
        <f>VLOOKUP(C1566,year[],2,FALSE)</f>
        <v>4</v>
      </c>
      <c r="J1566">
        <f>VLOOKUP(E1566,showing[],2,FALSE)</f>
        <v>4</v>
      </c>
      <c r="K1566">
        <f>Сектора[[#This Row],[Значение]]</f>
        <v>2881000</v>
      </c>
      <c r="L1566" t="str">
        <f t="shared" si="24"/>
        <v>INSERT INTO msfo.statements (id_company, id_year, id_showing, value) VALUES (13,4,4,2881000);</v>
      </c>
    </row>
    <row r="1567" spans="1:12">
      <c r="A1567" s="28" t="s">
        <v>47</v>
      </c>
      <c r="B1567" s="28" t="s">
        <v>33</v>
      </c>
      <c r="C1567" s="28">
        <v>2015</v>
      </c>
      <c r="D1567" s="28" t="s">
        <v>1</v>
      </c>
      <c r="E1567" s="28" t="s">
        <v>6</v>
      </c>
      <c r="F1567" s="28">
        <v>2929000</v>
      </c>
      <c r="H1567">
        <f>VLOOKUP(A1567&amp;B1567,ticker_sector[],2,FALSE)</f>
        <v>13</v>
      </c>
      <c r="I1567">
        <f>VLOOKUP(C1567,year[],2,FALSE)</f>
        <v>5</v>
      </c>
      <c r="J1567">
        <f>VLOOKUP(E1567,showing[],2,FALSE)</f>
        <v>4</v>
      </c>
      <c r="K1567">
        <f>Сектора[[#This Row],[Значение]]</f>
        <v>2929000</v>
      </c>
      <c r="L1567" t="str">
        <f t="shared" si="24"/>
        <v>INSERT INTO msfo.statements (id_company, id_year, id_showing, value) VALUES (13,5,4,2929000);</v>
      </c>
    </row>
    <row r="1568" spans="1:12">
      <c r="A1568" s="28" t="s">
        <v>47</v>
      </c>
      <c r="B1568" s="28" t="s">
        <v>33</v>
      </c>
      <c r="C1568" s="28">
        <v>2016</v>
      </c>
      <c r="D1568" s="28" t="s">
        <v>1</v>
      </c>
      <c r="E1568" s="28" t="s">
        <v>6</v>
      </c>
      <c r="F1568" s="28">
        <v>3726000</v>
      </c>
      <c r="H1568">
        <f>VLOOKUP(A1568&amp;B1568,ticker_sector[],2,FALSE)</f>
        <v>13</v>
      </c>
      <c r="I1568">
        <f>VLOOKUP(C1568,year[],2,FALSE)</f>
        <v>6</v>
      </c>
      <c r="J1568">
        <f>VLOOKUP(E1568,showing[],2,FALSE)</f>
        <v>4</v>
      </c>
      <c r="K1568">
        <f>Сектора[[#This Row],[Значение]]</f>
        <v>3726000</v>
      </c>
      <c r="L1568" t="str">
        <f t="shared" si="24"/>
        <v>INSERT INTO msfo.statements (id_company, id_year, id_showing, value) VALUES (13,6,4,3726000);</v>
      </c>
    </row>
    <row r="1569" spans="1:12">
      <c r="A1569" s="28" t="s">
        <v>47</v>
      </c>
      <c r="B1569" s="28" t="s">
        <v>33</v>
      </c>
      <c r="C1569" s="28">
        <v>2017</v>
      </c>
      <c r="D1569" s="28" t="s">
        <v>1</v>
      </c>
      <c r="E1569" s="28" t="s">
        <v>6</v>
      </c>
      <c r="F1569" s="28">
        <v>4183000</v>
      </c>
      <c r="H1569">
        <f>VLOOKUP(A1569&amp;B1569,ticker_sector[],2,FALSE)</f>
        <v>13</v>
      </c>
      <c r="I1569">
        <f>VLOOKUP(C1569,year[],2,FALSE)</f>
        <v>7</v>
      </c>
      <c r="J1569">
        <f>VLOOKUP(E1569,showing[],2,FALSE)</f>
        <v>4</v>
      </c>
      <c r="K1569">
        <f>Сектора[[#This Row],[Значение]]</f>
        <v>4183000</v>
      </c>
      <c r="L1569" t="str">
        <f t="shared" si="24"/>
        <v>INSERT INTO msfo.statements (id_company, id_year, id_showing, value) VALUES (13,7,4,4183000);</v>
      </c>
    </row>
    <row r="1570" spans="1:12">
      <c r="A1570" s="28" t="s">
        <v>47</v>
      </c>
      <c r="B1570" s="28" t="s">
        <v>33</v>
      </c>
      <c r="C1570" s="28">
        <v>2010</v>
      </c>
      <c r="D1570" s="28" t="s">
        <v>1</v>
      </c>
      <c r="E1570" s="28" t="s">
        <v>8</v>
      </c>
      <c r="F1570" s="28">
        <v>871000</v>
      </c>
      <c r="H1570">
        <f>VLOOKUP(A1570&amp;B1570,ticker_sector[],2,FALSE)</f>
        <v>13</v>
      </c>
      <c r="I1570">
        <f>VLOOKUP(C1570,year[],2,FALSE)</f>
        <v>0</v>
      </c>
      <c r="J1570">
        <f>VLOOKUP(E1570,showing[],2,FALSE)</f>
        <v>5</v>
      </c>
      <c r="K1570">
        <f>Сектора[[#This Row],[Значение]]</f>
        <v>871000</v>
      </c>
      <c r="L1570" t="str">
        <f t="shared" si="24"/>
        <v>INSERT INTO msfo.statements (id_company, id_year, id_showing, value) VALUES (13,0,5,871000);</v>
      </c>
    </row>
    <row r="1571" spans="1:12">
      <c r="A1571" s="28" t="s">
        <v>47</v>
      </c>
      <c r="B1571" s="28" t="s">
        <v>33</v>
      </c>
      <c r="C1571" s="28">
        <v>2011</v>
      </c>
      <c r="D1571" s="28" t="s">
        <v>1</v>
      </c>
      <c r="E1571" s="28" t="s">
        <v>8</v>
      </c>
      <c r="F1571" s="28">
        <v>894000</v>
      </c>
      <c r="H1571">
        <f>VLOOKUP(A1571&amp;B1571,ticker_sector[],2,FALSE)</f>
        <v>13</v>
      </c>
      <c r="I1571">
        <f>VLOOKUP(C1571,year[],2,FALSE)</f>
        <v>1</v>
      </c>
      <c r="J1571">
        <f>VLOOKUP(E1571,showing[],2,FALSE)</f>
        <v>5</v>
      </c>
      <c r="K1571">
        <f>Сектора[[#This Row],[Значение]]</f>
        <v>894000</v>
      </c>
      <c r="L1571" t="str">
        <f t="shared" si="24"/>
        <v>INSERT INTO msfo.statements (id_company, id_year, id_showing, value) VALUES (13,1,5,894000);</v>
      </c>
    </row>
    <row r="1572" spans="1:12">
      <c r="A1572" s="28" t="s">
        <v>47</v>
      </c>
      <c r="B1572" s="28" t="s">
        <v>33</v>
      </c>
      <c r="C1572" s="28">
        <v>2012</v>
      </c>
      <c r="D1572" s="28" t="s">
        <v>1</v>
      </c>
      <c r="E1572" s="28" t="s">
        <v>8</v>
      </c>
      <c r="F1572" s="28">
        <v>1165000</v>
      </c>
      <c r="H1572">
        <f>VLOOKUP(A1572&amp;B1572,ticker_sector[],2,FALSE)</f>
        <v>13</v>
      </c>
      <c r="I1572">
        <f>VLOOKUP(C1572,year[],2,FALSE)</f>
        <v>2</v>
      </c>
      <c r="J1572">
        <f>VLOOKUP(E1572,showing[],2,FALSE)</f>
        <v>5</v>
      </c>
      <c r="K1572">
        <f>Сектора[[#This Row],[Значение]]</f>
        <v>1165000</v>
      </c>
      <c r="L1572" t="str">
        <f t="shared" si="24"/>
        <v>INSERT INTO msfo.statements (id_company, id_year, id_showing, value) VALUES (13,2,5,1165000);</v>
      </c>
    </row>
    <row r="1573" spans="1:12">
      <c r="A1573" s="28" t="s">
        <v>47</v>
      </c>
      <c r="B1573" s="28" t="s">
        <v>33</v>
      </c>
      <c r="C1573" s="28">
        <v>2013</v>
      </c>
      <c r="D1573" s="28" t="s">
        <v>1</v>
      </c>
      <c r="E1573" s="28" t="s">
        <v>8</v>
      </c>
      <c r="F1573" s="28">
        <v>2986000</v>
      </c>
      <c r="H1573">
        <f>VLOOKUP(A1573&amp;B1573,ticker_sector[],2,FALSE)</f>
        <v>13</v>
      </c>
      <c r="I1573">
        <f>VLOOKUP(C1573,year[],2,FALSE)</f>
        <v>3</v>
      </c>
      <c r="J1573">
        <f>VLOOKUP(E1573,showing[],2,FALSE)</f>
        <v>5</v>
      </c>
      <c r="K1573">
        <f>Сектора[[#This Row],[Значение]]</f>
        <v>2986000</v>
      </c>
      <c r="L1573" t="str">
        <f t="shared" si="24"/>
        <v>INSERT INTO msfo.statements (id_company, id_year, id_showing, value) VALUES (13,3,5,2986000);</v>
      </c>
    </row>
    <row r="1574" spans="1:12">
      <c r="A1574" s="28" t="s">
        <v>47</v>
      </c>
      <c r="B1574" s="28" t="s">
        <v>33</v>
      </c>
      <c r="C1574" s="28">
        <v>2014</v>
      </c>
      <c r="D1574" s="28" t="s">
        <v>1</v>
      </c>
      <c r="E1574" s="28" t="s">
        <v>8</v>
      </c>
      <c r="F1574" s="28">
        <v>3824000</v>
      </c>
      <c r="H1574">
        <f>VLOOKUP(A1574&amp;B1574,ticker_sector[],2,FALSE)</f>
        <v>13</v>
      </c>
      <c r="I1574">
        <f>VLOOKUP(C1574,year[],2,FALSE)</f>
        <v>4</v>
      </c>
      <c r="J1574">
        <f>VLOOKUP(E1574,showing[],2,FALSE)</f>
        <v>5</v>
      </c>
      <c r="K1574">
        <f>Сектора[[#This Row],[Значение]]</f>
        <v>3824000</v>
      </c>
      <c r="L1574" t="str">
        <f t="shared" si="24"/>
        <v>INSERT INTO msfo.statements (id_company, id_year, id_showing, value) VALUES (13,4,5,3824000);</v>
      </c>
    </row>
    <row r="1575" spans="1:12">
      <c r="A1575" s="28" t="s">
        <v>47</v>
      </c>
      <c r="B1575" s="28" t="s">
        <v>33</v>
      </c>
      <c r="C1575" s="28">
        <v>2015</v>
      </c>
      <c r="D1575" s="28" t="s">
        <v>1</v>
      </c>
      <c r="E1575" s="28" t="s">
        <v>8</v>
      </c>
      <c r="F1575" s="28">
        <v>4892000</v>
      </c>
      <c r="H1575">
        <f>VLOOKUP(A1575&amp;B1575,ticker_sector[],2,FALSE)</f>
        <v>13</v>
      </c>
      <c r="I1575">
        <f>VLOOKUP(C1575,year[],2,FALSE)</f>
        <v>5</v>
      </c>
      <c r="J1575">
        <f>VLOOKUP(E1575,showing[],2,FALSE)</f>
        <v>5</v>
      </c>
      <c r="K1575">
        <f>Сектора[[#This Row],[Значение]]</f>
        <v>4892000</v>
      </c>
      <c r="L1575" t="str">
        <f t="shared" si="24"/>
        <v>INSERT INTO msfo.statements (id_company, id_year, id_showing, value) VALUES (13,5,5,4892000);</v>
      </c>
    </row>
    <row r="1576" spans="1:12">
      <c r="A1576" s="28" t="s">
        <v>47</v>
      </c>
      <c r="B1576" s="28" t="s">
        <v>33</v>
      </c>
      <c r="C1576" s="28">
        <v>2016</v>
      </c>
      <c r="D1576" s="28" t="s">
        <v>1</v>
      </c>
      <c r="E1576" s="28" t="s">
        <v>8</v>
      </c>
      <c r="F1576" s="28">
        <v>4531000</v>
      </c>
      <c r="H1576">
        <f>VLOOKUP(A1576&amp;B1576,ticker_sector[],2,FALSE)</f>
        <v>13</v>
      </c>
      <c r="I1576">
        <f>VLOOKUP(C1576,year[],2,FALSE)</f>
        <v>6</v>
      </c>
      <c r="J1576">
        <f>VLOOKUP(E1576,showing[],2,FALSE)</f>
        <v>5</v>
      </c>
      <c r="K1576">
        <f>Сектора[[#This Row],[Значение]]</f>
        <v>4531000</v>
      </c>
      <c r="L1576" t="str">
        <f t="shared" si="24"/>
        <v>INSERT INTO msfo.statements (id_company, id_year, id_showing, value) VALUES (13,6,5,4531000);</v>
      </c>
    </row>
    <row r="1577" spans="1:12">
      <c r="A1577" s="28" t="s">
        <v>47</v>
      </c>
      <c r="B1577" s="28" t="s">
        <v>33</v>
      </c>
      <c r="C1577" s="28">
        <v>2017</v>
      </c>
      <c r="D1577" s="28" t="s">
        <v>1</v>
      </c>
      <c r="E1577" s="28" t="s">
        <v>8</v>
      </c>
      <c r="F1577" s="28">
        <v>4208000</v>
      </c>
      <c r="H1577">
        <f>VLOOKUP(A1577&amp;B1577,ticker_sector[],2,FALSE)</f>
        <v>13</v>
      </c>
      <c r="I1577">
        <f>VLOOKUP(C1577,year[],2,FALSE)</f>
        <v>7</v>
      </c>
      <c r="J1577">
        <f>VLOOKUP(E1577,showing[],2,FALSE)</f>
        <v>5</v>
      </c>
      <c r="K1577">
        <f>Сектора[[#This Row],[Значение]]</f>
        <v>4208000</v>
      </c>
      <c r="L1577" t="str">
        <f t="shared" si="24"/>
        <v>INSERT INTO msfo.statements (id_company, id_year, id_showing, value) VALUES (13,7,5,4208000);</v>
      </c>
    </row>
    <row r="1578" spans="1:12">
      <c r="A1578" s="28" t="s">
        <v>47</v>
      </c>
      <c r="B1578" s="28" t="s">
        <v>33</v>
      </c>
      <c r="C1578" s="28">
        <v>2010</v>
      </c>
      <c r="D1578" s="28" t="s">
        <v>1</v>
      </c>
      <c r="E1578" s="28" t="s">
        <v>9</v>
      </c>
      <c r="F1578" s="28">
        <v>352000</v>
      </c>
      <c r="H1578">
        <f>VLOOKUP(A1578&amp;B1578,ticker_sector[],2,FALSE)</f>
        <v>13</v>
      </c>
      <c r="I1578">
        <f>VLOOKUP(C1578,year[],2,FALSE)</f>
        <v>0</v>
      </c>
      <c r="J1578">
        <f>VLOOKUP(E1578,showing[],2,FALSE)</f>
        <v>6</v>
      </c>
      <c r="K1578">
        <f>Сектора[[#This Row],[Значение]]</f>
        <v>352000</v>
      </c>
      <c r="L1578" t="str">
        <f t="shared" si="24"/>
        <v>INSERT INTO msfo.statements (id_company, id_year, id_showing, value) VALUES (13,0,6,352000);</v>
      </c>
    </row>
    <row r="1579" spans="1:12">
      <c r="A1579" s="28" t="s">
        <v>47</v>
      </c>
      <c r="B1579" s="28" t="s">
        <v>33</v>
      </c>
      <c r="C1579" s="28">
        <v>2011</v>
      </c>
      <c r="D1579" s="28" t="s">
        <v>1</v>
      </c>
      <c r="E1579" s="28" t="s">
        <v>9</v>
      </c>
      <c r="F1579" s="28">
        <v>414000</v>
      </c>
      <c r="H1579">
        <f>VLOOKUP(A1579&amp;B1579,ticker_sector[],2,FALSE)</f>
        <v>13</v>
      </c>
      <c r="I1579">
        <f>VLOOKUP(C1579,year[],2,FALSE)</f>
        <v>1</v>
      </c>
      <c r="J1579">
        <f>VLOOKUP(E1579,showing[],2,FALSE)</f>
        <v>6</v>
      </c>
      <c r="K1579">
        <f>Сектора[[#This Row],[Значение]]</f>
        <v>414000</v>
      </c>
      <c r="L1579" t="str">
        <f t="shared" si="24"/>
        <v>INSERT INTO msfo.statements (id_company, id_year, id_showing, value) VALUES (13,1,6,414000);</v>
      </c>
    </row>
    <row r="1580" spans="1:12">
      <c r="A1580" s="28" t="s">
        <v>47</v>
      </c>
      <c r="B1580" s="28" t="s">
        <v>33</v>
      </c>
      <c r="C1580" s="28">
        <v>2012</v>
      </c>
      <c r="D1580" s="28" t="s">
        <v>1</v>
      </c>
      <c r="E1580" s="28" t="s">
        <v>9</v>
      </c>
      <c r="F1580" s="28">
        <v>427000</v>
      </c>
      <c r="H1580">
        <f>VLOOKUP(A1580&amp;B1580,ticker_sector[],2,FALSE)</f>
        <v>13</v>
      </c>
      <c r="I1580">
        <f>VLOOKUP(C1580,year[],2,FALSE)</f>
        <v>2</v>
      </c>
      <c r="J1580">
        <f>VLOOKUP(E1580,showing[],2,FALSE)</f>
        <v>6</v>
      </c>
      <c r="K1580">
        <f>Сектора[[#This Row],[Значение]]</f>
        <v>427000</v>
      </c>
      <c r="L1580" t="str">
        <f t="shared" si="24"/>
        <v>INSERT INTO msfo.statements (id_company, id_year, id_showing, value) VALUES (13,2,6,427000);</v>
      </c>
    </row>
    <row r="1581" spans="1:12">
      <c r="A1581" s="28" t="s">
        <v>47</v>
      </c>
      <c r="B1581" s="28" t="s">
        <v>33</v>
      </c>
      <c r="C1581" s="28">
        <v>2013</v>
      </c>
      <c r="D1581" s="28" t="s">
        <v>1</v>
      </c>
      <c r="E1581" s="28" t="s">
        <v>9</v>
      </c>
      <c r="F1581" s="28">
        <v>1387000</v>
      </c>
      <c r="H1581">
        <f>VLOOKUP(A1581&amp;B1581,ticker_sector[],2,FALSE)</f>
        <v>13</v>
      </c>
      <c r="I1581">
        <f>VLOOKUP(C1581,year[],2,FALSE)</f>
        <v>3</v>
      </c>
      <c r="J1581">
        <f>VLOOKUP(E1581,showing[],2,FALSE)</f>
        <v>6</v>
      </c>
      <c r="K1581">
        <f>Сектора[[#This Row],[Значение]]</f>
        <v>1387000</v>
      </c>
      <c r="L1581" t="str">
        <f t="shared" si="24"/>
        <v>INSERT INTO msfo.statements (id_company, id_year, id_showing, value) VALUES (13,3,6,1387000);</v>
      </c>
    </row>
    <row r="1582" spans="1:12">
      <c r="A1582" s="28" t="s">
        <v>47</v>
      </c>
      <c r="B1582" s="28" t="s">
        <v>33</v>
      </c>
      <c r="C1582" s="28">
        <v>2014</v>
      </c>
      <c r="D1582" s="28" t="s">
        <v>1</v>
      </c>
      <c r="E1582" s="28" t="s">
        <v>9</v>
      </c>
      <c r="F1582" s="28">
        <v>2031000</v>
      </c>
      <c r="H1582">
        <f>VLOOKUP(A1582&amp;B1582,ticker_sector[],2,FALSE)</f>
        <v>13</v>
      </c>
      <c r="I1582">
        <f>VLOOKUP(C1582,year[],2,FALSE)</f>
        <v>4</v>
      </c>
      <c r="J1582">
        <f>VLOOKUP(E1582,showing[],2,FALSE)</f>
        <v>6</v>
      </c>
      <c r="K1582">
        <f>Сектора[[#This Row],[Значение]]</f>
        <v>2031000</v>
      </c>
      <c r="L1582" t="str">
        <f t="shared" si="24"/>
        <v>INSERT INTO msfo.statements (id_company, id_year, id_showing, value) VALUES (13,4,6,2031000);</v>
      </c>
    </row>
    <row r="1583" spans="1:12">
      <c r="A1583" s="28" t="s">
        <v>47</v>
      </c>
      <c r="B1583" s="28" t="s">
        <v>33</v>
      </c>
      <c r="C1583" s="28">
        <v>2015</v>
      </c>
      <c r="D1583" s="28" t="s">
        <v>1</v>
      </c>
      <c r="E1583" s="28" t="s">
        <v>9</v>
      </c>
      <c r="F1583" s="28">
        <v>1817000</v>
      </c>
      <c r="H1583">
        <f>VLOOKUP(A1583&amp;B1583,ticker_sector[],2,FALSE)</f>
        <v>13</v>
      </c>
      <c r="I1583">
        <f>VLOOKUP(C1583,year[],2,FALSE)</f>
        <v>5</v>
      </c>
      <c r="J1583">
        <f>VLOOKUP(E1583,showing[],2,FALSE)</f>
        <v>6</v>
      </c>
      <c r="K1583">
        <f>Сектора[[#This Row],[Значение]]</f>
        <v>1817000</v>
      </c>
      <c r="L1583" t="str">
        <f t="shared" si="24"/>
        <v>INSERT INTO msfo.statements (id_company, id_year, id_showing, value) VALUES (13,5,6,1817000);</v>
      </c>
    </row>
    <row r="1584" spans="1:12">
      <c r="A1584" s="28" t="s">
        <v>47</v>
      </c>
      <c r="B1584" s="28" t="s">
        <v>33</v>
      </c>
      <c r="C1584" s="28">
        <v>2016</v>
      </c>
      <c r="D1584" s="28" t="s">
        <v>1</v>
      </c>
      <c r="E1584" s="28" t="s">
        <v>9</v>
      </c>
      <c r="F1584" s="28">
        <v>2773000</v>
      </c>
      <c r="H1584">
        <f>VLOOKUP(A1584&amp;B1584,ticker_sector[],2,FALSE)</f>
        <v>13</v>
      </c>
      <c r="I1584">
        <f>VLOOKUP(C1584,year[],2,FALSE)</f>
        <v>6</v>
      </c>
      <c r="J1584">
        <f>VLOOKUP(E1584,showing[],2,FALSE)</f>
        <v>6</v>
      </c>
      <c r="K1584">
        <f>Сектора[[#This Row],[Значение]]</f>
        <v>2773000</v>
      </c>
      <c r="L1584" t="str">
        <f t="shared" si="24"/>
        <v>INSERT INTO msfo.statements (id_company, id_year, id_showing, value) VALUES (13,6,6,2773000);</v>
      </c>
    </row>
    <row r="1585" spans="1:12">
      <c r="A1585" s="28" t="s">
        <v>47</v>
      </c>
      <c r="B1585" s="28" t="s">
        <v>33</v>
      </c>
      <c r="C1585" s="28">
        <v>2017</v>
      </c>
      <c r="D1585" s="28" t="s">
        <v>1</v>
      </c>
      <c r="E1585" s="28" t="s">
        <v>9</v>
      </c>
      <c r="F1585" s="28">
        <v>3836000</v>
      </c>
      <c r="H1585">
        <f>VLOOKUP(A1585&amp;B1585,ticker_sector[],2,FALSE)</f>
        <v>13</v>
      </c>
      <c r="I1585">
        <f>VLOOKUP(C1585,year[],2,FALSE)</f>
        <v>7</v>
      </c>
      <c r="J1585">
        <f>VLOOKUP(E1585,showing[],2,FALSE)</f>
        <v>6</v>
      </c>
      <c r="K1585">
        <f>Сектора[[#This Row],[Значение]]</f>
        <v>3836000</v>
      </c>
      <c r="L1585" t="str">
        <f t="shared" si="24"/>
        <v>INSERT INTO msfo.statements (id_company, id_year, id_showing, value) VALUES (13,7,6,3836000);</v>
      </c>
    </row>
    <row r="1586" spans="1:12">
      <c r="A1586" s="28" t="s">
        <v>47</v>
      </c>
      <c r="B1586" s="28" t="s">
        <v>33</v>
      </c>
      <c r="C1586" s="28">
        <v>2010</v>
      </c>
      <c r="D1586" s="28" t="s">
        <v>1</v>
      </c>
      <c r="E1586" s="28" t="s">
        <v>10</v>
      </c>
      <c r="F1586" s="28">
        <v>3014000</v>
      </c>
      <c r="H1586">
        <f>VLOOKUP(A1586&amp;B1586,ticker_sector[],2,FALSE)</f>
        <v>13</v>
      </c>
      <c r="I1586">
        <f>VLOOKUP(C1586,year[],2,FALSE)</f>
        <v>0</v>
      </c>
      <c r="J1586">
        <f>VLOOKUP(E1586,showing[],2,FALSE)</f>
        <v>7</v>
      </c>
      <c r="K1586">
        <f>Сектора[[#This Row],[Значение]]</f>
        <v>3014000</v>
      </c>
      <c r="L1586" t="str">
        <f t="shared" si="24"/>
        <v>INSERT INTO msfo.statements (id_company, id_year, id_showing, value) VALUES (13,0,7,3014000);</v>
      </c>
    </row>
    <row r="1587" spans="1:12">
      <c r="A1587" s="28" t="s">
        <v>47</v>
      </c>
      <c r="B1587" s="28" t="s">
        <v>33</v>
      </c>
      <c r="C1587" s="28">
        <v>2011</v>
      </c>
      <c r="D1587" s="28" t="s">
        <v>1</v>
      </c>
      <c r="E1587" s="28" t="s">
        <v>10</v>
      </c>
      <c r="F1587" s="28">
        <v>3377000</v>
      </c>
      <c r="H1587">
        <f>VLOOKUP(A1587&amp;B1587,ticker_sector[],2,FALSE)</f>
        <v>13</v>
      </c>
      <c r="I1587">
        <f>VLOOKUP(C1587,year[],2,FALSE)</f>
        <v>1</v>
      </c>
      <c r="J1587">
        <f>VLOOKUP(E1587,showing[],2,FALSE)</f>
        <v>7</v>
      </c>
      <c r="K1587">
        <f>Сектора[[#This Row],[Значение]]</f>
        <v>3377000</v>
      </c>
      <c r="L1587" t="str">
        <f t="shared" si="24"/>
        <v>INSERT INTO msfo.statements (id_company, id_year, id_showing, value) VALUES (13,1,7,3377000);</v>
      </c>
    </row>
    <row r="1588" spans="1:12">
      <c r="A1588" s="28" t="s">
        <v>47</v>
      </c>
      <c r="B1588" s="28" t="s">
        <v>33</v>
      </c>
      <c r="C1588" s="28">
        <v>2012</v>
      </c>
      <c r="D1588" s="28" t="s">
        <v>1</v>
      </c>
      <c r="E1588" s="28" t="s">
        <v>10</v>
      </c>
      <c r="F1588" s="28">
        <v>3858000</v>
      </c>
      <c r="H1588">
        <f>VLOOKUP(A1588&amp;B1588,ticker_sector[],2,FALSE)</f>
        <v>13</v>
      </c>
      <c r="I1588">
        <f>VLOOKUP(C1588,year[],2,FALSE)</f>
        <v>2</v>
      </c>
      <c r="J1588">
        <f>VLOOKUP(E1588,showing[],2,FALSE)</f>
        <v>7</v>
      </c>
      <c r="K1588">
        <f>Сектора[[#This Row],[Значение]]</f>
        <v>3858000</v>
      </c>
      <c r="L1588" t="str">
        <f t="shared" si="24"/>
        <v>INSERT INTO msfo.statements (id_company, id_year, id_showing, value) VALUES (13,2,7,3858000);</v>
      </c>
    </row>
    <row r="1589" spans="1:12">
      <c r="A1589" s="28" t="s">
        <v>47</v>
      </c>
      <c r="B1589" s="28" t="s">
        <v>33</v>
      </c>
      <c r="C1589" s="28">
        <v>2013</v>
      </c>
      <c r="D1589" s="28" t="s">
        <v>1</v>
      </c>
      <c r="E1589" s="28" t="s">
        <v>10</v>
      </c>
      <c r="F1589" s="28">
        <v>7538000</v>
      </c>
      <c r="H1589">
        <f>VLOOKUP(A1589&amp;B1589,ticker_sector[],2,FALSE)</f>
        <v>13</v>
      </c>
      <c r="I1589">
        <f>VLOOKUP(C1589,year[],2,FALSE)</f>
        <v>3</v>
      </c>
      <c r="J1589">
        <f>VLOOKUP(E1589,showing[],2,FALSE)</f>
        <v>7</v>
      </c>
      <c r="K1589">
        <f>Сектора[[#This Row],[Значение]]</f>
        <v>7538000</v>
      </c>
      <c r="L1589" t="str">
        <f t="shared" si="24"/>
        <v>INSERT INTO msfo.statements (id_company, id_year, id_showing, value) VALUES (13,3,7,7538000);</v>
      </c>
    </row>
    <row r="1590" spans="1:12">
      <c r="A1590" s="28" t="s">
        <v>47</v>
      </c>
      <c r="B1590" s="28" t="s">
        <v>33</v>
      </c>
      <c r="C1590" s="28">
        <v>2014</v>
      </c>
      <c r="D1590" s="28" t="s">
        <v>1</v>
      </c>
      <c r="E1590" s="28" t="s">
        <v>10</v>
      </c>
      <c r="F1590" s="28">
        <v>8736000</v>
      </c>
      <c r="H1590">
        <f>VLOOKUP(A1590&amp;B1590,ticker_sector[],2,FALSE)</f>
        <v>13</v>
      </c>
      <c r="I1590">
        <f>VLOOKUP(C1590,year[],2,FALSE)</f>
        <v>4</v>
      </c>
      <c r="J1590">
        <f>VLOOKUP(E1590,showing[],2,FALSE)</f>
        <v>7</v>
      </c>
      <c r="K1590">
        <f>Сектора[[#This Row],[Значение]]</f>
        <v>8736000</v>
      </c>
      <c r="L1590" t="str">
        <f t="shared" si="24"/>
        <v>INSERT INTO msfo.statements (id_company, id_year, id_showing, value) VALUES (13,4,7,8736000);</v>
      </c>
    </row>
    <row r="1591" spans="1:12">
      <c r="A1591" s="28" t="s">
        <v>47</v>
      </c>
      <c r="B1591" s="28" t="s">
        <v>33</v>
      </c>
      <c r="C1591" s="28">
        <v>2015</v>
      </c>
      <c r="D1591" s="28" t="s">
        <v>1</v>
      </c>
      <c r="E1591" s="28" t="s">
        <v>10</v>
      </c>
      <c r="F1591" s="28">
        <v>9638000</v>
      </c>
      <c r="H1591">
        <f>VLOOKUP(A1591&amp;B1591,ticker_sector[],2,FALSE)</f>
        <v>13</v>
      </c>
      <c r="I1591">
        <f>VLOOKUP(C1591,year[],2,FALSE)</f>
        <v>5</v>
      </c>
      <c r="J1591">
        <f>VLOOKUP(E1591,showing[],2,FALSE)</f>
        <v>7</v>
      </c>
      <c r="K1591">
        <f>Сектора[[#This Row],[Значение]]</f>
        <v>9638000</v>
      </c>
      <c r="L1591" t="str">
        <f t="shared" si="24"/>
        <v>INSERT INTO msfo.statements (id_company, id_year, id_showing, value) VALUES (13,5,7,9638000);</v>
      </c>
    </row>
    <row r="1592" spans="1:12">
      <c r="A1592" s="28" t="s">
        <v>47</v>
      </c>
      <c r="B1592" s="28" t="s">
        <v>33</v>
      </c>
      <c r="C1592" s="28">
        <v>2016</v>
      </c>
      <c r="D1592" s="28" t="s">
        <v>1</v>
      </c>
      <c r="E1592" s="28" t="s">
        <v>10</v>
      </c>
      <c r="F1592" s="28">
        <v>11030000</v>
      </c>
      <c r="H1592">
        <f>VLOOKUP(A1592&amp;B1592,ticker_sector[],2,FALSE)</f>
        <v>13</v>
      </c>
      <c r="I1592">
        <f>VLOOKUP(C1592,year[],2,FALSE)</f>
        <v>6</v>
      </c>
      <c r="J1592">
        <f>VLOOKUP(E1592,showing[],2,FALSE)</f>
        <v>7</v>
      </c>
      <c r="K1592">
        <f>Сектора[[#This Row],[Значение]]</f>
        <v>11030000</v>
      </c>
      <c r="L1592" t="str">
        <f t="shared" si="24"/>
        <v>INSERT INTO msfo.statements (id_company, id_year, id_showing, value) VALUES (13,6,7,11030000);</v>
      </c>
    </row>
    <row r="1593" spans="1:12">
      <c r="A1593" s="28" t="s">
        <v>47</v>
      </c>
      <c r="B1593" s="28" t="s">
        <v>33</v>
      </c>
      <c r="C1593" s="28">
        <v>2017</v>
      </c>
      <c r="D1593" s="28" t="s">
        <v>1</v>
      </c>
      <c r="E1593" s="28" t="s">
        <v>10</v>
      </c>
      <c r="F1593" s="28">
        <v>12227000</v>
      </c>
      <c r="H1593">
        <f>VLOOKUP(A1593&amp;B1593,ticker_sector[],2,FALSE)</f>
        <v>13</v>
      </c>
      <c r="I1593">
        <f>VLOOKUP(C1593,year[],2,FALSE)</f>
        <v>7</v>
      </c>
      <c r="J1593">
        <f>VLOOKUP(E1593,showing[],2,FALSE)</f>
        <v>7</v>
      </c>
      <c r="K1593">
        <f>Сектора[[#This Row],[Значение]]</f>
        <v>12227000</v>
      </c>
      <c r="L1593" t="str">
        <f t="shared" si="24"/>
        <v>INSERT INTO msfo.statements (id_company, id_year, id_showing, value) VALUES (13,7,7,12227000);</v>
      </c>
    </row>
    <row r="1594" spans="1:12">
      <c r="A1594" s="28" t="s">
        <v>47</v>
      </c>
      <c r="B1594" s="28" t="s">
        <v>33</v>
      </c>
      <c r="C1594" s="28">
        <v>2010</v>
      </c>
      <c r="D1594" s="28" t="s">
        <v>1</v>
      </c>
      <c r="E1594" s="28" t="s">
        <v>11</v>
      </c>
      <c r="F1594" s="28">
        <v>0.40577305905773059</v>
      </c>
      <c r="H1594">
        <f>VLOOKUP(A1594&amp;B1594,ticker_sector[],2,FALSE)</f>
        <v>13</v>
      </c>
      <c r="I1594">
        <f>VLOOKUP(C1594,year[],2,FALSE)</f>
        <v>0</v>
      </c>
      <c r="J1594">
        <f>VLOOKUP(E1594,showing[],2,FALSE)</f>
        <v>8</v>
      </c>
      <c r="K1594">
        <f>Сектора[[#This Row],[Значение]]</f>
        <v>0.40577305905773059</v>
      </c>
      <c r="L1594" t="str">
        <f t="shared" si="24"/>
        <v>INSERT INTO msfo.statements (id_company, id_year, id_showing, value) VALUES (13,0,8,0,405773059057731);</v>
      </c>
    </row>
    <row r="1595" spans="1:12">
      <c r="A1595" s="28" t="s">
        <v>47</v>
      </c>
      <c r="B1595" s="28" t="s">
        <v>33</v>
      </c>
      <c r="C1595" s="28">
        <v>2011</v>
      </c>
      <c r="D1595" s="28" t="s">
        <v>1</v>
      </c>
      <c r="E1595" s="28" t="s">
        <v>11</v>
      </c>
      <c r="F1595" s="28">
        <v>0.38732602901984009</v>
      </c>
      <c r="H1595">
        <f>VLOOKUP(A1595&amp;B1595,ticker_sector[],2,FALSE)</f>
        <v>13</v>
      </c>
      <c r="I1595">
        <f>VLOOKUP(C1595,year[],2,FALSE)</f>
        <v>1</v>
      </c>
      <c r="J1595">
        <f>VLOOKUP(E1595,showing[],2,FALSE)</f>
        <v>8</v>
      </c>
      <c r="K1595">
        <f>Сектора[[#This Row],[Значение]]</f>
        <v>0.38732602901984009</v>
      </c>
      <c r="L1595" t="str">
        <f t="shared" si="24"/>
        <v>INSERT INTO msfo.statements (id_company, id_year, id_showing, value) VALUES (13,1,8,0,38732602901984);</v>
      </c>
    </row>
    <row r="1596" spans="1:12">
      <c r="A1596" s="28" t="s">
        <v>47</v>
      </c>
      <c r="B1596" s="28" t="s">
        <v>33</v>
      </c>
      <c r="C1596" s="28">
        <v>2012</v>
      </c>
      <c r="D1596" s="28" t="s">
        <v>1</v>
      </c>
      <c r="E1596" s="28" t="s">
        <v>11</v>
      </c>
      <c r="F1596" s="28">
        <v>0.41264904095386212</v>
      </c>
      <c r="H1596">
        <f>VLOOKUP(A1596&amp;B1596,ticker_sector[],2,FALSE)</f>
        <v>13</v>
      </c>
      <c r="I1596">
        <f>VLOOKUP(C1596,year[],2,FALSE)</f>
        <v>2</v>
      </c>
      <c r="J1596">
        <f>VLOOKUP(E1596,showing[],2,FALSE)</f>
        <v>8</v>
      </c>
      <c r="K1596">
        <f>Сектора[[#This Row],[Значение]]</f>
        <v>0.41264904095386212</v>
      </c>
      <c r="L1596" t="str">
        <f t="shared" si="24"/>
        <v>INSERT INTO msfo.statements (id_company, id_year, id_showing, value) VALUES (13,2,8,0,412649040953862);</v>
      </c>
    </row>
    <row r="1597" spans="1:12">
      <c r="A1597" s="28" t="s">
        <v>47</v>
      </c>
      <c r="B1597" s="28" t="s">
        <v>33</v>
      </c>
      <c r="C1597" s="28">
        <v>2013</v>
      </c>
      <c r="D1597" s="28" t="s">
        <v>1</v>
      </c>
      <c r="E1597" s="28" t="s">
        <v>11</v>
      </c>
      <c r="F1597" s="28">
        <v>0.5801273547360043</v>
      </c>
      <c r="H1597">
        <f>VLOOKUP(A1597&amp;B1597,ticker_sector[],2,FALSE)</f>
        <v>13</v>
      </c>
      <c r="I1597">
        <f>VLOOKUP(C1597,year[],2,FALSE)</f>
        <v>3</v>
      </c>
      <c r="J1597">
        <f>VLOOKUP(E1597,showing[],2,FALSE)</f>
        <v>8</v>
      </c>
      <c r="K1597">
        <f>Сектора[[#This Row],[Значение]]</f>
        <v>0.5801273547360043</v>
      </c>
      <c r="L1597" t="str">
        <f t="shared" si="24"/>
        <v>INSERT INTO msfo.statements (id_company, id_year, id_showing, value) VALUES (13,3,8,0,580127354736004);</v>
      </c>
    </row>
    <row r="1598" spans="1:12">
      <c r="A1598" s="28" t="s">
        <v>47</v>
      </c>
      <c r="B1598" s="28" t="s">
        <v>33</v>
      </c>
      <c r="C1598" s="28">
        <v>2014</v>
      </c>
      <c r="D1598" s="28" t="s">
        <v>1</v>
      </c>
      <c r="E1598" s="28" t="s">
        <v>11</v>
      </c>
      <c r="F1598" s="28">
        <v>0.67021520146520142</v>
      </c>
      <c r="H1598">
        <f>VLOOKUP(A1598&amp;B1598,ticker_sector[],2,FALSE)</f>
        <v>13</v>
      </c>
      <c r="I1598">
        <f>VLOOKUP(C1598,year[],2,FALSE)</f>
        <v>4</v>
      </c>
      <c r="J1598">
        <f>VLOOKUP(E1598,showing[],2,FALSE)</f>
        <v>8</v>
      </c>
      <c r="K1598">
        <f>Сектора[[#This Row],[Значение]]</f>
        <v>0.67021520146520142</v>
      </c>
      <c r="L1598" t="str">
        <f t="shared" si="24"/>
        <v>INSERT INTO msfo.statements (id_company, id_year, id_showing, value) VALUES (13,4,8,0,670215201465201);</v>
      </c>
    </row>
    <row r="1599" spans="1:12">
      <c r="A1599" s="28" t="s">
        <v>47</v>
      </c>
      <c r="B1599" s="28" t="s">
        <v>33</v>
      </c>
      <c r="C1599" s="28">
        <v>2015</v>
      </c>
      <c r="D1599" s="28" t="s">
        <v>1</v>
      </c>
      <c r="E1599" s="28" t="s">
        <v>11</v>
      </c>
      <c r="F1599" s="28">
        <v>0.69609877567960154</v>
      </c>
      <c r="H1599">
        <f>VLOOKUP(A1599&amp;B1599,ticker_sector[],2,FALSE)</f>
        <v>13</v>
      </c>
      <c r="I1599">
        <f>VLOOKUP(C1599,year[],2,FALSE)</f>
        <v>5</v>
      </c>
      <c r="J1599">
        <f>VLOOKUP(E1599,showing[],2,FALSE)</f>
        <v>8</v>
      </c>
      <c r="K1599">
        <f>Сектора[[#This Row],[Значение]]</f>
        <v>0.69609877567960154</v>
      </c>
      <c r="L1599" t="str">
        <f t="shared" si="24"/>
        <v>INSERT INTO msfo.statements (id_company, id_year, id_showing, value) VALUES (13,5,8,0,696098775679602);</v>
      </c>
    </row>
    <row r="1600" spans="1:12">
      <c r="A1600" s="28" t="s">
        <v>47</v>
      </c>
      <c r="B1600" s="28" t="s">
        <v>33</v>
      </c>
      <c r="C1600" s="28">
        <v>2016</v>
      </c>
      <c r="D1600" s="28" t="s">
        <v>1</v>
      </c>
      <c r="E1600" s="28" t="s">
        <v>11</v>
      </c>
      <c r="F1600" s="28">
        <v>0.66219401631912966</v>
      </c>
      <c r="H1600">
        <f>VLOOKUP(A1600&amp;B1600,ticker_sector[],2,FALSE)</f>
        <v>13</v>
      </c>
      <c r="I1600">
        <f>VLOOKUP(C1600,year[],2,FALSE)</f>
        <v>6</v>
      </c>
      <c r="J1600">
        <f>VLOOKUP(E1600,showing[],2,FALSE)</f>
        <v>8</v>
      </c>
      <c r="K1600">
        <f>Сектора[[#This Row],[Значение]]</f>
        <v>0.66219401631912966</v>
      </c>
      <c r="L1600" t="str">
        <f t="shared" si="24"/>
        <v>INSERT INTO msfo.statements (id_company, id_year, id_showing, value) VALUES (13,6,8,0,66219401631913);</v>
      </c>
    </row>
    <row r="1601" spans="1:12">
      <c r="A1601" s="28" t="s">
        <v>47</v>
      </c>
      <c r="B1601" s="28" t="s">
        <v>33</v>
      </c>
      <c r="C1601" s="28">
        <v>2017</v>
      </c>
      <c r="D1601" s="28" t="s">
        <v>1</v>
      </c>
      <c r="E1601" s="28" t="s">
        <v>11</v>
      </c>
      <c r="F1601" s="28">
        <v>0.65788828003598598</v>
      </c>
      <c r="H1601">
        <f>VLOOKUP(A1601&amp;B1601,ticker_sector[],2,FALSE)</f>
        <v>13</v>
      </c>
      <c r="I1601">
        <f>VLOOKUP(C1601,year[],2,FALSE)</f>
        <v>7</v>
      </c>
      <c r="J1601">
        <f>VLOOKUP(E1601,showing[],2,FALSE)</f>
        <v>8</v>
      </c>
      <c r="K1601">
        <f>Сектора[[#This Row],[Значение]]</f>
        <v>0.65788828003598598</v>
      </c>
      <c r="L1601" t="str">
        <f t="shared" si="24"/>
        <v>INSERT INTO msfo.statements (id_company, id_year, id_showing, value) VALUES (13,7,8,0,657888280035986);</v>
      </c>
    </row>
    <row r="1602" spans="1:12">
      <c r="A1602" s="28" t="s">
        <v>47</v>
      </c>
      <c r="B1602" s="28" t="s">
        <v>33</v>
      </c>
      <c r="C1602" s="28">
        <v>2010</v>
      </c>
      <c r="D1602" s="28" t="s">
        <v>4</v>
      </c>
      <c r="E1602" s="28" t="s">
        <v>12</v>
      </c>
      <c r="F1602" s="28">
        <v>1915000</v>
      </c>
      <c r="H1602">
        <f>VLOOKUP(A1602&amp;B1602,ticker_sector[],2,FALSE)</f>
        <v>13</v>
      </c>
      <c r="I1602">
        <f>VLOOKUP(C1602,year[],2,FALSE)</f>
        <v>0</v>
      </c>
      <c r="J1602">
        <f>VLOOKUP(E1602,showing[],2,FALSE)</f>
        <v>9</v>
      </c>
      <c r="K1602">
        <f>Сектора[[#This Row],[Значение]]</f>
        <v>1915000</v>
      </c>
      <c r="L1602" t="str">
        <f t="shared" si="24"/>
        <v>INSERT INTO msfo.statements (id_company, id_year, id_showing, value) VALUES (13,0,9,1915000);</v>
      </c>
    </row>
    <row r="1603" spans="1:12">
      <c r="A1603" s="28" t="s">
        <v>47</v>
      </c>
      <c r="B1603" s="28" t="s">
        <v>33</v>
      </c>
      <c r="C1603" s="28">
        <v>2011</v>
      </c>
      <c r="D1603" s="28" t="s">
        <v>4</v>
      </c>
      <c r="E1603" s="28" t="s">
        <v>12</v>
      </c>
      <c r="F1603" s="28">
        <v>2702000</v>
      </c>
      <c r="H1603">
        <f>VLOOKUP(A1603&amp;B1603,ticker_sector[],2,FALSE)</f>
        <v>13</v>
      </c>
      <c r="I1603">
        <f>VLOOKUP(C1603,year[],2,FALSE)</f>
        <v>1</v>
      </c>
      <c r="J1603">
        <f>VLOOKUP(E1603,showing[],2,FALSE)</f>
        <v>9</v>
      </c>
      <c r="K1603">
        <f>Сектора[[#This Row],[Значение]]</f>
        <v>2702000</v>
      </c>
      <c r="L1603" t="str">
        <f t="shared" ref="L1603:L1666" si="25">"INSERT INTO msfo.statements (id_company, id_year, id_showing, value) VALUES ("&amp;H1603&amp; ","&amp;I1603&amp; ","&amp;J1603&amp; ","&amp;K1603&amp;");"</f>
        <v>INSERT INTO msfo.statements (id_company, id_year, id_showing, value) VALUES (13,1,9,2702000);</v>
      </c>
    </row>
    <row r="1604" spans="1:12">
      <c r="A1604" s="28" t="s">
        <v>47</v>
      </c>
      <c r="B1604" s="28" t="s">
        <v>33</v>
      </c>
      <c r="C1604" s="28">
        <v>2012</v>
      </c>
      <c r="D1604" s="28" t="s">
        <v>4</v>
      </c>
      <c r="E1604" s="28" t="s">
        <v>12</v>
      </c>
      <c r="F1604" s="28">
        <v>3078000</v>
      </c>
      <c r="H1604">
        <f>VLOOKUP(A1604&amp;B1604,ticker_sector[],2,FALSE)</f>
        <v>13</v>
      </c>
      <c r="I1604">
        <f>VLOOKUP(C1604,year[],2,FALSE)</f>
        <v>2</v>
      </c>
      <c r="J1604">
        <f>VLOOKUP(E1604,showing[],2,FALSE)</f>
        <v>9</v>
      </c>
      <c r="K1604">
        <f>Сектора[[#This Row],[Значение]]</f>
        <v>3078000</v>
      </c>
      <c r="L1604" t="str">
        <f t="shared" si="25"/>
        <v>INSERT INTO msfo.statements (id_company, id_year, id_showing, value) VALUES (13,2,9,3078000);</v>
      </c>
    </row>
    <row r="1605" spans="1:12">
      <c r="A1605" s="28" t="s">
        <v>47</v>
      </c>
      <c r="B1605" s="28" t="s">
        <v>33</v>
      </c>
      <c r="C1605" s="28">
        <v>2013</v>
      </c>
      <c r="D1605" s="28" t="s">
        <v>4</v>
      </c>
      <c r="E1605" s="28" t="s">
        <v>12</v>
      </c>
      <c r="F1605" s="28">
        <v>4694000</v>
      </c>
      <c r="H1605">
        <f>VLOOKUP(A1605&amp;B1605,ticker_sector[],2,FALSE)</f>
        <v>13</v>
      </c>
      <c r="I1605">
        <f>VLOOKUP(C1605,year[],2,FALSE)</f>
        <v>3</v>
      </c>
      <c r="J1605">
        <f>VLOOKUP(E1605,showing[],2,FALSE)</f>
        <v>9</v>
      </c>
      <c r="K1605">
        <f>Сектора[[#This Row],[Значение]]</f>
        <v>4694000</v>
      </c>
      <c r="L1605" t="str">
        <f t="shared" si="25"/>
        <v>INSERT INTO msfo.statements (id_company, id_year, id_showing, value) VALUES (13,3,9,4694000);</v>
      </c>
    </row>
    <row r="1606" spans="1:12">
      <c r="A1606" s="28" t="s">
        <v>47</v>
      </c>
      <c r="B1606" s="28" t="s">
        <v>33</v>
      </c>
      <c r="C1606" s="28">
        <v>2014</v>
      </c>
      <c r="D1606" s="28" t="s">
        <v>4</v>
      </c>
      <c r="E1606" s="28" t="s">
        <v>12</v>
      </c>
      <c r="F1606" s="28">
        <v>5503000</v>
      </c>
      <c r="H1606">
        <f>VLOOKUP(A1606&amp;B1606,ticker_sector[],2,FALSE)</f>
        <v>13</v>
      </c>
      <c r="I1606">
        <f>VLOOKUP(C1606,year[],2,FALSE)</f>
        <v>4</v>
      </c>
      <c r="J1606">
        <f>VLOOKUP(E1606,showing[],2,FALSE)</f>
        <v>9</v>
      </c>
      <c r="K1606">
        <f>Сектора[[#This Row],[Значение]]</f>
        <v>5503000</v>
      </c>
      <c r="L1606" t="str">
        <f t="shared" si="25"/>
        <v>INSERT INTO msfo.statements (id_company, id_year, id_showing, value) VALUES (13,4,9,5503000);</v>
      </c>
    </row>
    <row r="1607" spans="1:12">
      <c r="A1607" s="28" t="s">
        <v>47</v>
      </c>
      <c r="B1607" s="28" t="s">
        <v>33</v>
      </c>
      <c r="C1607" s="28">
        <v>2015</v>
      </c>
      <c r="D1607" s="28" t="s">
        <v>4</v>
      </c>
      <c r="E1607" s="28" t="s">
        <v>12</v>
      </c>
      <c r="F1607" s="28">
        <v>5150000</v>
      </c>
      <c r="H1607">
        <f>VLOOKUP(A1607&amp;B1607,ticker_sector[],2,FALSE)</f>
        <v>13</v>
      </c>
      <c r="I1607">
        <f>VLOOKUP(C1607,year[],2,FALSE)</f>
        <v>5</v>
      </c>
      <c r="J1607">
        <f>VLOOKUP(E1607,showing[],2,FALSE)</f>
        <v>9</v>
      </c>
      <c r="K1607">
        <f>Сектора[[#This Row],[Значение]]</f>
        <v>5150000</v>
      </c>
      <c r="L1607" t="str">
        <f t="shared" si="25"/>
        <v>INSERT INTO msfo.statements (id_company, id_year, id_showing, value) VALUES (13,5,9,5150000);</v>
      </c>
    </row>
    <row r="1608" spans="1:12">
      <c r="A1608" s="28" t="s">
        <v>47</v>
      </c>
      <c r="B1608" s="28" t="s">
        <v>33</v>
      </c>
      <c r="C1608" s="28">
        <v>2016</v>
      </c>
      <c r="D1608" s="28" t="s">
        <v>4</v>
      </c>
      <c r="E1608" s="28" t="s">
        <v>12</v>
      </c>
      <c r="F1608" s="28">
        <v>4988000</v>
      </c>
      <c r="H1608">
        <f>VLOOKUP(A1608&amp;B1608,ticker_sector[],2,FALSE)</f>
        <v>13</v>
      </c>
      <c r="I1608">
        <f>VLOOKUP(C1608,year[],2,FALSE)</f>
        <v>6</v>
      </c>
      <c r="J1608">
        <f>VLOOKUP(E1608,showing[],2,FALSE)</f>
        <v>9</v>
      </c>
      <c r="K1608">
        <f>Сектора[[#This Row],[Значение]]</f>
        <v>4988000</v>
      </c>
      <c r="L1608" t="str">
        <f t="shared" si="25"/>
        <v>INSERT INTO msfo.statements (id_company, id_year, id_showing, value) VALUES (13,6,9,4988000);</v>
      </c>
    </row>
    <row r="1609" spans="1:12">
      <c r="A1609" s="28" t="s">
        <v>47</v>
      </c>
      <c r="B1609" s="28" t="s">
        <v>33</v>
      </c>
      <c r="C1609" s="28">
        <v>2017</v>
      </c>
      <c r="D1609" s="28" t="s">
        <v>4</v>
      </c>
      <c r="E1609" s="28" t="s">
        <v>12</v>
      </c>
      <c r="F1609" s="28">
        <v>6014000</v>
      </c>
      <c r="H1609">
        <f>VLOOKUP(A1609&amp;B1609,ticker_sector[],2,FALSE)</f>
        <v>13</v>
      </c>
      <c r="I1609">
        <f>VLOOKUP(C1609,year[],2,FALSE)</f>
        <v>7</v>
      </c>
      <c r="J1609">
        <f>VLOOKUP(E1609,showing[],2,FALSE)</f>
        <v>9</v>
      </c>
      <c r="K1609">
        <f>Сектора[[#This Row],[Значение]]</f>
        <v>6014000</v>
      </c>
      <c r="L1609" t="str">
        <f t="shared" si="25"/>
        <v>INSERT INTO msfo.statements (id_company, id_year, id_showing, value) VALUES (13,7,9,6014000);</v>
      </c>
    </row>
    <row r="1610" spans="1:12">
      <c r="A1610" s="28" t="s">
        <v>47</v>
      </c>
      <c r="B1610" s="28" t="s">
        <v>33</v>
      </c>
      <c r="C1610" s="28">
        <v>2010</v>
      </c>
      <c r="D1610" s="28" t="s">
        <v>4</v>
      </c>
      <c r="E1610" s="28" t="s">
        <v>13</v>
      </c>
      <c r="F1610" s="28">
        <v>293000</v>
      </c>
      <c r="H1610">
        <f>VLOOKUP(A1610&amp;B1610,ticker_sector[],2,FALSE)</f>
        <v>13</v>
      </c>
      <c r="I1610">
        <f>VLOOKUP(C1610,year[],2,FALSE)</f>
        <v>0</v>
      </c>
      <c r="J1610">
        <f>VLOOKUP(E1610,showing[],2,FALSE)</f>
        <v>10</v>
      </c>
      <c r="K1610">
        <f>Сектора[[#This Row],[Значение]]</f>
        <v>293000</v>
      </c>
      <c r="L1610" t="str">
        <f t="shared" si="25"/>
        <v>INSERT INTO msfo.statements (id_company, id_year, id_showing, value) VALUES (13,0,10,293000);</v>
      </c>
    </row>
    <row r="1611" spans="1:12">
      <c r="A1611" s="28" t="s">
        <v>47</v>
      </c>
      <c r="B1611" s="28" t="s">
        <v>33</v>
      </c>
      <c r="C1611" s="28">
        <v>2011</v>
      </c>
      <c r="D1611" s="28" t="s">
        <v>4</v>
      </c>
      <c r="E1611" s="28" t="s">
        <v>13</v>
      </c>
      <c r="F1611" s="28">
        <v>316000</v>
      </c>
      <c r="H1611">
        <f>VLOOKUP(A1611&amp;B1611,ticker_sector[],2,FALSE)</f>
        <v>13</v>
      </c>
      <c r="I1611">
        <f>VLOOKUP(C1611,year[],2,FALSE)</f>
        <v>1</v>
      </c>
      <c r="J1611">
        <f>VLOOKUP(E1611,showing[],2,FALSE)</f>
        <v>10</v>
      </c>
      <c r="K1611">
        <f>Сектора[[#This Row],[Значение]]</f>
        <v>316000</v>
      </c>
      <c r="L1611" t="str">
        <f t="shared" si="25"/>
        <v>INSERT INTO msfo.statements (id_company, id_year, id_showing, value) VALUES (13,1,10,316000);</v>
      </c>
    </row>
    <row r="1612" spans="1:12">
      <c r="A1612" s="28" t="s">
        <v>47</v>
      </c>
      <c r="B1612" s="28" t="s">
        <v>33</v>
      </c>
      <c r="C1612" s="28">
        <v>2012</v>
      </c>
      <c r="D1612" s="28" t="s">
        <v>4</v>
      </c>
      <c r="E1612" s="28" t="s">
        <v>13</v>
      </c>
      <c r="F1612" s="28">
        <v>341000</v>
      </c>
      <c r="H1612">
        <f>VLOOKUP(A1612&amp;B1612,ticker_sector[],2,FALSE)</f>
        <v>13</v>
      </c>
      <c r="I1612">
        <f>VLOOKUP(C1612,year[],2,FALSE)</f>
        <v>2</v>
      </c>
      <c r="J1612">
        <f>VLOOKUP(E1612,showing[],2,FALSE)</f>
        <v>10</v>
      </c>
      <c r="K1612">
        <f>Сектора[[#This Row],[Значение]]</f>
        <v>341000</v>
      </c>
      <c r="L1612" t="str">
        <f t="shared" si="25"/>
        <v>INSERT INTO msfo.statements (id_company, id_year, id_showing, value) VALUES (13,2,10,341000);</v>
      </c>
    </row>
    <row r="1613" spans="1:12">
      <c r="A1613" s="28" t="s">
        <v>47</v>
      </c>
      <c r="B1613" s="28" t="s">
        <v>33</v>
      </c>
      <c r="C1613" s="28">
        <v>2013</v>
      </c>
      <c r="D1613" s="28" t="s">
        <v>4</v>
      </c>
      <c r="E1613" s="28" t="s">
        <v>13</v>
      </c>
      <c r="F1613" s="28">
        <v>545000</v>
      </c>
      <c r="H1613">
        <f>VLOOKUP(A1613&amp;B1613,ticker_sector[],2,FALSE)</f>
        <v>13</v>
      </c>
      <c r="I1613">
        <f>VLOOKUP(C1613,year[],2,FALSE)</f>
        <v>3</v>
      </c>
      <c r="J1613">
        <f>VLOOKUP(E1613,showing[],2,FALSE)</f>
        <v>10</v>
      </c>
      <c r="K1613">
        <f>Сектора[[#This Row],[Значение]]</f>
        <v>545000</v>
      </c>
      <c r="L1613" t="str">
        <f t="shared" si="25"/>
        <v>INSERT INTO msfo.statements (id_company, id_year, id_showing, value) VALUES (13,3,10,545000);</v>
      </c>
    </row>
    <row r="1614" spans="1:12">
      <c r="A1614" s="28" t="s">
        <v>47</v>
      </c>
      <c r="B1614" s="28" t="s">
        <v>33</v>
      </c>
      <c r="C1614" s="28">
        <v>2014</v>
      </c>
      <c r="D1614" s="28" t="s">
        <v>4</v>
      </c>
      <c r="E1614" s="28" t="s">
        <v>13</v>
      </c>
      <c r="F1614" s="28">
        <v>348000</v>
      </c>
      <c r="H1614">
        <f>VLOOKUP(A1614&amp;B1614,ticker_sector[],2,FALSE)</f>
        <v>13</v>
      </c>
      <c r="I1614">
        <f>VLOOKUP(C1614,year[],2,FALSE)</f>
        <v>4</v>
      </c>
      <c r="J1614">
        <f>VLOOKUP(E1614,showing[],2,FALSE)</f>
        <v>10</v>
      </c>
      <c r="K1614">
        <f>Сектора[[#This Row],[Значение]]</f>
        <v>348000</v>
      </c>
      <c r="L1614" t="str">
        <f t="shared" si="25"/>
        <v>INSERT INTO msfo.statements (id_company, id_year, id_showing, value) VALUES (13,4,10,348000);</v>
      </c>
    </row>
    <row r="1615" spans="1:12">
      <c r="A1615" s="28" t="s">
        <v>47</v>
      </c>
      <c r="B1615" s="28" t="s">
        <v>33</v>
      </c>
      <c r="C1615" s="28">
        <v>2015</v>
      </c>
      <c r="D1615" s="28" t="s">
        <v>4</v>
      </c>
      <c r="E1615" s="28" t="s">
        <v>13</v>
      </c>
      <c r="F1615" s="28">
        <v>355000</v>
      </c>
      <c r="H1615">
        <f>VLOOKUP(A1615&amp;B1615,ticker_sector[],2,FALSE)</f>
        <v>13</v>
      </c>
      <c r="I1615">
        <f>VLOOKUP(C1615,year[],2,FALSE)</f>
        <v>5</v>
      </c>
      <c r="J1615">
        <f>VLOOKUP(E1615,showing[],2,FALSE)</f>
        <v>10</v>
      </c>
      <c r="K1615">
        <f>Сектора[[#This Row],[Значение]]</f>
        <v>355000</v>
      </c>
      <c r="L1615" t="str">
        <f t="shared" si="25"/>
        <v>INSERT INTO msfo.statements (id_company, id_year, id_showing, value) VALUES (13,5,10,355000);</v>
      </c>
    </row>
    <row r="1616" spans="1:12">
      <c r="A1616" s="28" t="s">
        <v>47</v>
      </c>
      <c r="B1616" s="28" t="s">
        <v>33</v>
      </c>
      <c r="C1616" s="28">
        <v>2016</v>
      </c>
      <c r="D1616" s="28" t="s">
        <v>4</v>
      </c>
      <c r="E1616" s="28" t="s">
        <v>13</v>
      </c>
      <c r="F1616" s="28">
        <v>181000</v>
      </c>
      <c r="H1616">
        <f>VLOOKUP(A1616&amp;B1616,ticker_sector[],2,FALSE)</f>
        <v>13</v>
      </c>
      <c r="I1616">
        <f>VLOOKUP(C1616,year[],2,FALSE)</f>
        <v>6</v>
      </c>
      <c r="J1616">
        <f>VLOOKUP(E1616,showing[],2,FALSE)</f>
        <v>10</v>
      </c>
      <c r="K1616">
        <f>Сектора[[#This Row],[Значение]]</f>
        <v>181000</v>
      </c>
      <c r="L1616" t="str">
        <f t="shared" si="25"/>
        <v>INSERT INTO msfo.statements (id_company, id_year, id_showing, value) VALUES (13,6,10,181000);</v>
      </c>
    </row>
    <row r="1617" spans="1:12">
      <c r="A1617" s="28" t="s">
        <v>47</v>
      </c>
      <c r="B1617" s="28" t="s">
        <v>33</v>
      </c>
      <c r="C1617" s="28">
        <v>2017</v>
      </c>
      <c r="D1617" s="28" t="s">
        <v>4</v>
      </c>
      <c r="E1617" s="28" t="s">
        <v>13</v>
      </c>
      <c r="F1617" s="28">
        <v>222000</v>
      </c>
      <c r="H1617">
        <f>VLOOKUP(A1617&amp;B1617,ticker_sector[],2,FALSE)</f>
        <v>13</v>
      </c>
      <c r="I1617">
        <f>VLOOKUP(C1617,year[],2,FALSE)</f>
        <v>7</v>
      </c>
      <c r="J1617">
        <f>VLOOKUP(E1617,showing[],2,FALSE)</f>
        <v>10</v>
      </c>
      <c r="K1617">
        <f>Сектора[[#This Row],[Значение]]</f>
        <v>222000</v>
      </c>
      <c r="L1617" t="str">
        <f t="shared" si="25"/>
        <v>INSERT INTO msfo.statements (id_company, id_year, id_showing, value) VALUES (13,7,10,222000);</v>
      </c>
    </row>
    <row r="1618" spans="1:12">
      <c r="A1618" s="28" t="s">
        <v>47</v>
      </c>
      <c r="B1618" s="28" t="s">
        <v>33</v>
      </c>
      <c r="C1618" s="28">
        <v>2010</v>
      </c>
      <c r="D1618" s="28" t="s">
        <v>4</v>
      </c>
      <c r="E1618" s="28" t="s">
        <v>14</v>
      </c>
      <c r="F1618" s="28">
        <v>62834.474634887403</v>
      </c>
      <c r="H1618">
        <f>VLOOKUP(A1618&amp;B1618,ticker_sector[],2,FALSE)</f>
        <v>13</v>
      </c>
      <c r="I1618">
        <f>VLOOKUP(C1618,year[],2,FALSE)</f>
        <v>0</v>
      </c>
      <c r="J1618">
        <f>VLOOKUP(E1618,showing[],2,FALSE)</f>
        <v>11</v>
      </c>
      <c r="K1618">
        <f>Сектора[[#This Row],[Значение]]</f>
        <v>62834.474634887403</v>
      </c>
      <c r="L1618" t="str">
        <f t="shared" si="25"/>
        <v>INSERT INTO msfo.statements (id_company, id_year, id_showing, value) VALUES (13,0,11,62834,4746348874);</v>
      </c>
    </row>
    <row r="1619" spans="1:12">
      <c r="A1619" s="28" t="s">
        <v>47</v>
      </c>
      <c r="B1619" s="28" t="s">
        <v>33</v>
      </c>
      <c r="C1619" s="28">
        <v>2011</v>
      </c>
      <c r="D1619" s="28" t="s">
        <v>4</v>
      </c>
      <c r="E1619" s="28" t="s">
        <v>14</v>
      </c>
      <c r="F1619" s="28">
        <v>83923.208090420885</v>
      </c>
      <c r="H1619">
        <f>VLOOKUP(A1619&amp;B1619,ticker_sector[],2,FALSE)</f>
        <v>13</v>
      </c>
      <c r="I1619">
        <f>VLOOKUP(C1619,year[],2,FALSE)</f>
        <v>1</v>
      </c>
      <c r="J1619">
        <f>VLOOKUP(E1619,showing[],2,FALSE)</f>
        <v>11</v>
      </c>
      <c r="K1619">
        <f>Сектора[[#This Row],[Значение]]</f>
        <v>83923.208090420885</v>
      </c>
      <c r="L1619" t="str">
        <f t="shared" si="25"/>
        <v>INSERT INTO msfo.statements (id_company, id_year, id_showing, value) VALUES (13,1,11,83923,2080904209);</v>
      </c>
    </row>
    <row r="1620" spans="1:12">
      <c r="A1620" s="28" t="s">
        <v>47</v>
      </c>
      <c r="B1620" s="28" t="s">
        <v>33</v>
      </c>
      <c r="C1620" s="28">
        <v>2012</v>
      </c>
      <c r="D1620" s="28" t="s">
        <v>4</v>
      </c>
      <c r="E1620" s="28" t="s">
        <v>14</v>
      </c>
      <c r="F1620" s="28">
        <v>101341.00689105678</v>
      </c>
      <c r="H1620">
        <f>VLOOKUP(A1620&amp;B1620,ticker_sector[],2,FALSE)</f>
        <v>13</v>
      </c>
      <c r="I1620">
        <f>VLOOKUP(C1620,year[],2,FALSE)</f>
        <v>2</v>
      </c>
      <c r="J1620">
        <f>VLOOKUP(E1620,showing[],2,FALSE)</f>
        <v>11</v>
      </c>
      <c r="K1620">
        <f>Сектора[[#This Row],[Значение]]</f>
        <v>101341.00689105678</v>
      </c>
      <c r="L1620" t="str">
        <f t="shared" si="25"/>
        <v>INSERT INTO msfo.statements (id_company, id_year, id_showing, value) VALUES (13,2,11,101341,006891057);</v>
      </c>
    </row>
    <row r="1621" spans="1:12">
      <c r="A1621" s="28" t="s">
        <v>47</v>
      </c>
      <c r="B1621" s="28" t="s">
        <v>33</v>
      </c>
      <c r="C1621" s="28">
        <v>2013</v>
      </c>
      <c r="D1621" s="28" t="s">
        <v>4</v>
      </c>
      <c r="E1621" s="28" t="s">
        <v>14</v>
      </c>
      <c r="F1621" s="28">
        <v>143419.33197267272</v>
      </c>
      <c r="H1621">
        <f>VLOOKUP(A1621&amp;B1621,ticker_sector[],2,FALSE)</f>
        <v>13</v>
      </c>
      <c r="I1621">
        <f>VLOOKUP(C1621,year[],2,FALSE)</f>
        <v>3</v>
      </c>
      <c r="J1621">
        <f>VLOOKUP(E1621,showing[],2,FALSE)</f>
        <v>11</v>
      </c>
      <c r="K1621">
        <f>Сектора[[#This Row],[Значение]]</f>
        <v>143419.33197267272</v>
      </c>
      <c r="L1621" t="str">
        <f t="shared" si="25"/>
        <v>INSERT INTO msfo.statements (id_company, id_year, id_showing, value) VALUES (13,3,11,143419,331972673);</v>
      </c>
    </row>
    <row r="1622" spans="1:12">
      <c r="A1622" s="28" t="s">
        <v>47</v>
      </c>
      <c r="B1622" s="28" t="s">
        <v>33</v>
      </c>
      <c r="C1622" s="28">
        <v>2014</v>
      </c>
      <c r="D1622" s="28" t="s">
        <v>4</v>
      </c>
      <c r="E1622" s="28" t="s">
        <v>14</v>
      </c>
      <c r="F1622" s="28">
        <v>97816.503846536696</v>
      </c>
      <c r="H1622">
        <f>VLOOKUP(A1622&amp;B1622,ticker_sector[],2,FALSE)</f>
        <v>13</v>
      </c>
      <c r="I1622">
        <f>VLOOKUP(C1622,year[],2,FALSE)</f>
        <v>4</v>
      </c>
      <c r="J1622">
        <f>VLOOKUP(E1622,showing[],2,FALSE)</f>
        <v>11</v>
      </c>
      <c r="K1622">
        <f>Сектора[[#This Row],[Значение]]</f>
        <v>97816.503846536696</v>
      </c>
      <c r="L1622" t="str">
        <f t="shared" si="25"/>
        <v>INSERT INTO msfo.statements (id_company, id_year, id_showing, value) VALUES (13,4,11,97816,5038465367);</v>
      </c>
    </row>
    <row r="1623" spans="1:12">
      <c r="A1623" s="28" t="s">
        <v>47</v>
      </c>
      <c r="B1623" s="28" t="s">
        <v>33</v>
      </c>
      <c r="C1623" s="28">
        <v>2015</v>
      </c>
      <c r="D1623" s="28" t="s">
        <v>4</v>
      </c>
      <c r="E1623" s="28" t="s">
        <v>14</v>
      </c>
      <c r="F1623" s="28">
        <v>70661.487568380428</v>
      </c>
      <c r="H1623">
        <f>VLOOKUP(A1623&amp;B1623,ticker_sector[],2,FALSE)</f>
        <v>13</v>
      </c>
      <c r="I1623">
        <f>VLOOKUP(C1623,year[],2,FALSE)</f>
        <v>5</v>
      </c>
      <c r="J1623">
        <f>VLOOKUP(E1623,showing[],2,FALSE)</f>
        <v>11</v>
      </c>
      <c r="K1623">
        <f>Сектора[[#This Row],[Значение]]</f>
        <v>70661.487568380428</v>
      </c>
      <c r="L1623" t="str">
        <f t="shared" si="25"/>
        <v>INSERT INTO msfo.statements (id_company, id_year, id_showing, value) VALUES (13,5,11,70661,4875683804);</v>
      </c>
    </row>
    <row r="1624" spans="1:12">
      <c r="A1624" s="28" t="s">
        <v>47</v>
      </c>
      <c r="B1624" s="28" t="s">
        <v>33</v>
      </c>
      <c r="C1624" s="28">
        <v>2016</v>
      </c>
      <c r="D1624" s="28" t="s">
        <v>4</v>
      </c>
      <c r="E1624" s="28" t="s">
        <v>14</v>
      </c>
      <c r="F1624" s="28">
        <v>82233.018832152651</v>
      </c>
      <c r="H1624">
        <f>VLOOKUP(A1624&amp;B1624,ticker_sector[],2,FALSE)</f>
        <v>13</v>
      </c>
      <c r="I1624">
        <f>VLOOKUP(C1624,year[],2,FALSE)</f>
        <v>6</v>
      </c>
      <c r="J1624">
        <f>VLOOKUP(E1624,showing[],2,FALSE)</f>
        <v>11</v>
      </c>
      <c r="K1624">
        <f>Сектора[[#This Row],[Значение]]</f>
        <v>82233.018832152651</v>
      </c>
      <c r="L1624" t="str">
        <f t="shared" si="25"/>
        <v>INSERT INTO msfo.statements (id_company, id_year, id_showing, value) VALUES (13,6,11,82233,0188321527);</v>
      </c>
    </row>
    <row r="1625" spans="1:12">
      <c r="A1625" s="28" t="s">
        <v>47</v>
      </c>
      <c r="B1625" s="28" t="s">
        <v>33</v>
      </c>
      <c r="C1625" s="28">
        <v>2017</v>
      </c>
      <c r="D1625" s="28" t="s">
        <v>4</v>
      </c>
      <c r="E1625" s="28" t="s">
        <v>14</v>
      </c>
      <c r="F1625" s="28">
        <v>104409.35968972329</v>
      </c>
      <c r="H1625">
        <f>VLOOKUP(A1625&amp;B1625,ticker_sector[],2,FALSE)</f>
        <v>13</v>
      </c>
      <c r="I1625">
        <f>VLOOKUP(C1625,year[],2,FALSE)</f>
        <v>7</v>
      </c>
      <c r="J1625">
        <f>VLOOKUP(E1625,showing[],2,FALSE)</f>
        <v>11</v>
      </c>
      <c r="K1625">
        <f>Сектора[[#This Row],[Значение]]</f>
        <v>104409.35968972329</v>
      </c>
      <c r="L1625" t="str">
        <f t="shared" si="25"/>
        <v>INSERT INTO msfo.statements (id_company, id_year, id_showing, value) VALUES (13,7,11,104409,359689723);</v>
      </c>
    </row>
    <row r="1626" spans="1:12">
      <c r="A1626" s="28" t="s">
        <v>47</v>
      </c>
      <c r="B1626" s="28" t="s">
        <v>33</v>
      </c>
      <c r="C1626" s="28">
        <v>2010</v>
      </c>
      <c r="D1626" s="28" t="s">
        <v>4</v>
      </c>
      <c r="E1626" s="28" t="s">
        <v>15</v>
      </c>
      <c r="F1626" s="28">
        <v>9613.8386778182812</v>
      </c>
      <c r="H1626">
        <f>VLOOKUP(A1626&amp;B1626,ticker_sector[],2,FALSE)</f>
        <v>13</v>
      </c>
      <c r="I1626">
        <f>VLOOKUP(C1626,year[],2,FALSE)</f>
        <v>0</v>
      </c>
      <c r="J1626">
        <f>VLOOKUP(E1626,showing[],2,FALSE)</f>
        <v>12</v>
      </c>
      <c r="K1626">
        <f>Сектора[[#This Row],[Значение]]</f>
        <v>9613.8386778182812</v>
      </c>
      <c r="L1626" t="str">
        <f t="shared" si="25"/>
        <v>INSERT INTO msfo.statements (id_company, id_year, id_showing, value) VALUES (13,0,12,9613,83867781828);</v>
      </c>
    </row>
    <row r="1627" spans="1:12">
      <c r="A1627" s="28" t="s">
        <v>47</v>
      </c>
      <c r="B1627" s="28" t="s">
        <v>33</v>
      </c>
      <c r="C1627" s="28">
        <v>2011</v>
      </c>
      <c r="D1627" s="28" t="s">
        <v>4</v>
      </c>
      <c r="E1627" s="28" t="s">
        <v>15</v>
      </c>
      <c r="F1627" s="28">
        <v>9814.8533518034783</v>
      </c>
      <c r="H1627">
        <f>VLOOKUP(A1627&amp;B1627,ticker_sector[],2,FALSE)</f>
        <v>13</v>
      </c>
      <c r="I1627">
        <f>VLOOKUP(C1627,year[],2,FALSE)</f>
        <v>1</v>
      </c>
      <c r="J1627">
        <f>VLOOKUP(E1627,showing[],2,FALSE)</f>
        <v>12</v>
      </c>
      <c r="K1627">
        <f>Сектора[[#This Row],[Значение]]</f>
        <v>9814.8533518034783</v>
      </c>
      <c r="L1627" t="str">
        <f t="shared" si="25"/>
        <v>INSERT INTO msfo.statements (id_company, id_year, id_showing, value) VALUES (13,1,12,9814,85335180348);</v>
      </c>
    </row>
    <row r="1628" spans="1:12">
      <c r="A1628" s="28" t="s">
        <v>47</v>
      </c>
      <c r="B1628" s="28" t="s">
        <v>33</v>
      </c>
      <c r="C1628" s="28">
        <v>2012</v>
      </c>
      <c r="D1628" s="28" t="s">
        <v>4</v>
      </c>
      <c r="E1628" s="28" t="s">
        <v>15</v>
      </c>
      <c r="F1628" s="28">
        <v>11227.1875730508</v>
      </c>
      <c r="H1628">
        <f>VLOOKUP(A1628&amp;B1628,ticker_sector[],2,FALSE)</f>
        <v>13</v>
      </c>
      <c r="I1628">
        <f>VLOOKUP(C1628,year[],2,FALSE)</f>
        <v>2</v>
      </c>
      <c r="J1628">
        <f>VLOOKUP(E1628,showing[],2,FALSE)</f>
        <v>12</v>
      </c>
      <c r="K1628">
        <f>Сектора[[#This Row],[Значение]]</f>
        <v>11227.1875730508</v>
      </c>
      <c r="L1628" t="str">
        <f t="shared" si="25"/>
        <v>INSERT INTO msfo.statements (id_company, id_year, id_showing, value) VALUES (13,2,12,11227,1875730508);</v>
      </c>
    </row>
    <row r="1629" spans="1:12">
      <c r="A1629" s="28" t="s">
        <v>47</v>
      </c>
      <c r="B1629" s="28" t="s">
        <v>33</v>
      </c>
      <c r="C1629" s="28">
        <v>2013</v>
      </c>
      <c r="D1629" s="28" t="s">
        <v>4</v>
      </c>
      <c r="E1629" s="28" t="s">
        <v>15</v>
      </c>
      <c r="F1629" s="28">
        <v>16651.797171944319</v>
      </c>
      <c r="H1629">
        <f>VLOOKUP(A1629&amp;B1629,ticker_sector[],2,FALSE)</f>
        <v>13</v>
      </c>
      <c r="I1629">
        <f>VLOOKUP(C1629,year[],2,FALSE)</f>
        <v>3</v>
      </c>
      <c r="J1629">
        <f>VLOOKUP(E1629,showing[],2,FALSE)</f>
        <v>12</v>
      </c>
      <c r="K1629">
        <f>Сектора[[#This Row],[Значение]]</f>
        <v>16651.797171944319</v>
      </c>
      <c r="L1629" t="str">
        <f t="shared" si="25"/>
        <v>INSERT INTO msfo.statements (id_company, id_year, id_showing, value) VALUES (13,3,12,16651,7971719443);</v>
      </c>
    </row>
    <row r="1630" spans="1:12">
      <c r="A1630" s="28" t="s">
        <v>47</v>
      </c>
      <c r="B1630" s="28" t="s">
        <v>33</v>
      </c>
      <c r="C1630" s="28">
        <v>2014</v>
      </c>
      <c r="D1630" s="28" t="s">
        <v>4</v>
      </c>
      <c r="E1630" s="28" t="s">
        <v>15</v>
      </c>
      <c r="F1630" s="28">
        <v>6185.7429290559276</v>
      </c>
      <c r="H1630">
        <f>VLOOKUP(A1630&amp;B1630,ticker_sector[],2,FALSE)</f>
        <v>13</v>
      </c>
      <c r="I1630">
        <f>VLOOKUP(C1630,year[],2,FALSE)</f>
        <v>4</v>
      </c>
      <c r="J1630">
        <f>VLOOKUP(E1630,showing[],2,FALSE)</f>
        <v>12</v>
      </c>
      <c r="K1630">
        <f>Сектора[[#This Row],[Значение]]</f>
        <v>6185.7429290559276</v>
      </c>
      <c r="L1630" t="str">
        <f t="shared" si="25"/>
        <v>INSERT INTO msfo.statements (id_company, id_year, id_showing, value) VALUES (13,4,12,6185,74292905593);</v>
      </c>
    </row>
    <row r="1631" spans="1:12">
      <c r="A1631" s="28" t="s">
        <v>47</v>
      </c>
      <c r="B1631" s="28" t="s">
        <v>33</v>
      </c>
      <c r="C1631" s="28">
        <v>2015</v>
      </c>
      <c r="D1631" s="28" t="s">
        <v>4</v>
      </c>
      <c r="E1631" s="28" t="s">
        <v>15</v>
      </c>
      <c r="F1631" s="28">
        <v>4870.8404051990392</v>
      </c>
      <c r="H1631">
        <f>VLOOKUP(A1631&amp;B1631,ticker_sector[],2,FALSE)</f>
        <v>13</v>
      </c>
      <c r="I1631">
        <f>VLOOKUP(C1631,year[],2,FALSE)</f>
        <v>5</v>
      </c>
      <c r="J1631">
        <f>VLOOKUP(E1631,showing[],2,FALSE)</f>
        <v>12</v>
      </c>
      <c r="K1631">
        <f>Сектора[[#This Row],[Значение]]</f>
        <v>4870.8404051990392</v>
      </c>
      <c r="L1631" t="str">
        <f t="shared" si="25"/>
        <v>INSERT INTO msfo.statements (id_company, id_year, id_showing, value) VALUES (13,5,12,4870,84040519904);</v>
      </c>
    </row>
    <row r="1632" spans="1:12">
      <c r="A1632" s="28" t="s">
        <v>47</v>
      </c>
      <c r="B1632" s="28" t="s">
        <v>33</v>
      </c>
      <c r="C1632" s="28">
        <v>2016</v>
      </c>
      <c r="D1632" s="28" t="s">
        <v>4</v>
      </c>
      <c r="E1632" s="28" t="s">
        <v>15</v>
      </c>
      <c r="F1632" s="28">
        <v>2983.996874222059</v>
      </c>
      <c r="H1632">
        <f>VLOOKUP(A1632&amp;B1632,ticker_sector[],2,FALSE)</f>
        <v>13</v>
      </c>
      <c r="I1632">
        <f>VLOOKUP(C1632,year[],2,FALSE)</f>
        <v>6</v>
      </c>
      <c r="J1632">
        <f>VLOOKUP(E1632,showing[],2,FALSE)</f>
        <v>12</v>
      </c>
      <c r="K1632">
        <f>Сектора[[#This Row],[Значение]]</f>
        <v>2983.996874222059</v>
      </c>
      <c r="L1632" t="str">
        <f t="shared" si="25"/>
        <v>INSERT INTO msfo.statements (id_company, id_year, id_showing, value) VALUES (13,6,12,2983,99687422206);</v>
      </c>
    </row>
    <row r="1633" spans="1:12">
      <c r="A1633" s="28" t="s">
        <v>47</v>
      </c>
      <c r="B1633" s="28" t="s">
        <v>33</v>
      </c>
      <c r="C1633" s="28">
        <v>2017</v>
      </c>
      <c r="D1633" s="28" t="s">
        <v>4</v>
      </c>
      <c r="E1633" s="28" t="s">
        <v>15</v>
      </c>
      <c r="F1633" s="28">
        <v>3854.1532841899852</v>
      </c>
      <c r="H1633">
        <f>VLOOKUP(A1633&amp;B1633,ticker_sector[],2,FALSE)</f>
        <v>13</v>
      </c>
      <c r="I1633">
        <f>VLOOKUP(C1633,year[],2,FALSE)</f>
        <v>7</v>
      </c>
      <c r="J1633">
        <f>VLOOKUP(E1633,showing[],2,FALSE)</f>
        <v>12</v>
      </c>
      <c r="K1633">
        <f>Сектора[[#This Row],[Значение]]</f>
        <v>3854.1532841899852</v>
      </c>
      <c r="L1633" t="str">
        <f t="shared" si="25"/>
        <v>INSERT INTO msfo.statements (id_company, id_year, id_showing, value) VALUES (13,7,12,3854,15328418999);</v>
      </c>
    </row>
    <row r="1634" spans="1:12">
      <c r="A1634" s="28" t="s">
        <v>47</v>
      </c>
      <c r="B1634" s="28" t="s">
        <v>33</v>
      </c>
      <c r="C1634" s="28">
        <v>2010</v>
      </c>
      <c r="D1634" s="28" t="s">
        <v>7</v>
      </c>
      <c r="E1634" s="28" t="s">
        <v>16</v>
      </c>
      <c r="F1634" s="28">
        <v>480000</v>
      </c>
      <c r="H1634">
        <f>VLOOKUP(A1634&amp;B1634,ticker_sector[],2,FALSE)</f>
        <v>13</v>
      </c>
      <c r="I1634">
        <f>VLOOKUP(C1634,year[],2,FALSE)</f>
        <v>0</v>
      </c>
      <c r="J1634">
        <f>VLOOKUP(E1634,showing[],2,FALSE)</f>
        <v>13</v>
      </c>
      <c r="K1634">
        <f>Сектора[[#This Row],[Значение]]</f>
        <v>480000</v>
      </c>
      <c r="L1634" t="str">
        <f t="shared" si="25"/>
        <v>INSERT INTO msfo.statements (id_company, id_year, id_showing, value) VALUES (13,0,13,480000);</v>
      </c>
    </row>
    <row r="1635" spans="1:12">
      <c r="A1635" s="28" t="s">
        <v>47</v>
      </c>
      <c r="B1635" s="28" t="s">
        <v>33</v>
      </c>
      <c r="C1635" s="28">
        <v>2011</v>
      </c>
      <c r="D1635" s="28" t="s">
        <v>7</v>
      </c>
      <c r="E1635" s="28" t="s">
        <v>16</v>
      </c>
      <c r="F1635" s="28">
        <v>542000</v>
      </c>
      <c r="H1635">
        <f>VLOOKUP(A1635&amp;B1635,ticker_sector[],2,FALSE)</f>
        <v>13</v>
      </c>
      <c r="I1635">
        <f>VLOOKUP(C1635,year[],2,FALSE)</f>
        <v>1</v>
      </c>
      <c r="J1635">
        <f>VLOOKUP(E1635,showing[],2,FALSE)</f>
        <v>13</v>
      </c>
      <c r="K1635">
        <f>Сектора[[#This Row],[Значение]]</f>
        <v>542000</v>
      </c>
      <c r="L1635" t="str">
        <f t="shared" si="25"/>
        <v>INSERT INTO msfo.statements (id_company, id_year, id_showing, value) VALUES (13,1,13,542000);</v>
      </c>
    </row>
    <row r="1636" spans="1:12">
      <c r="A1636" s="28" t="s">
        <v>47</v>
      </c>
      <c r="B1636" s="28" t="s">
        <v>33</v>
      </c>
      <c r="C1636" s="28">
        <v>2012</v>
      </c>
      <c r="D1636" s="28" t="s">
        <v>7</v>
      </c>
      <c r="E1636" s="28" t="s">
        <v>16</v>
      </c>
      <c r="F1636" s="28">
        <v>453000</v>
      </c>
      <c r="H1636">
        <f>VLOOKUP(A1636&amp;B1636,ticker_sector[],2,FALSE)</f>
        <v>13</v>
      </c>
      <c r="I1636">
        <f>VLOOKUP(C1636,year[],2,FALSE)</f>
        <v>2</v>
      </c>
      <c r="J1636">
        <f>VLOOKUP(E1636,showing[],2,FALSE)</f>
        <v>13</v>
      </c>
      <c r="K1636">
        <f>Сектора[[#This Row],[Значение]]</f>
        <v>453000</v>
      </c>
      <c r="L1636" t="str">
        <f t="shared" si="25"/>
        <v>INSERT INTO msfo.statements (id_company, id_year, id_showing, value) VALUES (13,2,13,453000);</v>
      </c>
    </row>
    <row r="1637" spans="1:12">
      <c r="A1637" s="28" t="s">
        <v>47</v>
      </c>
      <c r="B1637" s="28" t="s">
        <v>33</v>
      </c>
      <c r="C1637" s="28">
        <v>2013</v>
      </c>
      <c r="D1637" s="28" t="s">
        <v>7</v>
      </c>
      <c r="E1637" s="28" t="s">
        <v>16</v>
      </c>
      <c r="F1637" s="28">
        <v>783000</v>
      </c>
      <c r="H1637">
        <f>VLOOKUP(A1637&amp;B1637,ticker_sector[],2,FALSE)</f>
        <v>13</v>
      </c>
      <c r="I1637">
        <f>VLOOKUP(C1637,year[],2,FALSE)</f>
        <v>3</v>
      </c>
      <c r="J1637">
        <f>VLOOKUP(E1637,showing[],2,FALSE)</f>
        <v>13</v>
      </c>
      <c r="K1637">
        <f>Сектора[[#This Row],[Значение]]</f>
        <v>783000</v>
      </c>
      <c r="L1637" t="str">
        <f t="shared" si="25"/>
        <v>INSERT INTO msfo.statements (id_company, id_year, id_showing, value) VALUES (13,3,13,783000);</v>
      </c>
    </row>
    <row r="1638" spans="1:12">
      <c r="A1638" s="28" t="s">
        <v>47</v>
      </c>
      <c r="B1638" s="28" t="s">
        <v>33</v>
      </c>
      <c r="C1638" s="28">
        <v>2014</v>
      </c>
      <c r="D1638" s="28" t="s">
        <v>7</v>
      </c>
      <c r="E1638" s="28" t="s">
        <v>16</v>
      </c>
      <c r="F1638" s="28">
        <v>1067000</v>
      </c>
      <c r="H1638">
        <f>VLOOKUP(A1638&amp;B1638,ticker_sector[],2,FALSE)</f>
        <v>13</v>
      </c>
      <c r="I1638">
        <f>VLOOKUP(C1638,year[],2,FALSE)</f>
        <v>4</v>
      </c>
      <c r="J1638">
        <f>VLOOKUP(E1638,showing[],2,FALSE)</f>
        <v>13</v>
      </c>
      <c r="K1638">
        <f>Сектора[[#This Row],[Значение]]</f>
        <v>1067000</v>
      </c>
      <c r="L1638" t="str">
        <f t="shared" si="25"/>
        <v>INSERT INTO msfo.statements (id_company, id_year, id_showing, value) VALUES (13,4,13,1067000);</v>
      </c>
    </row>
    <row r="1639" spans="1:12">
      <c r="A1639" s="28" t="s">
        <v>47</v>
      </c>
      <c r="B1639" s="28" t="s">
        <v>33</v>
      </c>
      <c r="C1639" s="28">
        <v>2015</v>
      </c>
      <c r="D1639" s="28" t="s">
        <v>7</v>
      </c>
      <c r="E1639" s="28" t="s">
        <v>16</v>
      </c>
      <c r="F1639" s="28">
        <v>944000</v>
      </c>
      <c r="H1639">
        <f>VLOOKUP(A1639&amp;B1639,ticker_sector[],2,FALSE)</f>
        <v>13</v>
      </c>
      <c r="I1639">
        <f>VLOOKUP(C1639,year[],2,FALSE)</f>
        <v>5</v>
      </c>
      <c r="J1639">
        <f>VLOOKUP(E1639,showing[],2,FALSE)</f>
        <v>13</v>
      </c>
      <c r="K1639">
        <f>Сектора[[#This Row],[Значение]]</f>
        <v>944000</v>
      </c>
      <c r="L1639" t="str">
        <f t="shared" si="25"/>
        <v>INSERT INTO msfo.statements (id_company, id_year, id_showing, value) VALUES (13,5,13,944000);</v>
      </c>
    </row>
    <row r="1640" spans="1:12">
      <c r="A1640" s="28" t="s">
        <v>47</v>
      </c>
      <c r="B1640" s="28" t="s">
        <v>33</v>
      </c>
      <c r="C1640" s="28">
        <v>2016</v>
      </c>
      <c r="D1640" s="28" t="s">
        <v>7</v>
      </c>
      <c r="E1640" s="28" t="s">
        <v>16</v>
      </c>
      <c r="F1640" s="28">
        <v>862000</v>
      </c>
      <c r="H1640">
        <f>VLOOKUP(A1640&amp;B1640,ticker_sector[],2,FALSE)</f>
        <v>13</v>
      </c>
      <c r="I1640">
        <f>VLOOKUP(C1640,year[],2,FALSE)</f>
        <v>6</v>
      </c>
      <c r="J1640">
        <f>VLOOKUP(E1640,showing[],2,FALSE)</f>
        <v>13</v>
      </c>
      <c r="K1640">
        <f>Сектора[[#This Row],[Значение]]</f>
        <v>862000</v>
      </c>
      <c r="L1640" t="str">
        <f t="shared" si="25"/>
        <v>INSERT INTO msfo.statements (id_company, id_year, id_showing, value) VALUES (13,6,13,862000);</v>
      </c>
    </row>
    <row r="1641" spans="1:12">
      <c r="A1641" s="28" t="s">
        <v>47</v>
      </c>
      <c r="B1641" s="28" t="s">
        <v>33</v>
      </c>
      <c r="C1641" s="28">
        <v>2017</v>
      </c>
      <c r="D1641" s="28" t="s">
        <v>7</v>
      </c>
      <c r="E1641" s="28" t="s">
        <v>16</v>
      </c>
      <c r="F1641" s="28">
        <v>488000</v>
      </c>
      <c r="H1641">
        <f>VLOOKUP(A1641&amp;B1641,ticker_sector[],2,FALSE)</f>
        <v>13</v>
      </c>
      <c r="I1641">
        <f>VLOOKUP(C1641,year[],2,FALSE)</f>
        <v>7</v>
      </c>
      <c r="J1641">
        <f>VLOOKUP(E1641,showing[],2,FALSE)</f>
        <v>13</v>
      </c>
      <c r="K1641">
        <f>Сектора[[#This Row],[Значение]]</f>
        <v>488000</v>
      </c>
      <c r="L1641" t="str">
        <f t="shared" si="25"/>
        <v>INSERT INTO msfo.statements (id_company, id_year, id_showing, value) VALUES (13,7,13,488000);</v>
      </c>
    </row>
    <row r="1642" spans="1:12">
      <c r="A1642" s="28" t="s">
        <v>47</v>
      </c>
      <c r="B1642" s="28" t="s">
        <v>33</v>
      </c>
      <c r="C1642" s="28">
        <v>2010</v>
      </c>
      <c r="D1642" s="28" t="s">
        <v>7</v>
      </c>
      <c r="E1642" s="28" t="s">
        <v>17</v>
      </c>
      <c r="F1642" s="28">
        <v>15749.633328849062</v>
      </c>
      <c r="H1642">
        <f>VLOOKUP(A1642&amp;B1642,ticker_sector[],2,FALSE)</f>
        <v>13</v>
      </c>
      <c r="I1642">
        <f>VLOOKUP(C1642,year[],2,FALSE)</f>
        <v>0</v>
      </c>
      <c r="J1642">
        <f>VLOOKUP(E1642,showing[],2,FALSE)</f>
        <v>14</v>
      </c>
      <c r="K1642">
        <f>Сектора[[#This Row],[Значение]]</f>
        <v>15749.633328849062</v>
      </c>
      <c r="L1642" t="str">
        <f t="shared" si="25"/>
        <v>INSERT INTO msfo.statements (id_company, id_year, id_showing, value) VALUES (13,0,14,15749,6333288491);</v>
      </c>
    </row>
    <row r="1643" spans="1:12">
      <c r="A1643" s="28" t="s">
        <v>47</v>
      </c>
      <c r="B1643" s="28" t="s">
        <v>33</v>
      </c>
      <c r="C1643" s="28">
        <v>2011</v>
      </c>
      <c r="D1643" s="28" t="s">
        <v>7</v>
      </c>
      <c r="E1643" s="28" t="s">
        <v>17</v>
      </c>
      <c r="F1643" s="28">
        <v>16834.337078093307</v>
      </c>
      <c r="H1643">
        <f>VLOOKUP(A1643&amp;B1643,ticker_sector[],2,FALSE)</f>
        <v>13</v>
      </c>
      <c r="I1643">
        <f>VLOOKUP(C1643,year[],2,FALSE)</f>
        <v>1</v>
      </c>
      <c r="J1643">
        <f>VLOOKUP(E1643,showing[],2,FALSE)</f>
        <v>14</v>
      </c>
      <c r="K1643">
        <f>Сектора[[#This Row],[Значение]]</f>
        <v>16834.337078093307</v>
      </c>
      <c r="L1643" t="str">
        <f t="shared" si="25"/>
        <v>INSERT INTO msfo.statements (id_company, id_year, id_showing, value) VALUES (13,1,14,16834,3370780933);</v>
      </c>
    </row>
    <row r="1644" spans="1:12">
      <c r="A1644" s="28" t="s">
        <v>47</v>
      </c>
      <c r="B1644" s="28" t="s">
        <v>33</v>
      </c>
      <c r="C1644" s="28">
        <v>2012</v>
      </c>
      <c r="D1644" s="28" t="s">
        <v>7</v>
      </c>
      <c r="E1644" s="28" t="s">
        <v>17</v>
      </c>
      <c r="F1644" s="28">
        <v>14914.709591178922</v>
      </c>
      <c r="H1644">
        <f>VLOOKUP(A1644&amp;B1644,ticker_sector[],2,FALSE)</f>
        <v>13</v>
      </c>
      <c r="I1644">
        <f>VLOOKUP(C1644,year[],2,FALSE)</f>
        <v>2</v>
      </c>
      <c r="J1644">
        <f>VLOOKUP(E1644,showing[],2,FALSE)</f>
        <v>14</v>
      </c>
      <c r="K1644">
        <f>Сектора[[#This Row],[Значение]]</f>
        <v>14914.709591178922</v>
      </c>
      <c r="L1644" t="str">
        <f t="shared" si="25"/>
        <v>INSERT INTO msfo.statements (id_company, id_year, id_showing, value) VALUES (13,2,14,14914,7095911789);</v>
      </c>
    </row>
    <row r="1645" spans="1:12">
      <c r="A1645" s="28" t="s">
        <v>47</v>
      </c>
      <c r="B1645" s="28" t="s">
        <v>33</v>
      </c>
      <c r="C1645" s="28">
        <v>2013</v>
      </c>
      <c r="D1645" s="28" t="s">
        <v>7</v>
      </c>
      <c r="E1645" s="28" t="s">
        <v>17</v>
      </c>
      <c r="F1645" s="28">
        <v>23923.591166297985</v>
      </c>
      <c r="H1645">
        <f>VLOOKUP(A1645&amp;B1645,ticker_sector[],2,FALSE)</f>
        <v>13</v>
      </c>
      <c r="I1645">
        <f>VLOOKUP(C1645,year[],2,FALSE)</f>
        <v>3</v>
      </c>
      <c r="J1645">
        <f>VLOOKUP(E1645,showing[],2,FALSE)</f>
        <v>14</v>
      </c>
      <c r="K1645">
        <f>Сектора[[#This Row],[Значение]]</f>
        <v>23923.591166297985</v>
      </c>
      <c r="L1645" t="str">
        <f t="shared" si="25"/>
        <v>INSERT INTO msfo.statements (id_company, id_year, id_showing, value) VALUES (13,3,14,23923,591166298);</v>
      </c>
    </row>
    <row r="1646" spans="1:12">
      <c r="A1646" s="28" t="s">
        <v>47</v>
      </c>
      <c r="B1646" s="28" t="s">
        <v>33</v>
      </c>
      <c r="C1646" s="28">
        <v>2014</v>
      </c>
      <c r="D1646" s="28" t="s">
        <v>7</v>
      </c>
      <c r="E1646" s="28" t="s">
        <v>17</v>
      </c>
      <c r="F1646" s="28">
        <v>18966.056624432975</v>
      </c>
      <c r="H1646">
        <f>VLOOKUP(A1646&amp;B1646,ticker_sector[],2,FALSE)</f>
        <v>13</v>
      </c>
      <c r="I1646">
        <f>VLOOKUP(C1646,year[],2,FALSE)</f>
        <v>4</v>
      </c>
      <c r="J1646">
        <f>VLOOKUP(E1646,showing[],2,FALSE)</f>
        <v>14</v>
      </c>
      <c r="K1646">
        <f>Сектора[[#This Row],[Значение]]</f>
        <v>18966.056624432975</v>
      </c>
      <c r="L1646" t="str">
        <f t="shared" si="25"/>
        <v>INSERT INTO msfo.statements (id_company, id_year, id_showing, value) VALUES (13,4,14,18966,056624433);</v>
      </c>
    </row>
    <row r="1647" spans="1:12">
      <c r="A1647" s="28" t="s">
        <v>47</v>
      </c>
      <c r="B1647" s="28" t="s">
        <v>33</v>
      </c>
      <c r="C1647" s="28">
        <v>2015</v>
      </c>
      <c r="D1647" s="28" t="s">
        <v>7</v>
      </c>
      <c r="E1647" s="28" t="s">
        <v>17</v>
      </c>
      <c r="F1647" s="28">
        <v>12952.319274670121</v>
      </c>
      <c r="H1647">
        <f>VLOOKUP(A1647&amp;B1647,ticker_sector[],2,FALSE)</f>
        <v>13</v>
      </c>
      <c r="I1647">
        <f>VLOOKUP(C1647,year[],2,FALSE)</f>
        <v>5</v>
      </c>
      <c r="J1647">
        <f>VLOOKUP(E1647,showing[],2,FALSE)</f>
        <v>14</v>
      </c>
      <c r="K1647">
        <f>Сектора[[#This Row],[Значение]]</f>
        <v>12952.319274670121</v>
      </c>
      <c r="L1647" t="str">
        <f t="shared" si="25"/>
        <v>INSERT INTO msfo.statements (id_company, id_year, id_showing, value) VALUES (13,5,14,12952,3192746701);</v>
      </c>
    </row>
    <row r="1648" spans="1:12">
      <c r="A1648" s="28" t="s">
        <v>47</v>
      </c>
      <c r="B1648" s="28" t="s">
        <v>33</v>
      </c>
      <c r="C1648" s="28">
        <v>2016</v>
      </c>
      <c r="D1648" s="28" t="s">
        <v>7</v>
      </c>
      <c r="E1648" s="28" t="s">
        <v>17</v>
      </c>
      <c r="F1648" s="28">
        <v>14211.079036350357</v>
      </c>
      <c r="H1648">
        <f>VLOOKUP(A1648&amp;B1648,ticker_sector[],2,FALSE)</f>
        <v>13</v>
      </c>
      <c r="I1648">
        <f>VLOOKUP(C1648,year[],2,FALSE)</f>
        <v>6</v>
      </c>
      <c r="J1648">
        <f>VLOOKUP(E1648,showing[],2,FALSE)</f>
        <v>14</v>
      </c>
      <c r="K1648">
        <f>Сектора[[#This Row],[Значение]]</f>
        <v>14211.079036350357</v>
      </c>
      <c r="L1648" t="str">
        <f t="shared" si="25"/>
        <v>INSERT INTO msfo.statements (id_company, id_year, id_showing, value) VALUES (13,6,14,14211,0790363504);</v>
      </c>
    </row>
    <row r="1649" spans="1:12">
      <c r="A1649" s="28" t="s">
        <v>47</v>
      </c>
      <c r="B1649" s="28" t="s">
        <v>33</v>
      </c>
      <c r="C1649" s="28">
        <v>2017</v>
      </c>
      <c r="D1649" s="28" t="s">
        <v>7</v>
      </c>
      <c r="E1649" s="28" t="s">
        <v>17</v>
      </c>
      <c r="F1649" s="28">
        <v>8472.1928048860937</v>
      </c>
      <c r="H1649">
        <f>VLOOKUP(A1649&amp;B1649,ticker_sector[],2,FALSE)</f>
        <v>13</v>
      </c>
      <c r="I1649">
        <f>VLOOKUP(C1649,year[],2,FALSE)</f>
        <v>7</v>
      </c>
      <c r="J1649">
        <f>VLOOKUP(E1649,showing[],2,FALSE)</f>
        <v>14</v>
      </c>
      <c r="K1649">
        <f>Сектора[[#This Row],[Значение]]</f>
        <v>8472.1928048860937</v>
      </c>
      <c r="L1649" t="str">
        <f t="shared" si="25"/>
        <v>INSERT INTO msfo.statements (id_company, id_year, id_showing, value) VALUES (13,7,14,8472,19280488609);</v>
      </c>
    </row>
    <row r="1650" spans="1:12">
      <c r="A1650" s="28" t="s">
        <v>47</v>
      </c>
      <c r="B1650" s="28" t="s">
        <v>33</v>
      </c>
      <c r="C1650" s="28">
        <v>2010</v>
      </c>
      <c r="D1650" s="28" t="s">
        <v>20</v>
      </c>
      <c r="E1650" s="28" t="s">
        <v>18</v>
      </c>
      <c r="F1650" s="28">
        <v>9598</v>
      </c>
      <c r="H1650">
        <f>VLOOKUP(A1650&amp;B1650,ticker_sector[],2,FALSE)</f>
        <v>13</v>
      </c>
      <c r="I1650">
        <f>VLOOKUP(C1650,year[],2,FALSE)</f>
        <v>0</v>
      </c>
      <c r="J1650">
        <f>VLOOKUP(E1650,showing[],2,FALSE)</f>
        <v>15</v>
      </c>
      <c r="K1650">
        <f>Сектора[[#This Row],[Значение]]</f>
        <v>9598</v>
      </c>
      <c r="L1650" t="str">
        <f t="shared" si="25"/>
        <v>INSERT INTO msfo.statements (id_company, id_year, id_showing, value) VALUES (13,0,15,9598);</v>
      </c>
    </row>
    <row r="1651" spans="1:12">
      <c r="A1651" s="28" t="s">
        <v>47</v>
      </c>
      <c r="B1651" s="28" t="s">
        <v>33</v>
      </c>
      <c r="C1651" s="28">
        <v>2011</v>
      </c>
      <c r="D1651" s="28" t="s">
        <v>20</v>
      </c>
      <c r="E1651" s="28" t="s">
        <v>18</v>
      </c>
      <c r="F1651" s="28">
        <v>9591</v>
      </c>
      <c r="H1651">
        <f>VLOOKUP(A1651&amp;B1651,ticker_sector[],2,FALSE)</f>
        <v>13</v>
      </c>
      <c r="I1651">
        <f>VLOOKUP(C1651,year[],2,FALSE)</f>
        <v>1</v>
      </c>
      <c r="J1651">
        <f>VLOOKUP(E1651,showing[],2,FALSE)</f>
        <v>15</v>
      </c>
      <c r="K1651">
        <f>Сектора[[#This Row],[Значение]]</f>
        <v>9591</v>
      </c>
      <c r="L1651" t="str">
        <f t="shared" si="25"/>
        <v>INSERT INTO msfo.statements (id_company, id_year, id_showing, value) VALUES (13,1,15,9591);</v>
      </c>
    </row>
    <row r="1652" spans="1:12">
      <c r="A1652" s="28" t="s">
        <v>47</v>
      </c>
      <c r="B1652" s="28" t="s">
        <v>33</v>
      </c>
      <c r="C1652" s="28">
        <v>2012</v>
      </c>
      <c r="D1652" s="28" t="s">
        <v>20</v>
      </c>
      <c r="E1652" s="28" t="s">
        <v>18</v>
      </c>
      <c r="F1652" s="28">
        <v>9416</v>
      </c>
      <c r="H1652">
        <f>VLOOKUP(A1652&amp;B1652,ticker_sector[],2,FALSE)</f>
        <v>13</v>
      </c>
      <c r="I1652">
        <f>VLOOKUP(C1652,year[],2,FALSE)</f>
        <v>2</v>
      </c>
      <c r="J1652">
        <f>VLOOKUP(E1652,showing[],2,FALSE)</f>
        <v>15</v>
      </c>
      <c r="K1652">
        <f>Сектора[[#This Row],[Значение]]</f>
        <v>9416</v>
      </c>
      <c r="L1652" t="str">
        <f t="shared" si="25"/>
        <v>INSERT INTO msfo.statements (id_company, id_year, id_showing, value) VALUES (13,2,15,9416);</v>
      </c>
    </row>
    <row r="1653" spans="1:12">
      <c r="A1653" s="28" t="s">
        <v>47</v>
      </c>
      <c r="B1653" s="28" t="s">
        <v>33</v>
      </c>
      <c r="C1653" s="28">
        <v>2013</v>
      </c>
      <c r="D1653" s="28" t="s">
        <v>20</v>
      </c>
      <c r="E1653" s="28" t="s">
        <v>18</v>
      </c>
      <c r="F1653" s="28">
        <v>10304</v>
      </c>
      <c r="H1653">
        <f>VLOOKUP(A1653&amp;B1653,ticker_sector[],2,FALSE)</f>
        <v>13</v>
      </c>
      <c r="I1653">
        <f>VLOOKUP(C1653,year[],2,FALSE)</f>
        <v>3</v>
      </c>
      <c r="J1653">
        <f>VLOOKUP(E1653,showing[],2,FALSE)</f>
        <v>15</v>
      </c>
      <c r="K1653">
        <f>Сектора[[#This Row],[Значение]]</f>
        <v>10304</v>
      </c>
      <c r="L1653" t="str">
        <f t="shared" si="25"/>
        <v>INSERT INTO msfo.statements (id_company, id_year, id_showing, value) VALUES (13,3,15,10304);</v>
      </c>
    </row>
    <row r="1654" spans="1:12">
      <c r="A1654" s="28" t="s">
        <v>47</v>
      </c>
      <c r="B1654" s="28" t="s">
        <v>33</v>
      </c>
      <c r="C1654" s="28">
        <v>2014</v>
      </c>
      <c r="D1654" s="28" t="s">
        <v>20</v>
      </c>
      <c r="E1654" s="28" t="s">
        <v>18</v>
      </c>
      <c r="F1654" s="28">
        <v>10598</v>
      </c>
      <c r="H1654">
        <f>VLOOKUP(A1654&amp;B1654,ticker_sector[],2,FALSE)</f>
        <v>13</v>
      </c>
      <c r="I1654">
        <f>VLOOKUP(C1654,year[],2,FALSE)</f>
        <v>4</v>
      </c>
      <c r="J1654">
        <f>VLOOKUP(E1654,showing[],2,FALSE)</f>
        <v>15</v>
      </c>
      <c r="K1654">
        <f>Сектора[[#This Row],[Значение]]</f>
        <v>10598</v>
      </c>
      <c r="L1654" t="str">
        <f t="shared" si="25"/>
        <v>INSERT INTO msfo.statements (id_company, id_year, id_showing, value) VALUES (13,4,15,10598);</v>
      </c>
    </row>
    <row r="1655" spans="1:12">
      <c r="A1655" s="28" t="s">
        <v>47</v>
      </c>
      <c r="B1655" s="28" t="s">
        <v>33</v>
      </c>
      <c r="C1655" s="28">
        <v>2015</v>
      </c>
      <c r="D1655" s="28" t="s">
        <v>20</v>
      </c>
      <c r="E1655" s="28" t="s">
        <v>18</v>
      </c>
      <c r="F1655" s="28">
        <v>10598</v>
      </c>
      <c r="H1655">
        <f>VLOOKUP(A1655&amp;B1655,ticker_sector[],2,FALSE)</f>
        <v>13</v>
      </c>
      <c r="I1655">
        <f>VLOOKUP(C1655,year[],2,FALSE)</f>
        <v>5</v>
      </c>
      <c r="J1655">
        <f>VLOOKUP(E1655,showing[],2,FALSE)</f>
        <v>15</v>
      </c>
      <c r="K1655">
        <f>Сектора[[#This Row],[Значение]]</f>
        <v>10598</v>
      </c>
      <c r="L1655" t="str">
        <f t="shared" si="25"/>
        <v>INSERT INTO msfo.statements (id_company, id_year, id_showing, value) VALUES (13,5,15,10598);</v>
      </c>
    </row>
    <row r="1656" spans="1:12">
      <c r="A1656" s="28" t="s">
        <v>47</v>
      </c>
      <c r="B1656" s="28" t="s">
        <v>33</v>
      </c>
      <c r="C1656" s="28">
        <v>2016</v>
      </c>
      <c r="D1656" s="28" t="s">
        <v>20</v>
      </c>
      <c r="E1656" s="28" t="s">
        <v>18</v>
      </c>
      <c r="F1656" s="28">
        <v>10598</v>
      </c>
      <c r="H1656">
        <f>VLOOKUP(A1656&amp;B1656,ticker_sector[],2,FALSE)</f>
        <v>13</v>
      </c>
      <c r="I1656">
        <f>VLOOKUP(C1656,year[],2,FALSE)</f>
        <v>6</v>
      </c>
      <c r="J1656">
        <f>VLOOKUP(E1656,showing[],2,FALSE)</f>
        <v>15</v>
      </c>
      <c r="K1656">
        <f>Сектора[[#This Row],[Значение]]</f>
        <v>10598</v>
      </c>
      <c r="L1656" t="str">
        <f t="shared" si="25"/>
        <v>INSERT INTO msfo.statements (id_company, id_year, id_showing, value) VALUES (13,6,15,10598);</v>
      </c>
    </row>
    <row r="1657" spans="1:12">
      <c r="A1657" s="28" t="s">
        <v>47</v>
      </c>
      <c r="B1657" s="28" t="s">
        <v>33</v>
      </c>
      <c r="C1657" s="28">
        <v>2017</v>
      </c>
      <c r="D1657" s="28" t="s">
        <v>20</v>
      </c>
      <c r="E1657" s="28" t="s">
        <v>18</v>
      </c>
      <c r="F1657" s="28">
        <v>10598</v>
      </c>
      <c r="H1657">
        <f>VLOOKUP(A1657&amp;B1657,ticker_sector[],2,FALSE)</f>
        <v>13</v>
      </c>
      <c r="I1657">
        <f>VLOOKUP(C1657,year[],2,FALSE)</f>
        <v>7</v>
      </c>
      <c r="J1657">
        <f>VLOOKUP(E1657,showing[],2,FALSE)</f>
        <v>15</v>
      </c>
      <c r="K1657">
        <f>Сектора[[#This Row],[Значение]]</f>
        <v>10598</v>
      </c>
      <c r="L1657" t="str">
        <f t="shared" si="25"/>
        <v>INSERT INTO msfo.statements (id_company, id_year, id_showing, value) VALUES (13,7,15,10598);</v>
      </c>
    </row>
    <row r="1658" spans="1:12">
      <c r="A1658" s="28" t="s">
        <v>47</v>
      </c>
      <c r="B1658" s="28" t="s">
        <v>33</v>
      </c>
      <c r="C1658" s="28">
        <v>2010</v>
      </c>
      <c r="D1658" s="28" t="s">
        <v>20</v>
      </c>
      <c r="E1658" s="28" t="s">
        <v>19</v>
      </c>
      <c r="F1658" s="28">
        <v>207.75</v>
      </c>
      <c r="H1658">
        <f>VLOOKUP(A1658&amp;B1658,ticker_sector[],2,FALSE)</f>
        <v>13</v>
      </c>
      <c r="I1658">
        <f>VLOOKUP(C1658,year[],2,FALSE)</f>
        <v>0</v>
      </c>
      <c r="J1658">
        <f>VLOOKUP(E1658,showing[],2,FALSE)</f>
        <v>16</v>
      </c>
      <c r="K1658">
        <f>Сектора[[#This Row],[Значение]]</f>
        <v>207.75</v>
      </c>
      <c r="L1658" t="str">
        <f t="shared" si="25"/>
        <v>INSERT INTO msfo.statements (id_company, id_year, id_showing, value) VALUES (13,0,16,207,75);</v>
      </c>
    </row>
    <row r="1659" spans="1:12">
      <c r="A1659" s="28" t="s">
        <v>47</v>
      </c>
      <c r="B1659" s="28" t="s">
        <v>33</v>
      </c>
      <c r="C1659" s="28">
        <v>2011</v>
      </c>
      <c r="D1659" s="28" t="s">
        <v>20</v>
      </c>
      <c r="E1659" s="28" t="s">
        <v>19</v>
      </c>
      <c r="F1659" s="28">
        <v>214.55</v>
      </c>
      <c r="H1659">
        <f>VLOOKUP(A1659&amp;B1659,ticker_sector[],2,FALSE)</f>
        <v>13</v>
      </c>
      <c r="I1659">
        <f>VLOOKUP(C1659,year[],2,FALSE)</f>
        <v>1</v>
      </c>
      <c r="J1659">
        <f>VLOOKUP(E1659,showing[],2,FALSE)</f>
        <v>16</v>
      </c>
      <c r="K1659">
        <f>Сектора[[#This Row],[Значение]]</f>
        <v>214.55</v>
      </c>
      <c r="L1659" t="str">
        <f t="shared" si="25"/>
        <v>INSERT INTO msfo.statements (id_company, id_year, id_showing, value) VALUES (13,1,16,214,55);</v>
      </c>
    </row>
    <row r="1660" spans="1:12">
      <c r="A1660" s="28" t="s">
        <v>47</v>
      </c>
      <c r="B1660" s="28" t="s">
        <v>33</v>
      </c>
      <c r="C1660" s="28">
        <v>2012</v>
      </c>
      <c r="D1660" s="28" t="s">
        <v>20</v>
      </c>
      <c r="E1660" s="28" t="s">
        <v>19</v>
      </c>
      <c r="F1660" s="28">
        <v>270</v>
      </c>
      <c r="H1660">
        <f>VLOOKUP(A1660&amp;B1660,ticker_sector[],2,FALSE)</f>
        <v>13</v>
      </c>
      <c r="I1660">
        <f>VLOOKUP(C1660,year[],2,FALSE)</f>
        <v>2</v>
      </c>
      <c r="J1660">
        <f>VLOOKUP(E1660,showing[],2,FALSE)</f>
        <v>16</v>
      </c>
      <c r="K1660">
        <f>Сектора[[#This Row],[Значение]]</f>
        <v>270</v>
      </c>
      <c r="L1660" t="str">
        <f t="shared" si="25"/>
        <v>INSERT INTO msfo.statements (id_company, id_year, id_showing, value) VALUES (13,2,16,270);</v>
      </c>
    </row>
    <row r="1661" spans="1:12">
      <c r="A1661" s="28" t="s">
        <v>47</v>
      </c>
      <c r="B1661" s="28" t="s">
        <v>33</v>
      </c>
      <c r="C1661" s="28">
        <v>2013</v>
      </c>
      <c r="D1661" s="28" t="s">
        <v>20</v>
      </c>
      <c r="E1661" s="28" t="s">
        <v>19</v>
      </c>
      <c r="F1661" s="28">
        <v>251.55</v>
      </c>
      <c r="H1661">
        <f>VLOOKUP(A1661&amp;B1661,ticker_sector[],2,FALSE)</f>
        <v>13</v>
      </c>
      <c r="I1661">
        <f>VLOOKUP(C1661,year[],2,FALSE)</f>
        <v>3</v>
      </c>
      <c r="J1661">
        <f>VLOOKUP(E1661,showing[],2,FALSE)</f>
        <v>16</v>
      </c>
      <c r="K1661">
        <f>Сектора[[#This Row],[Значение]]</f>
        <v>251.55</v>
      </c>
      <c r="L1661" t="str">
        <f t="shared" si="25"/>
        <v>INSERT INTO msfo.statements (id_company, id_year, id_showing, value) VALUES (13,3,16,251,55);</v>
      </c>
    </row>
    <row r="1662" spans="1:12">
      <c r="A1662" s="28" t="s">
        <v>47</v>
      </c>
      <c r="B1662" s="28" t="s">
        <v>33</v>
      </c>
      <c r="C1662" s="28">
        <v>2014</v>
      </c>
      <c r="D1662" s="28" t="s">
        <v>20</v>
      </c>
      <c r="E1662" s="28" t="s">
        <v>19</v>
      </c>
      <c r="F1662" s="28">
        <v>195.8</v>
      </c>
      <c r="H1662">
        <f>VLOOKUP(A1662&amp;B1662,ticker_sector[],2,FALSE)</f>
        <v>13</v>
      </c>
      <c r="I1662">
        <f>VLOOKUP(C1662,year[],2,FALSE)</f>
        <v>4</v>
      </c>
      <c r="J1662">
        <f>VLOOKUP(E1662,showing[],2,FALSE)</f>
        <v>16</v>
      </c>
      <c r="K1662">
        <f>Сектора[[#This Row],[Значение]]</f>
        <v>195.8</v>
      </c>
      <c r="L1662" t="str">
        <f t="shared" si="25"/>
        <v>INSERT INTO msfo.statements (id_company, id_year, id_showing, value) VALUES (13,4,16,195,8);</v>
      </c>
    </row>
    <row r="1663" spans="1:12">
      <c r="A1663" s="28" t="s">
        <v>47</v>
      </c>
      <c r="B1663" s="28" t="s">
        <v>33</v>
      </c>
      <c r="C1663" s="28">
        <v>2015</v>
      </c>
      <c r="D1663" s="28" t="s">
        <v>20</v>
      </c>
      <c r="E1663" s="28" t="s">
        <v>19</v>
      </c>
      <c r="F1663" s="28">
        <v>253.25</v>
      </c>
      <c r="H1663">
        <f>VLOOKUP(A1663&amp;B1663,ticker_sector[],2,FALSE)</f>
        <v>13</v>
      </c>
      <c r="I1663">
        <f>VLOOKUP(C1663,year[],2,FALSE)</f>
        <v>5</v>
      </c>
      <c r="J1663">
        <f>VLOOKUP(E1663,showing[],2,FALSE)</f>
        <v>16</v>
      </c>
      <c r="K1663">
        <f>Сектора[[#This Row],[Значение]]</f>
        <v>253.25</v>
      </c>
      <c r="L1663" t="str">
        <f t="shared" si="25"/>
        <v>INSERT INTO msfo.statements (id_company, id_year, id_showing, value) VALUES (13,5,16,253,25);</v>
      </c>
    </row>
    <row r="1664" spans="1:12">
      <c r="A1664" s="28" t="s">
        <v>47</v>
      </c>
      <c r="B1664" s="28" t="s">
        <v>33</v>
      </c>
      <c r="C1664" s="28">
        <v>2016</v>
      </c>
      <c r="D1664" s="28" t="s">
        <v>20</v>
      </c>
      <c r="E1664" s="28" t="s">
        <v>19</v>
      </c>
      <c r="F1664" s="28">
        <v>402.8</v>
      </c>
      <c r="H1664">
        <f>VLOOKUP(A1664&amp;B1664,ticker_sector[],2,FALSE)</f>
        <v>13</v>
      </c>
      <c r="I1664">
        <f>VLOOKUP(C1664,year[],2,FALSE)</f>
        <v>6</v>
      </c>
      <c r="J1664">
        <f>VLOOKUP(E1664,showing[],2,FALSE)</f>
        <v>16</v>
      </c>
      <c r="K1664">
        <f>Сектора[[#This Row],[Значение]]</f>
        <v>402.8</v>
      </c>
      <c r="L1664" t="str">
        <f t="shared" si="25"/>
        <v>INSERT INTO msfo.statements (id_company, id_year, id_showing, value) VALUES (13,6,16,402,8);</v>
      </c>
    </row>
    <row r="1665" spans="1:12">
      <c r="A1665" s="28" t="s">
        <v>47</v>
      </c>
      <c r="B1665" s="28" t="s">
        <v>33</v>
      </c>
      <c r="C1665" s="28">
        <v>2017</v>
      </c>
      <c r="D1665" s="28" t="s">
        <v>20</v>
      </c>
      <c r="E1665" s="28" t="s">
        <v>19</v>
      </c>
      <c r="F1665" s="28">
        <v>291.5</v>
      </c>
      <c r="H1665">
        <f>VLOOKUP(A1665&amp;B1665,ticker_sector[],2,FALSE)</f>
        <v>13</v>
      </c>
      <c r="I1665">
        <f>VLOOKUP(C1665,year[],2,FALSE)</f>
        <v>7</v>
      </c>
      <c r="J1665">
        <f>VLOOKUP(E1665,showing[],2,FALSE)</f>
        <v>16</v>
      </c>
      <c r="K1665">
        <f>Сектора[[#This Row],[Значение]]</f>
        <v>291.5</v>
      </c>
      <c r="L1665" t="str">
        <f t="shared" si="25"/>
        <v>INSERT INTO msfo.statements (id_company, id_year, id_showing, value) VALUES (13,7,16,291,5);</v>
      </c>
    </row>
    <row r="1666" spans="1:12">
      <c r="A1666" s="28" t="s">
        <v>48</v>
      </c>
      <c r="B1666" s="28" t="s">
        <v>33</v>
      </c>
      <c r="C1666" s="28">
        <v>2010</v>
      </c>
      <c r="D1666" s="28" t="s">
        <v>1</v>
      </c>
      <c r="E1666" s="28" t="s">
        <v>2</v>
      </c>
      <c r="F1666" s="28">
        <v>761038.66989999998</v>
      </c>
      <c r="H1666">
        <f>VLOOKUP(A1666&amp;B1666,ticker_sector[],2,FALSE)</f>
        <v>14</v>
      </c>
      <c r="I1666">
        <f>VLOOKUP(C1666,year[],2,FALSE)</f>
        <v>0</v>
      </c>
      <c r="J1666">
        <f>VLOOKUP(E1666,showing[],2,FALSE)</f>
        <v>1</v>
      </c>
      <c r="K1666">
        <f>Сектора[[#This Row],[Значение]]</f>
        <v>761038.66989999998</v>
      </c>
      <c r="L1666" t="str">
        <f t="shared" si="25"/>
        <v>INSERT INTO msfo.statements (id_company, id_year, id_showing, value) VALUES (14,0,1,761038,6699);</v>
      </c>
    </row>
    <row r="1667" spans="1:12">
      <c r="A1667" s="28" t="s">
        <v>48</v>
      </c>
      <c r="B1667" s="28" t="s">
        <v>33</v>
      </c>
      <c r="C1667" s="28">
        <v>2011</v>
      </c>
      <c r="D1667" s="28" t="s">
        <v>1</v>
      </c>
      <c r="E1667" s="28" t="s">
        <v>2</v>
      </c>
      <c r="F1667" s="28">
        <v>888998.7132</v>
      </c>
      <c r="H1667">
        <f>VLOOKUP(A1667&amp;B1667,ticker_sector[],2,FALSE)</f>
        <v>14</v>
      </c>
      <c r="I1667">
        <f>VLOOKUP(C1667,year[],2,FALSE)</f>
        <v>1</v>
      </c>
      <c r="J1667">
        <f>VLOOKUP(E1667,showing[],2,FALSE)</f>
        <v>1</v>
      </c>
      <c r="K1667">
        <f>Сектора[[#This Row],[Значение]]</f>
        <v>888998.7132</v>
      </c>
      <c r="L1667" t="str">
        <f t="shared" ref="L1667:L1730" si="26">"INSERT INTO msfo.statements (id_company, id_year, id_showing, value) VALUES ("&amp;H1667&amp; ","&amp;I1667&amp; ","&amp;J1667&amp; ","&amp;K1667&amp;");"</f>
        <v>INSERT INTO msfo.statements (id_company, id_year, id_showing, value) VALUES (14,1,1,888998,7132);</v>
      </c>
    </row>
    <row r="1668" spans="1:12">
      <c r="A1668" s="28" t="s">
        <v>48</v>
      </c>
      <c r="B1668" s="28" t="s">
        <v>33</v>
      </c>
      <c r="C1668" s="28">
        <v>2012</v>
      </c>
      <c r="D1668" s="28" t="s">
        <v>1</v>
      </c>
      <c r="E1668" s="28" t="s">
        <v>2</v>
      </c>
      <c r="F1668" s="28">
        <v>957640</v>
      </c>
      <c r="H1668">
        <f>VLOOKUP(A1668&amp;B1668,ticker_sector[],2,FALSE)</f>
        <v>14</v>
      </c>
      <c r="I1668">
        <f>VLOOKUP(C1668,year[],2,FALSE)</f>
        <v>2</v>
      </c>
      <c r="J1668">
        <f>VLOOKUP(E1668,showing[],2,FALSE)</f>
        <v>1</v>
      </c>
      <c r="K1668">
        <f>Сектора[[#This Row],[Значение]]</f>
        <v>957640</v>
      </c>
      <c r="L1668" t="str">
        <f t="shared" si="26"/>
        <v>INSERT INTO msfo.statements (id_company, id_year, id_showing, value) VALUES (14,2,1,957640);</v>
      </c>
    </row>
    <row r="1669" spans="1:12">
      <c r="A1669" s="28" t="s">
        <v>48</v>
      </c>
      <c r="B1669" s="28" t="s">
        <v>33</v>
      </c>
      <c r="C1669" s="28">
        <v>2013</v>
      </c>
      <c r="D1669" s="28" t="s">
        <v>1</v>
      </c>
      <c r="E1669" s="28" t="s">
        <v>2</v>
      </c>
      <c r="F1669" s="28">
        <v>1130562</v>
      </c>
      <c r="H1669">
        <f>VLOOKUP(A1669&amp;B1669,ticker_sector[],2,FALSE)</f>
        <v>14</v>
      </c>
      <c r="I1669">
        <f>VLOOKUP(C1669,year[],2,FALSE)</f>
        <v>3</v>
      </c>
      <c r="J1669">
        <f>VLOOKUP(E1669,showing[],2,FALSE)</f>
        <v>1</v>
      </c>
      <c r="K1669">
        <f>Сектора[[#This Row],[Значение]]</f>
        <v>1130562</v>
      </c>
      <c r="L1669" t="str">
        <f t="shared" si="26"/>
        <v>INSERT INTO msfo.statements (id_company, id_year, id_showing, value) VALUES (14,3,1,1130562);</v>
      </c>
    </row>
    <row r="1670" spans="1:12">
      <c r="A1670" s="28" t="s">
        <v>48</v>
      </c>
      <c r="B1670" s="28" t="s">
        <v>33</v>
      </c>
      <c r="C1670" s="28">
        <v>2014</v>
      </c>
      <c r="D1670" s="28" t="s">
        <v>1</v>
      </c>
      <c r="E1670" s="28" t="s">
        <v>2</v>
      </c>
      <c r="F1670" s="28">
        <v>1626799</v>
      </c>
      <c r="H1670">
        <f>VLOOKUP(A1670&amp;B1670,ticker_sector[],2,FALSE)</f>
        <v>14</v>
      </c>
      <c r="I1670">
        <f>VLOOKUP(C1670,year[],2,FALSE)</f>
        <v>4</v>
      </c>
      <c r="J1670">
        <f>VLOOKUP(E1670,showing[],2,FALSE)</f>
        <v>1</v>
      </c>
      <c r="K1670">
        <f>Сектора[[#This Row],[Значение]]</f>
        <v>1626799</v>
      </c>
      <c r="L1670" t="str">
        <f t="shared" si="26"/>
        <v>INSERT INTO msfo.statements (id_company, id_year, id_showing, value) VALUES (14,4,1,1626799);</v>
      </c>
    </row>
    <row r="1671" spans="1:12">
      <c r="A1671" s="28" t="s">
        <v>48</v>
      </c>
      <c r="B1671" s="28" t="s">
        <v>33</v>
      </c>
      <c r="C1671" s="28">
        <v>2015</v>
      </c>
      <c r="D1671" s="28" t="s">
        <v>1</v>
      </c>
      <c r="E1671" s="28" t="s">
        <v>2</v>
      </c>
      <c r="F1671" s="28">
        <v>1974722</v>
      </c>
      <c r="H1671">
        <f>VLOOKUP(A1671&amp;B1671,ticker_sector[],2,FALSE)</f>
        <v>14</v>
      </c>
      <c r="I1671">
        <f>VLOOKUP(C1671,year[],2,FALSE)</f>
        <v>5</v>
      </c>
      <c r="J1671">
        <f>VLOOKUP(E1671,showing[],2,FALSE)</f>
        <v>1</v>
      </c>
      <c r="K1671">
        <f>Сектора[[#This Row],[Значение]]</f>
        <v>1974722</v>
      </c>
      <c r="L1671" t="str">
        <f t="shared" si="26"/>
        <v>INSERT INTO msfo.statements (id_company, id_year, id_showing, value) VALUES (14,5,1,1974722);</v>
      </c>
    </row>
    <row r="1672" spans="1:12">
      <c r="A1672" s="28" t="s">
        <v>48</v>
      </c>
      <c r="B1672" s="28" t="s">
        <v>33</v>
      </c>
      <c r="C1672" s="28">
        <v>2016</v>
      </c>
      <c r="D1672" s="28" t="s">
        <v>1</v>
      </c>
      <c r="E1672" s="28" t="s">
        <v>2</v>
      </c>
      <c r="F1672" s="28">
        <v>2152479</v>
      </c>
      <c r="H1672">
        <f>VLOOKUP(A1672&amp;B1672,ticker_sector[],2,FALSE)</f>
        <v>14</v>
      </c>
      <c r="I1672">
        <f>VLOOKUP(C1672,year[],2,FALSE)</f>
        <v>6</v>
      </c>
      <c r="J1672">
        <f>VLOOKUP(E1672,showing[],2,FALSE)</f>
        <v>1</v>
      </c>
      <c r="K1672">
        <f>Сектора[[#This Row],[Значение]]</f>
        <v>2152479</v>
      </c>
      <c r="L1672" t="str">
        <f t="shared" si="26"/>
        <v>INSERT INTO msfo.statements (id_company, id_year, id_showing, value) VALUES (14,6,1,2152479);</v>
      </c>
    </row>
    <row r="1673" spans="1:12">
      <c r="A1673" s="28" t="s">
        <v>48</v>
      </c>
      <c r="B1673" s="28" t="s">
        <v>33</v>
      </c>
      <c r="C1673" s="28">
        <v>2017</v>
      </c>
      <c r="D1673" s="28" t="s">
        <v>1</v>
      </c>
      <c r="E1673" s="28" t="s">
        <v>2</v>
      </c>
      <c r="F1673" s="28">
        <v>2507421</v>
      </c>
      <c r="H1673">
        <f>VLOOKUP(A1673&amp;B1673,ticker_sector[],2,FALSE)</f>
        <v>14</v>
      </c>
      <c r="I1673">
        <f>VLOOKUP(C1673,year[],2,FALSE)</f>
        <v>7</v>
      </c>
      <c r="J1673">
        <f>VLOOKUP(E1673,showing[],2,FALSE)</f>
        <v>1</v>
      </c>
      <c r="K1673">
        <f>Сектора[[#This Row],[Значение]]</f>
        <v>2507421</v>
      </c>
      <c r="L1673" t="str">
        <f t="shared" si="26"/>
        <v>INSERT INTO msfo.statements (id_company, id_year, id_showing, value) VALUES (14,7,1,2507421);</v>
      </c>
    </row>
    <row r="1674" spans="1:12">
      <c r="A1674" s="28" t="s">
        <v>48</v>
      </c>
      <c r="B1674" s="28" t="s">
        <v>33</v>
      </c>
      <c r="C1674" s="28">
        <v>2010</v>
      </c>
      <c r="D1674" s="28" t="s">
        <v>1</v>
      </c>
      <c r="E1674" s="28" t="s">
        <v>3</v>
      </c>
      <c r="F1674" s="28">
        <v>216172.65170000002</v>
      </c>
      <c r="H1674">
        <f>VLOOKUP(A1674&amp;B1674,ticker_sector[],2,FALSE)</f>
        <v>14</v>
      </c>
      <c r="I1674">
        <f>VLOOKUP(C1674,year[],2,FALSE)</f>
        <v>0</v>
      </c>
      <c r="J1674">
        <f>VLOOKUP(E1674,showing[],2,FALSE)</f>
        <v>2</v>
      </c>
      <c r="K1674">
        <f>Сектора[[#This Row],[Значение]]</f>
        <v>216172.65170000002</v>
      </c>
      <c r="L1674" t="str">
        <f t="shared" si="26"/>
        <v>INSERT INTO msfo.statements (id_company, id_year, id_showing, value) VALUES (14,0,2,216172,6517);</v>
      </c>
    </row>
    <row r="1675" spans="1:12">
      <c r="A1675" s="28" t="s">
        <v>48</v>
      </c>
      <c r="B1675" s="28" t="s">
        <v>33</v>
      </c>
      <c r="C1675" s="28">
        <v>2011</v>
      </c>
      <c r="D1675" s="28" t="s">
        <v>1</v>
      </c>
      <c r="E1675" s="28" t="s">
        <v>3</v>
      </c>
      <c r="F1675" s="28">
        <v>292050.82310000004</v>
      </c>
      <c r="H1675">
        <f>VLOOKUP(A1675&amp;B1675,ticker_sector[],2,FALSE)</f>
        <v>14</v>
      </c>
      <c r="I1675">
        <f>VLOOKUP(C1675,year[],2,FALSE)</f>
        <v>1</v>
      </c>
      <c r="J1675">
        <f>VLOOKUP(E1675,showing[],2,FALSE)</f>
        <v>2</v>
      </c>
      <c r="K1675">
        <f>Сектора[[#This Row],[Значение]]</f>
        <v>292050.82310000004</v>
      </c>
      <c r="L1675" t="str">
        <f t="shared" si="26"/>
        <v>INSERT INTO msfo.statements (id_company, id_year, id_showing, value) VALUES (14,1,2,292050,8231);</v>
      </c>
    </row>
    <row r="1676" spans="1:12">
      <c r="A1676" s="28" t="s">
        <v>48</v>
      </c>
      <c r="B1676" s="28" t="s">
        <v>33</v>
      </c>
      <c r="C1676" s="28">
        <v>2012</v>
      </c>
      <c r="D1676" s="28" t="s">
        <v>1</v>
      </c>
      <c r="E1676" s="28" t="s">
        <v>3</v>
      </c>
      <c r="F1676" s="28">
        <v>370570</v>
      </c>
      <c r="H1676">
        <f>VLOOKUP(A1676&amp;B1676,ticker_sector[],2,FALSE)</f>
        <v>14</v>
      </c>
      <c r="I1676">
        <f>VLOOKUP(C1676,year[],2,FALSE)</f>
        <v>2</v>
      </c>
      <c r="J1676">
        <f>VLOOKUP(E1676,showing[],2,FALSE)</f>
        <v>2</v>
      </c>
      <c r="K1676">
        <f>Сектора[[#This Row],[Значение]]</f>
        <v>370570</v>
      </c>
      <c r="L1676" t="str">
        <f t="shared" si="26"/>
        <v>INSERT INTO msfo.statements (id_company, id_year, id_showing, value) VALUES (14,2,2,370570);</v>
      </c>
    </row>
    <row r="1677" spans="1:12">
      <c r="A1677" s="28" t="s">
        <v>48</v>
      </c>
      <c r="B1677" s="28" t="s">
        <v>33</v>
      </c>
      <c r="C1677" s="28">
        <v>2013</v>
      </c>
      <c r="D1677" s="28" t="s">
        <v>1</v>
      </c>
      <c r="E1677" s="28" t="s">
        <v>3</v>
      </c>
      <c r="F1677" s="28">
        <v>433071</v>
      </c>
      <c r="H1677">
        <f>VLOOKUP(A1677&amp;B1677,ticker_sector[],2,FALSE)</f>
        <v>14</v>
      </c>
      <c r="I1677">
        <f>VLOOKUP(C1677,year[],2,FALSE)</f>
        <v>3</v>
      </c>
      <c r="J1677">
        <f>VLOOKUP(E1677,showing[],2,FALSE)</f>
        <v>2</v>
      </c>
      <c r="K1677">
        <f>Сектора[[#This Row],[Значение]]</f>
        <v>433071</v>
      </c>
      <c r="L1677" t="str">
        <f t="shared" si="26"/>
        <v>INSERT INTO msfo.statements (id_company, id_year, id_showing, value) VALUES (14,3,2,433071);</v>
      </c>
    </row>
    <row r="1678" spans="1:12">
      <c r="A1678" s="28" t="s">
        <v>48</v>
      </c>
      <c r="B1678" s="28" t="s">
        <v>33</v>
      </c>
      <c r="C1678" s="28">
        <v>2014</v>
      </c>
      <c r="D1678" s="28" t="s">
        <v>1</v>
      </c>
      <c r="E1678" s="28" t="s">
        <v>3</v>
      </c>
      <c r="F1678" s="28">
        <v>470925</v>
      </c>
      <c r="H1678">
        <f>VLOOKUP(A1678&amp;B1678,ticker_sector[],2,FALSE)</f>
        <v>14</v>
      </c>
      <c r="I1678">
        <f>VLOOKUP(C1678,year[],2,FALSE)</f>
        <v>4</v>
      </c>
      <c r="J1678">
        <f>VLOOKUP(E1678,showing[],2,FALSE)</f>
        <v>2</v>
      </c>
      <c r="K1678">
        <f>Сектора[[#This Row],[Значение]]</f>
        <v>470925</v>
      </c>
      <c r="L1678" t="str">
        <f t="shared" si="26"/>
        <v>INSERT INTO msfo.statements (id_company, id_year, id_showing, value) VALUES (14,4,2,470925);</v>
      </c>
    </row>
    <row r="1679" spans="1:12">
      <c r="A1679" s="28" t="s">
        <v>48</v>
      </c>
      <c r="B1679" s="28" t="s">
        <v>33</v>
      </c>
      <c r="C1679" s="28">
        <v>2015</v>
      </c>
      <c r="D1679" s="28" t="s">
        <v>1</v>
      </c>
      <c r="E1679" s="28" t="s">
        <v>3</v>
      </c>
      <c r="F1679" s="28">
        <v>510744</v>
      </c>
      <c r="H1679">
        <f>VLOOKUP(A1679&amp;B1679,ticker_sector[],2,FALSE)</f>
        <v>14</v>
      </c>
      <c r="I1679">
        <f>VLOOKUP(C1679,year[],2,FALSE)</f>
        <v>5</v>
      </c>
      <c r="J1679">
        <f>VLOOKUP(E1679,showing[],2,FALSE)</f>
        <v>2</v>
      </c>
      <c r="K1679">
        <f>Сектора[[#This Row],[Значение]]</f>
        <v>510744</v>
      </c>
      <c r="L1679" t="str">
        <f t="shared" si="26"/>
        <v>INSERT INTO msfo.statements (id_company, id_year, id_showing, value) VALUES (14,5,2,510744);</v>
      </c>
    </row>
    <row r="1680" spans="1:12">
      <c r="A1680" s="28" t="s">
        <v>48</v>
      </c>
      <c r="B1680" s="28" t="s">
        <v>33</v>
      </c>
      <c r="C1680" s="28">
        <v>2016</v>
      </c>
      <c r="D1680" s="28" t="s">
        <v>1</v>
      </c>
      <c r="E1680" s="28" t="s">
        <v>3</v>
      </c>
      <c r="F1680" s="28">
        <v>396332</v>
      </c>
      <c r="H1680">
        <f>VLOOKUP(A1680&amp;B1680,ticker_sector[],2,FALSE)</f>
        <v>14</v>
      </c>
      <c r="I1680">
        <f>VLOOKUP(C1680,year[],2,FALSE)</f>
        <v>6</v>
      </c>
      <c r="J1680">
        <f>VLOOKUP(E1680,showing[],2,FALSE)</f>
        <v>2</v>
      </c>
      <c r="K1680">
        <f>Сектора[[#This Row],[Значение]]</f>
        <v>396332</v>
      </c>
      <c r="L1680" t="str">
        <f t="shared" si="26"/>
        <v>INSERT INTO msfo.statements (id_company, id_year, id_showing, value) VALUES (14,6,2,396332);</v>
      </c>
    </row>
    <row r="1681" spans="1:12">
      <c r="A1681" s="28" t="s">
        <v>48</v>
      </c>
      <c r="B1681" s="28" t="s">
        <v>33</v>
      </c>
      <c r="C1681" s="28">
        <v>2017</v>
      </c>
      <c r="D1681" s="28" t="s">
        <v>1</v>
      </c>
      <c r="E1681" s="28" t="s">
        <v>3</v>
      </c>
      <c r="F1681" s="28">
        <v>422587</v>
      </c>
      <c r="H1681">
        <f>VLOOKUP(A1681&amp;B1681,ticker_sector[],2,FALSE)</f>
        <v>14</v>
      </c>
      <c r="I1681">
        <f>VLOOKUP(C1681,year[],2,FALSE)</f>
        <v>7</v>
      </c>
      <c r="J1681">
        <f>VLOOKUP(E1681,showing[],2,FALSE)</f>
        <v>2</v>
      </c>
      <c r="K1681">
        <f>Сектора[[#This Row],[Значение]]</f>
        <v>422587</v>
      </c>
      <c r="L1681" t="str">
        <f t="shared" si="26"/>
        <v>INSERT INTO msfo.statements (id_company, id_year, id_showing, value) VALUES (14,7,2,422587);</v>
      </c>
    </row>
    <row r="1682" spans="1:12">
      <c r="A1682" s="28" t="s">
        <v>48</v>
      </c>
      <c r="B1682" s="28" t="s">
        <v>33</v>
      </c>
      <c r="C1682" s="28">
        <v>2010</v>
      </c>
      <c r="D1682" s="28" t="s">
        <v>1</v>
      </c>
      <c r="E1682" s="28" t="s">
        <v>5</v>
      </c>
      <c r="F1682" s="28">
        <v>977211.32160000002</v>
      </c>
      <c r="H1682">
        <f>VLOOKUP(A1682&amp;B1682,ticker_sector[],2,FALSE)</f>
        <v>14</v>
      </c>
      <c r="I1682">
        <f>VLOOKUP(C1682,year[],2,FALSE)</f>
        <v>0</v>
      </c>
      <c r="J1682">
        <f>VLOOKUP(E1682,showing[],2,FALSE)</f>
        <v>3</v>
      </c>
      <c r="K1682">
        <f>Сектора[[#This Row],[Значение]]</f>
        <v>977211.32160000002</v>
      </c>
      <c r="L1682" t="str">
        <f t="shared" si="26"/>
        <v>INSERT INTO msfo.statements (id_company, id_year, id_showing, value) VALUES (14,0,3,977211,3216);</v>
      </c>
    </row>
    <row r="1683" spans="1:12">
      <c r="A1683" s="28" t="s">
        <v>48</v>
      </c>
      <c r="B1683" s="28" t="s">
        <v>33</v>
      </c>
      <c r="C1683" s="28">
        <v>2011</v>
      </c>
      <c r="D1683" s="28" t="s">
        <v>1</v>
      </c>
      <c r="E1683" s="28" t="s">
        <v>5</v>
      </c>
      <c r="F1683" s="28">
        <v>1181049.5363</v>
      </c>
      <c r="H1683">
        <f>VLOOKUP(A1683&amp;B1683,ticker_sector[],2,FALSE)</f>
        <v>14</v>
      </c>
      <c r="I1683">
        <f>VLOOKUP(C1683,year[],2,FALSE)</f>
        <v>1</v>
      </c>
      <c r="J1683">
        <f>VLOOKUP(E1683,showing[],2,FALSE)</f>
        <v>3</v>
      </c>
      <c r="K1683">
        <f>Сектора[[#This Row],[Значение]]</f>
        <v>1181049.5363</v>
      </c>
      <c r="L1683" t="str">
        <f t="shared" si="26"/>
        <v>INSERT INTO msfo.statements (id_company, id_year, id_showing, value) VALUES (14,1,3,1181049,5363);</v>
      </c>
    </row>
    <row r="1684" spans="1:12">
      <c r="A1684" s="28" t="s">
        <v>48</v>
      </c>
      <c r="B1684" s="28" t="s">
        <v>33</v>
      </c>
      <c r="C1684" s="28">
        <v>2012</v>
      </c>
      <c r="D1684" s="28" t="s">
        <v>1</v>
      </c>
      <c r="E1684" s="28" t="s">
        <v>5</v>
      </c>
      <c r="F1684" s="28">
        <v>1328210</v>
      </c>
      <c r="H1684">
        <f>VLOOKUP(A1684&amp;B1684,ticker_sector[],2,FALSE)</f>
        <v>14</v>
      </c>
      <c r="I1684">
        <f>VLOOKUP(C1684,year[],2,FALSE)</f>
        <v>2</v>
      </c>
      <c r="J1684">
        <f>VLOOKUP(E1684,showing[],2,FALSE)</f>
        <v>3</v>
      </c>
      <c r="K1684">
        <f>Сектора[[#This Row],[Значение]]</f>
        <v>1328210</v>
      </c>
      <c r="L1684" t="str">
        <f t="shared" si="26"/>
        <v>INSERT INTO msfo.statements (id_company, id_year, id_showing, value) VALUES (14,2,3,1328210);</v>
      </c>
    </row>
    <row r="1685" spans="1:12">
      <c r="A1685" s="28" t="s">
        <v>48</v>
      </c>
      <c r="B1685" s="28" t="s">
        <v>33</v>
      </c>
      <c r="C1685" s="28">
        <v>2013</v>
      </c>
      <c r="D1685" s="28" t="s">
        <v>1</v>
      </c>
      <c r="E1685" s="28" t="s">
        <v>5</v>
      </c>
      <c r="F1685" s="28">
        <v>1563633</v>
      </c>
      <c r="H1685">
        <f>VLOOKUP(A1685&amp;B1685,ticker_sector[],2,FALSE)</f>
        <v>14</v>
      </c>
      <c r="I1685">
        <f>VLOOKUP(C1685,year[],2,FALSE)</f>
        <v>3</v>
      </c>
      <c r="J1685">
        <f>VLOOKUP(E1685,showing[],2,FALSE)</f>
        <v>3</v>
      </c>
      <c r="K1685">
        <f>Сектора[[#This Row],[Значение]]</f>
        <v>1563633</v>
      </c>
      <c r="L1685" t="str">
        <f t="shared" si="26"/>
        <v>INSERT INTO msfo.statements (id_company, id_year, id_showing, value) VALUES (14,3,3,1563633);</v>
      </c>
    </row>
    <row r="1686" spans="1:12">
      <c r="A1686" s="28" t="s">
        <v>48</v>
      </c>
      <c r="B1686" s="28" t="s">
        <v>33</v>
      </c>
      <c r="C1686" s="28">
        <v>2014</v>
      </c>
      <c r="D1686" s="28" t="s">
        <v>1</v>
      </c>
      <c r="E1686" s="28" t="s">
        <v>5</v>
      </c>
      <c r="F1686" s="28">
        <v>2097724</v>
      </c>
      <c r="H1686">
        <f>VLOOKUP(A1686&amp;B1686,ticker_sector[],2,FALSE)</f>
        <v>14</v>
      </c>
      <c r="I1686">
        <f>VLOOKUP(C1686,year[],2,FALSE)</f>
        <v>4</v>
      </c>
      <c r="J1686">
        <f>VLOOKUP(E1686,showing[],2,FALSE)</f>
        <v>3</v>
      </c>
      <c r="K1686">
        <f>Сектора[[#This Row],[Значение]]</f>
        <v>2097724</v>
      </c>
      <c r="L1686" t="str">
        <f t="shared" si="26"/>
        <v>INSERT INTO msfo.statements (id_company, id_year, id_showing, value) VALUES (14,4,3,2097724);</v>
      </c>
    </row>
    <row r="1687" spans="1:12">
      <c r="A1687" s="28" t="s">
        <v>48</v>
      </c>
      <c r="B1687" s="28" t="s">
        <v>33</v>
      </c>
      <c r="C1687" s="28">
        <v>2015</v>
      </c>
      <c r="D1687" s="28" t="s">
        <v>1</v>
      </c>
      <c r="E1687" s="28" t="s">
        <v>5</v>
      </c>
      <c r="F1687" s="28">
        <v>2485466</v>
      </c>
      <c r="H1687">
        <f>VLOOKUP(A1687&amp;B1687,ticker_sector[],2,FALSE)</f>
        <v>14</v>
      </c>
      <c r="I1687">
        <f>VLOOKUP(C1687,year[],2,FALSE)</f>
        <v>5</v>
      </c>
      <c r="J1687">
        <f>VLOOKUP(E1687,showing[],2,FALSE)</f>
        <v>3</v>
      </c>
      <c r="K1687">
        <f>Сектора[[#This Row],[Значение]]</f>
        <v>2485466</v>
      </c>
      <c r="L1687" t="str">
        <f t="shared" si="26"/>
        <v>INSERT INTO msfo.statements (id_company, id_year, id_showing, value) VALUES (14,5,3,2485466);</v>
      </c>
    </row>
    <row r="1688" spans="1:12">
      <c r="A1688" s="28" t="s">
        <v>48</v>
      </c>
      <c r="B1688" s="28" t="s">
        <v>33</v>
      </c>
      <c r="C1688" s="28">
        <v>2016</v>
      </c>
      <c r="D1688" s="28" t="s">
        <v>1</v>
      </c>
      <c r="E1688" s="28" t="s">
        <v>5</v>
      </c>
      <c r="F1688" s="28">
        <v>2548811</v>
      </c>
      <c r="H1688">
        <f>VLOOKUP(A1688&amp;B1688,ticker_sector[],2,FALSE)</f>
        <v>14</v>
      </c>
      <c r="I1688">
        <f>VLOOKUP(C1688,year[],2,FALSE)</f>
        <v>6</v>
      </c>
      <c r="J1688">
        <f>VLOOKUP(E1688,showing[],2,FALSE)</f>
        <v>3</v>
      </c>
      <c r="K1688">
        <f>Сектора[[#This Row],[Значение]]</f>
        <v>2548811</v>
      </c>
      <c r="L1688" t="str">
        <f t="shared" si="26"/>
        <v>INSERT INTO msfo.statements (id_company, id_year, id_showing, value) VALUES (14,6,3,2548811);</v>
      </c>
    </row>
    <row r="1689" spans="1:12">
      <c r="A1689" s="28" t="s">
        <v>48</v>
      </c>
      <c r="B1689" s="28" t="s">
        <v>33</v>
      </c>
      <c r="C1689" s="28">
        <v>2017</v>
      </c>
      <c r="D1689" s="28" t="s">
        <v>1</v>
      </c>
      <c r="E1689" s="28" t="s">
        <v>5</v>
      </c>
      <c r="F1689" s="28">
        <v>2930008</v>
      </c>
      <c r="H1689">
        <f>VLOOKUP(A1689&amp;B1689,ticker_sector[],2,FALSE)</f>
        <v>14</v>
      </c>
      <c r="I1689">
        <f>VLOOKUP(C1689,year[],2,FALSE)</f>
        <v>7</v>
      </c>
      <c r="J1689">
        <f>VLOOKUP(E1689,showing[],2,FALSE)</f>
        <v>3</v>
      </c>
      <c r="K1689">
        <f>Сектора[[#This Row],[Значение]]</f>
        <v>2930008</v>
      </c>
      <c r="L1689" t="str">
        <f t="shared" si="26"/>
        <v>INSERT INTO msfo.statements (id_company, id_year, id_showing, value) VALUES (14,7,3,2930008);</v>
      </c>
    </row>
    <row r="1690" spans="1:12">
      <c r="A1690" s="28" t="s">
        <v>48</v>
      </c>
      <c r="B1690" s="28" t="s">
        <v>33</v>
      </c>
      <c r="C1690" s="28">
        <v>2010</v>
      </c>
      <c r="D1690" s="28" t="s">
        <v>1</v>
      </c>
      <c r="E1690" s="28" t="s">
        <v>6</v>
      </c>
      <c r="F1690" s="28">
        <v>633858.5662</v>
      </c>
      <c r="H1690">
        <f>VLOOKUP(A1690&amp;B1690,ticker_sector[],2,FALSE)</f>
        <v>14</v>
      </c>
      <c r="I1690">
        <f>VLOOKUP(C1690,year[],2,FALSE)</f>
        <v>0</v>
      </c>
      <c r="J1690">
        <f>VLOOKUP(E1690,showing[],2,FALSE)</f>
        <v>4</v>
      </c>
      <c r="K1690">
        <f>Сектора[[#This Row],[Значение]]</f>
        <v>633858.5662</v>
      </c>
      <c r="L1690" t="str">
        <f t="shared" si="26"/>
        <v>INSERT INTO msfo.statements (id_company, id_year, id_showing, value) VALUES (14,0,4,633858,5662);</v>
      </c>
    </row>
    <row r="1691" spans="1:12">
      <c r="A1691" s="28" t="s">
        <v>48</v>
      </c>
      <c r="B1691" s="28" t="s">
        <v>33</v>
      </c>
      <c r="C1691" s="28">
        <v>2011</v>
      </c>
      <c r="D1691" s="28" t="s">
        <v>1</v>
      </c>
      <c r="E1691" s="28" t="s">
        <v>6</v>
      </c>
      <c r="F1691" s="28">
        <v>803163.91060000006</v>
      </c>
      <c r="H1691">
        <f>VLOOKUP(A1691&amp;B1691,ticker_sector[],2,FALSE)</f>
        <v>14</v>
      </c>
      <c r="I1691">
        <f>VLOOKUP(C1691,year[],2,FALSE)</f>
        <v>1</v>
      </c>
      <c r="J1691">
        <f>VLOOKUP(E1691,showing[],2,FALSE)</f>
        <v>4</v>
      </c>
      <c r="K1691">
        <f>Сектора[[#This Row],[Значение]]</f>
        <v>803163.91060000006</v>
      </c>
      <c r="L1691" t="str">
        <f t="shared" si="26"/>
        <v>INSERT INTO msfo.statements (id_company, id_year, id_showing, value) VALUES (14,1,4,803163,9106);</v>
      </c>
    </row>
    <row r="1692" spans="1:12">
      <c r="A1692" s="28" t="s">
        <v>48</v>
      </c>
      <c r="B1692" s="28" t="s">
        <v>33</v>
      </c>
      <c r="C1692" s="28">
        <v>2012</v>
      </c>
      <c r="D1692" s="28" t="s">
        <v>1</v>
      </c>
      <c r="E1692" s="28" t="s">
        <v>6</v>
      </c>
      <c r="F1692" s="28">
        <v>869929</v>
      </c>
      <c r="H1692">
        <f>VLOOKUP(A1692&amp;B1692,ticker_sector[],2,FALSE)</f>
        <v>14</v>
      </c>
      <c r="I1692">
        <f>VLOOKUP(C1692,year[],2,FALSE)</f>
        <v>2</v>
      </c>
      <c r="J1692">
        <f>VLOOKUP(E1692,showing[],2,FALSE)</f>
        <v>4</v>
      </c>
      <c r="K1692">
        <f>Сектора[[#This Row],[Значение]]</f>
        <v>869929</v>
      </c>
      <c r="L1692" t="str">
        <f t="shared" si="26"/>
        <v>INSERT INTO msfo.statements (id_company, id_year, id_showing, value) VALUES (14,2,4,869929);</v>
      </c>
    </row>
    <row r="1693" spans="1:12">
      <c r="A1693" s="28" t="s">
        <v>48</v>
      </c>
      <c r="B1693" s="28" t="s">
        <v>33</v>
      </c>
      <c r="C1693" s="28">
        <v>2013</v>
      </c>
      <c r="D1693" s="28" t="s">
        <v>1</v>
      </c>
      <c r="E1693" s="28" t="s">
        <v>6</v>
      </c>
      <c r="F1693" s="28">
        <v>998021</v>
      </c>
      <c r="H1693">
        <f>VLOOKUP(A1693&amp;B1693,ticker_sector[],2,FALSE)</f>
        <v>14</v>
      </c>
      <c r="I1693">
        <f>VLOOKUP(C1693,year[],2,FALSE)</f>
        <v>3</v>
      </c>
      <c r="J1693">
        <f>VLOOKUP(E1693,showing[],2,FALSE)</f>
        <v>4</v>
      </c>
      <c r="K1693">
        <f>Сектора[[#This Row],[Значение]]</f>
        <v>998021</v>
      </c>
      <c r="L1693" t="str">
        <f t="shared" si="26"/>
        <v>INSERT INTO msfo.statements (id_company, id_year, id_showing, value) VALUES (14,3,4,998021);</v>
      </c>
    </row>
    <row r="1694" spans="1:12">
      <c r="A1694" s="28" t="s">
        <v>48</v>
      </c>
      <c r="B1694" s="28" t="s">
        <v>33</v>
      </c>
      <c r="C1694" s="28">
        <v>2014</v>
      </c>
      <c r="D1694" s="28" t="s">
        <v>1</v>
      </c>
      <c r="E1694" s="28" t="s">
        <v>6</v>
      </c>
      <c r="F1694" s="28">
        <v>1129785</v>
      </c>
      <c r="H1694">
        <f>VLOOKUP(A1694&amp;B1694,ticker_sector[],2,FALSE)</f>
        <v>14</v>
      </c>
      <c r="I1694">
        <f>VLOOKUP(C1694,year[],2,FALSE)</f>
        <v>4</v>
      </c>
      <c r="J1694">
        <f>VLOOKUP(E1694,showing[],2,FALSE)</f>
        <v>4</v>
      </c>
      <c r="K1694">
        <f>Сектора[[#This Row],[Значение]]</f>
        <v>1129785</v>
      </c>
      <c r="L1694" t="str">
        <f t="shared" si="26"/>
        <v>INSERT INTO msfo.statements (id_company, id_year, id_showing, value) VALUES (14,4,4,1129785);</v>
      </c>
    </row>
    <row r="1695" spans="1:12">
      <c r="A1695" s="28" t="s">
        <v>48</v>
      </c>
      <c r="B1695" s="28" t="s">
        <v>33</v>
      </c>
      <c r="C1695" s="28">
        <v>2015</v>
      </c>
      <c r="D1695" s="28" t="s">
        <v>1</v>
      </c>
      <c r="E1695" s="28" t="s">
        <v>6</v>
      </c>
      <c r="F1695" s="28">
        <v>1248489</v>
      </c>
      <c r="H1695">
        <f>VLOOKUP(A1695&amp;B1695,ticker_sector[],2,FALSE)</f>
        <v>14</v>
      </c>
      <c r="I1695">
        <f>VLOOKUP(C1695,year[],2,FALSE)</f>
        <v>5</v>
      </c>
      <c r="J1695">
        <f>VLOOKUP(E1695,showing[],2,FALSE)</f>
        <v>4</v>
      </c>
      <c r="K1695">
        <f>Сектора[[#This Row],[Значение]]</f>
        <v>1248489</v>
      </c>
      <c r="L1695" t="str">
        <f t="shared" si="26"/>
        <v>INSERT INTO msfo.statements (id_company, id_year, id_showing, value) VALUES (14,5,4,1248489);</v>
      </c>
    </row>
    <row r="1696" spans="1:12">
      <c r="A1696" s="28" t="s">
        <v>48</v>
      </c>
      <c r="B1696" s="28" t="s">
        <v>33</v>
      </c>
      <c r="C1696" s="28">
        <v>2016</v>
      </c>
      <c r="D1696" s="28" t="s">
        <v>1</v>
      </c>
      <c r="E1696" s="28" t="s">
        <v>6</v>
      </c>
      <c r="F1696" s="28">
        <v>1444167</v>
      </c>
      <c r="H1696">
        <f>VLOOKUP(A1696&amp;B1696,ticker_sector[],2,FALSE)</f>
        <v>14</v>
      </c>
      <c r="I1696">
        <f>VLOOKUP(C1696,year[],2,FALSE)</f>
        <v>6</v>
      </c>
      <c r="J1696">
        <f>VLOOKUP(E1696,showing[],2,FALSE)</f>
        <v>4</v>
      </c>
      <c r="K1696">
        <f>Сектора[[#This Row],[Значение]]</f>
        <v>1444167</v>
      </c>
      <c r="L1696" t="str">
        <f t="shared" si="26"/>
        <v>INSERT INTO msfo.statements (id_company, id_year, id_showing, value) VALUES (14,6,4,1444167);</v>
      </c>
    </row>
    <row r="1697" spans="1:12">
      <c r="A1697" s="28" t="s">
        <v>48</v>
      </c>
      <c r="B1697" s="28" t="s">
        <v>33</v>
      </c>
      <c r="C1697" s="28">
        <v>2017</v>
      </c>
      <c r="D1697" s="28" t="s">
        <v>1</v>
      </c>
      <c r="E1697" s="28" t="s">
        <v>6</v>
      </c>
      <c r="F1697" s="28">
        <v>1659133</v>
      </c>
      <c r="H1697">
        <f>VLOOKUP(A1697&amp;B1697,ticker_sector[],2,FALSE)</f>
        <v>14</v>
      </c>
      <c r="I1697">
        <f>VLOOKUP(C1697,year[],2,FALSE)</f>
        <v>7</v>
      </c>
      <c r="J1697">
        <f>VLOOKUP(E1697,showing[],2,FALSE)</f>
        <v>4</v>
      </c>
      <c r="K1697">
        <f>Сектора[[#This Row],[Значение]]</f>
        <v>1659133</v>
      </c>
      <c r="L1697" t="str">
        <f t="shared" si="26"/>
        <v>INSERT INTO msfo.statements (id_company, id_year, id_showing, value) VALUES (14,7,4,1659133);</v>
      </c>
    </row>
    <row r="1698" spans="1:12">
      <c r="A1698" s="28" t="s">
        <v>48</v>
      </c>
      <c r="B1698" s="28" t="s">
        <v>33</v>
      </c>
      <c r="C1698" s="28">
        <v>2010</v>
      </c>
      <c r="D1698" s="28" t="s">
        <v>1</v>
      </c>
      <c r="E1698" s="28" t="s">
        <v>8</v>
      </c>
      <c r="F1698" s="28">
        <v>195509.31349999999</v>
      </c>
      <c r="H1698">
        <f>VLOOKUP(A1698&amp;B1698,ticker_sector[],2,FALSE)</f>
        <v>14</v>
      </c>
      <c r="I1698">
        <f>VLOOKUP(C1698,year[],2,FALSE)</f>
        <v>0</v>
      </c>
      <c r="J1698">
        <f>VLOOKUP(E1698,showing[],2,FALSE)</f>
        <v>5</v>
      </c>
      <c r="K1698">
        <f>Сектора[[#This Row],[Значение]]</f>
        <v>195509.31349999999</v>
      </c>
      <c r="L1698" t="str">
        <f t="shared" si="26"/>
        <v>INSERT INTO msfo.statements (id_company, id_year, id_showing, value) VALUES (14,0,5,195509,3135);</v>
      </c>
    </row>
    <row r="1699" spans="1:12">
      <c r="A1699" s="28" t="s">
        <v>48</v>
      </c>
      <c r="B1699" s="28" t="s">
        <v>33</v>
      </c>
      <c r="C1699" s="28">
        <v>2011</v>
      </c>
      <c r="D1699" s="28" t="s">
        <v>1</v>
      </c>
      <c r="E1699" s="28" t="s">
        <v>8</v>
      </c>
      <c r="F1699" s="28">
        <v>235675.45200000002</v>
      </c>
      <c r="H1699">
        <f>VLOOKUP(A1699&amp;B1699,ticker_sector[],2,FALSE)</f>
        <v>14</v>
      </c>
      <c r="I1699">
        <f>VLOOKUP(C1699,year[],2,FALSE)</f>
        <v>1</v>
      </c>
      <c r="J1699">
        <f>VLOOKUP(E1699,showing[],2,FALSE)</f>
        <v>5</v>
      </c>
      <c r="K1699">
        <f>Сектора[[#This Row],[Значение]]</f>
        <v>235675.45200000002</v>
      </c>
      <c r="L1699" t="str">
        <f t="shared" si="26"/>
        <v>INSERT INTO msfo.statements (id_company, id_year, id_showing, value) VALUES (14,1,5,235675,452);</v>
      </c>
    </row>
    <row r="1700" spans="1:12">
      <c r="A1700" s="28" t="s">
        <v>48</v>
      </c>
      <c r="B1700" s="28" t="s">
        <v>33</v>
      </c>
      <c r="C1700" s="28">
        <v>2012</v>
      </c>
      <c r="D1700" s="28" t="s">
        <v>1</v>
      </c>
      <c r="E1700" s="28" t="s">
        <v>8</v>
      </c>
      <c r="F1700" s="28">
        <v>246477</v>
      </c>
      <c r="H1700">
        <f>VLOOKUP(A1700&amp;B1700,ticker_sector[],2,FALSE)</f>
        <v>14</v>
      </c>
      <c r="I1700">
        <f>VLOOKUP(C1700,year[],2,FALSE)</f>
        <v>2</v>
      </c>
      <c r="J1700">
        <f>VLOOKUP(E1700,showing[],2,FALSE)</f>
        <v>5</v>
      </c>
      <c r="K1700">
        <f>Сектора[[#This Row],[Значение]]</f>
        <v>246477</v>
      </c>
      <c r="L1700" t="str">
        <f t="shared" si="26"/>
        <v>INSERT INTO msfo.statements (id_company, id_year, id_showing, value) VALUES (14,2,5,246477);</v>
      </c>
    </row>
    <row r="1701" spans="1:12">
      <c r="A1701" s="28" t="s">
        <v>48</v>
      </c>
      <c r="B1701" s="28" t="s">
        <v>33</v>
      </c>
      <c r="C1701" s="28">
        <v>2013</v>
      </c>
      <c r="D1701" s="28" t="s">
        <v>1</v>
      </c>
      <c r="E1701" s="28" t="s">
        <v>8</v>
      </c>
      <c r="F1701" s="28">
        <v>357701</v>
      </c>
      <c r="H1701">
        <f>VLOOKUP(A1701&amp;B1701,ticker_sector[],2,FALSE)</f>
        <v>14</v>
      </c>
      <c r="I1701">
        <f>VLOOKUP(C1701,year[],2,FALSE)</f>
        <v>3</v>
      </c>
      <c r="J1701">
        <f>VLOOKUP(E1701,showing[],2,FALSE)</f>
        <v>5</v>
      </c>
      <c r="K1701">
        <f>Сектора[[#This Row],[Значение]]</f>
        <v>357701</v>
      </c>
      <c r="L1701" t="str">
        <f t="shared" si="26"/>
        <v>INSERT INTO msfo.statements (id_company, id_year, id_showing, value) VALUES (14,3,5,357701);</v>
      </c>
    </row>
    <row r="1702" spans="1:12">
      <c r="A1702" s="28" t="s">
        <v>48</v>
      </c>
      <c r="B1702" s="28" t="s">
        <v>33</v>
      </c>
      <c r="C1702" s="28">
        <v>2014</v>
      </c>
      <c r="D1702" s="28" t="s">
        <v>1</v>
      </c>
      <c r="E1702" s="28" t="s">
        <v>8</v>
      </c>
      <c r="F1702" s="28">
        <v>717208</v>
      </c>
      <c r="H1702">
        <f>VLOOKUP(A1702&amp;B1702,ticker_sector[],2,FALSE)</f>
        <v>14</v>
      </c>
      <c r="I1702">
        <f>VLOOKUP(C1702,year[],2,FALSE)</f>
        <v>4</v>
      </c>
      <c r="J1702">
        <f>VLOOKUP(E1702,showing[],2,FALSE)</f>
        <v>5</v>
      </c>
      <c r="K1702">
        <f>Сектора[[#This Row],[Значение]]</f>
        <v>717208</v>
      </c>
      <c r="L1702" t="str">
        <f t="shared" si="26"/>
        <v>INSERT INTO msfo.statements (id_company, id_year, id_showing, value) VALUES (14,4,5,717208);</v>
      </c>
    </row>
    <row r="1703" spans="1:12">
      <c r="A1703" s="28" t="s">
        <v>48</v>
      </c>
      <c r="B1703" s="28" t="s">
        <v>33</v>
      </c>
      <c r="C1703" s="28">
        <v>2015</v>
      </c>
      <c r="D1703" s="28" t="s">
        <v>1</v>
      </c>
      <c r="E1703" s="28" t="s">
        <v>8</v>
      </c>
      <c r="F1703" s="28">
        <v>887913</v>
      </c>
      <c r="H1703">
        <f>VLOOKUP(A1703&amp;B1703,ticker_sector[],2,FALSE)</f>
        <v>14</v>
      </c>
      <c r="I1703">
        <f>VLOOKUP(C1703,year[],2,FALSE)</f>
        <v>5</v>
      </c>
      <c r="J1703">
        <f>VLOOKUP(E1703,showing[],2,FALSE)</f>
        <v>5</v>
      </c>
      <c r="K1703">
        <f>Сектора[[#This Row],[Значение]]</f>
        <v>887913</v>
      </c>
      <c r="L1703" t="str">
        <f t="shared" si="26"/>
        <v>INSERT INTO msfo.statements (id_company, id_year, id_showing, value) VALUES (14,5,5,887913);</v>
      </c>
    </row>
    <row r="1704" spans="1:12">
      <c r="A1704" s="28" t="s">
        <v>48</v>
      </c>
      <c r="B1704" s="28" t="s">
        <v>33</v>
      </c>
      <c r="C1704" s="28">
        <v>2016</v>
      </c>
      <c r="D1704" s="28" t="s">
        <v>1</v>
      </c>
      <c r="E1704" s="28" t="s">
        <v>8</v>
      </c>
      <c r="F1704" s="28">
        <v>815192</v>
      </c>
      <c r="H1704">
        <f>VLOOKUP(A1704&amp;B1704,ticker_sector[],2,FALSE)</f>
        <v>14</v>
      </c>
      <c r="I1704">
        <f>VLOOKUP(C1704,year[],2,FALSE)</f>
        <v>6</v>
      </c>
      <c r="J1704">
        <f>VLOOKUP(E1704,showing[],2,FALSE)</f>
        <v>5</v>
      </c>
      <c r="K1704">
        <f>Сектора[[#This Row],[Значение]]</f>
        <v>815192</v>
      </c>
      <c r="L1704" t="str">
        <f t="shared" si="26"/>
        <v>INSERT INTO msfo.statements (id_company, id_year, id_showing, value) VALUES (14,6,5,815192);</v>
      </c>
    </row>
    <row r="1705" spans="1:12">
      <c r="A1705" s="28" t="s">
        <v>48</v>
      </c>
      <c r="B1705" s="28" t="s">
        <v>33</v>
      </c>
      <c r="C1705" s="28">
        <v>2017</v>
      </c>
      <c r="D1705" s="28" t="s">
        <v>1</v>
      </c>
      <c r="E1705" s="28" t="s">
        <v>8</v>
      </c>
      <c r="F1705" s="28">
        <v>791540</v>
      </c>
      <c r="H1705">
        <f>VLOOKUP(A1705&amp;B1705,ticker_sector[],2,FALSE)</f>
        <v>14</v>
      </c>
      <c r="I1705">
        <f>VLOOKUP(C1705,year[],2,FALSE)</f>
        <v>7</v>
      </c>
      <c r="J1705">
        <f>VLOOKUP(E1705,showing[],2,FALSE)</f>
        <v>5</v>
      </c>
      <c r="K1705">
        <f>Сектора[[#This Row],[Значение]]</f>
        <v>791540</v>
      </c>
      <c r="L1705" t="str">
        <f t="shared" si="26"/>
        <v>INSERT INTO msfo.statements (id_company, id_year, id_showing, value) VALUES (14,7,5,791540);</v>
      </c>
    </row>
    <row r="1706" spans="1:12">
      <c r="A1706" s="28" t="s">
        <v>48</v>
      </c>
      <c r="B1706" s="28" t="s">
        <v>33</v>
      </c>
      <c r="C1706" s="28">
        <v>2010</v>
      </c>
      <c r="D1706" s="28" t="s">
        <v>1</v>
      </c>
      <c r="E1706" s="28" t="s">
        <v>9</v>
      </c>
      <c r="F1706" s="28">
        <v>147843.44190000001</v>
      </c>
      <c r="H1706">
        <f>VLOOKUP(A1706&amp;B1706,ticker_sector[],2,FALSE)</f>
        <v>14</v>
      </c>
      <c r="I1706">
        <f>VLOOKUP(C1706,year[],2,FALSE)</f>
        <v>0</v>
      </c>
      <c r="J1706">
        <f>VLOOKUP(E1706,showing[],2,FALSE)</f>
        <v>6</v>
      </c>
      <c r="K1706">
        <f>Сектора[[#This Row],[Значение]]</f>
        <v>147843.44190000001</v>
      </c>
      <c r="L1706" t="str">
        <f t="shared" si="26"/>
        <v>INSERT INTO msfo.statements (id_company, id_year, id_showing, value) VALUES (14,0,6,147843,4419);</v>
      </c>
    </row>
    <row r="1707" spans="1:12">
      <c r="A1707" s="28" t="s">
        <v>48</v>
      </c>
      <c r="B1707" s="28" t="s">
        <v>33</v>
      </c>
      <c r="C1707" s="28">
        <v>2011</v>
      </c>
      <c r="D1707" s="28" t="s">
        <v>1</v>
      </c>
      <c r="E1707" s="28" t="s">
        <v>9</v>
      </c>
      <c r="F1707" s="28">
        <v>142210.17370000001</v>
      </c>
      <c r="H1707">
        <f>VLOOKUP(A1707&amp;B1707,ticker_sector[],2,FALSE)</f>
        <v>14</v>
      </c>
      <c r="I1707">
        <f>VLOOKUP(C1707,year[],2,FALSE)</f>
        <v>1</v>
      </c>
      <c r="J1707">
        <f>VLOOKUP(E1707,showing[],2,FALSE)</f>
        <v>6</v>
      </c>
      <c r="K1707">
        <f>Сектора[[#This Row],[Значение]]</f>
        <v>142210.17370000001</v>
      </c>
      <c r="L1707" t="str">
        <f t="shared" si="26"/>
        <v>INSERT INTO msfo.statements (id_company, id_year, id_showing, value) VALUES (14,1,6,142210,1737);</v>
      </c>
    </row>
    <row r="1708" spans="1:12">
      <c r="A1708" s="28" t="s">
        <v>48</v>
      </c>
      <c r="B1708" s="28" t="s">
        <v>33</v>
      </c>
      <c r="C1708" s="28">
        <v>2012</v>
      </c>
      <c r="D1708" s="28" t="s">
        <v>1</v>
      </c>
      <c r="E1708" s="28" t="s">
        <v>9</v>
      </c>
      <c r="F1708" s="28">
        <v>211804</v>
      </c>
      <c r="H1708">
        <f>VLOOKUP(A1708&amp;B1708,ticker_sector[],2,FALSE)</f>
        <v>14</v>
      </c>
      <c r="I1708">
        <f>VLOOKUP(C1708,year[],2,FALSE)</f>
        <v>2</v>
      </c>
      <c r="J1708">
        <f>VLOOKUP(E1708,showing[],2,FALSE)</f>
        <v>6</v>
      </c>
      <c r="K1708">
        <f>Сектора[[#This Row],[Значение]]</f>
        <v>211804</v>
      </c>
      <c r="L1708" t="str">
        <f t="shared" si="26"/>
        <v>INSERT INTO msfo.statements (id_company, id_year, id_showing, value) VALUES (14,2,6,211804);</v>
      </c>
    </row>
    <row r="1709" spans="1:12">
      <c r="A1709" s="28" t="s">
        <v>48</v>
      </c>
      <c r="B1709" s="28" t="s">
        <v>33</v>
      </c>
      <c r="C1709" s="28">
        <v>2013</v>
      </c>
      <c r="D1709" s="28" t="s">
        <v>1</v>
      </c>
      <c r="E1709" s="28" t="s">
        <v>9</v>
      </c>
      <c r="F1709" s="28">
        <v>207911</v>
      </c>
      <c r="H1709">
        <f>VLOOKUP(A1709&amp;B1709,ticker_sector[],2,FALSE)</f>
        <v>14</v>
      </c>
      <c r="I1709">
        <f>VLOOKUP(C1709,year[],2,FALSE)</f>
        <v>3</v>
      </c>
      <c r="J1709">
        <f>VLOOKUP(E1709,showing[],2,FALSE)</f>
        <v>6</v>
      </c>
      <c r="K1709">
        <f>Сектора[[#This Row],[Значение]]</f>
        <v>207911</v>
      </c>
      <c r="L1709" t="str">
        <f t="shared" si="26"/>
        <v>INSERT INTO msfo.statements (id_company, id_year, id_showing, value) VALUES (14,3,6,207911);</v>
      </c>
    </row>
    <row r="1710" spans="1:12">
      <c r="A1710" s="28" t="s">
        <v>48</v>
      </c>
      <c r="B1710" s="28" t="s">
        <v>33</v>
      </c>
      <c r="C1710" s="28">
        <v>2014</v>
      </c>
      <c r="D1710" s="28" t="s">
        <v>1</v>
      </c>
      <c r="E1710" s="28" t="s">
        <v>9</v>
      </c>
      <c r="F1710" s="28">
        <v>250731</v>
      </c>
      <c r="H1710">
        <f>VLOOKUP(A1710&amp;B1710,ticker_sector[],2,FALSE)</f>
        <v>14</v>
      </c>
      <c r="I1710">
        <f>VLOOKUP(C1710,year[],2,FALSE)</f>
        <v>4</v>
      </c>
      <c r="J1710">
        <f>VLOOKUP(E1710,showing[],2,FALSE)</f>
        <v>6</v>
      </c>
      <c r="K1710">
        <f>Сектора[[#This Row],[Значение]]</f>
        <v>250731</v>
      </c>
      <c r="L1710" t="str">
        <f t="shared" si="26"/>
        <v>INSERT INTO msfo.statements (id_company, id_year, id_showing, value) VALUES (14,4,6,250731);</v>
      </c>
    </row>
    <row r="1711" spans="1:12">
      <c r="A1711" s="28" t="s">
        <v>48</v>
      </c>
      <c r="B1711" s="28" t="s">
        <v>33</v>
      </c>
      <c r="C1711" s="28">
        <v>2015</v>
      </c>
      <c r="D1711" s="28" t="s">
        <v>1</v>
      </c>
      <c r="E1711" s="28" t="s">
        <v>9</v>
      </c>
      <c r="F1711" s="28">
        <v>349064</v>
      </c>
      <c r="H1711">
        <f>VLOOKUP(A1711&amp;B1711,ticker_sector[],2,FALSE)</f>
        <v>14</v>
      </c>
      <c r="I1711">
        <f>VLOOKUP(C1711,year[],2,FALSE)</f>
        <v>5</v>
      </c>
      <c r="J1711">
        <f>VLOOKUP(E1711,showing[],2,FALSE)</f>
        <v>6</v>
      </c>
      <c r="K1711">
        <f>Сектора[[#This Row],[Значение]]</f>
        <v>349064</v>
      </c>
      <c r="L1711" t="str">
        <f t="shared" si="26"/>
        <v>INSERT INTO msfo.statements (id_company, id_year, id_showing, value) VALUES (14,5,6,349064);</v>
      </c>
    </row>
    <row r="1712" spans="1:12">
      <c r="A1712" s="28" t="s">
        <v>48</v>
      </c>
      <c r="B1712" s="28" t="s">
        <v>33</v>
      </c>
      <c r="C1712" s="28">
        <v>2016</v>
      </c>
      <c r="D1712" s="28" t="s">
        <v>1</v>
      </c>
      <c r="E1712" s="28" t="s">
        <v>9</v>
      </c>
      <c r="F1712" s="28">
        <v>289452</v>
      </c>
      <c r="H1712">
        <f>VLOOKUP(A1712&amp;B1712,ticker_sector[],2,FALSE)</f>
        <v>14</v>
      </c>
      <c r="I1712">
        <f>VLOOKUP(C1712,year[],2,FALSE)</f>
        <v>6</v>
      </c>
      <c r="J1712">
        <f>VLOOKUP(E1712,showing[],2,FALSE)</f>
        <v>6</v>
      </c>
      <c r="K1712">
        <f>Сектора[[#This Row],[Значение]]</f>
        <v>289452</v>
      </c>
      <c r="L1712" t="str">
        <f t="shared" si="26"/>
        <v>INSERT INTO msfo.statements (id_company, id_year, id_showing, value) VALUES (14,6,6,289452);</v>
      </c>
    </row>
    <row r="1713" spans="1:12">
      <c r="A1713" s="28" t="s">
        <v>48</v>
      </c>
      <c r="B1713" s="28" t="s">
        <v>33</v>
      </c>
      <c r="C1713" s="28">
        <v>2017</v>
      </c>
      <c r="D1713" s="28" t="s">
        <v>1</v>
      </c>
      <c r="E1713" s="28" t="s">
        <v>9</v>
      </c>
      <c r="F1713" s="28">
        <v>479335</v>
      </c>
      <c r="H1713">
        <f>VLOOKUP(A1713&amp;B1713,ticker_sector[],2,FALSE)</f>
        <v>14</v>
      </c>
      <c r="I1713">
        <f>VLOOKUP(C1713,year[],2,FALSE)</f>
        <v>7</v>
      </c>
      <c r="J1713">
        <f>VLOOKUP(E1713,showing[],2,FALSE)</f>
        <v>6</v>
      </c>
      <c r="K1713">
        <f>Сектора[[#This Row],[Значение]]</f>
        <v>479335</v>
      </c>
      <c r="L1713" t="str">
        <f t="shared" si="26"/>
        <v>INSERT INTO msfo.statements (id_company, id_year, id_showing, value) VALUES (14,7,6,479335);</v>
      </c>
    </row>
    <row r="1714" spans="1:12">
      <c r="A1714" s="28" t="s">
        <v>48</v>
      </c>
      <c r="B1714" s="28" t="s">
        <v>33</v>
      </c>
      <c r="C1714" s="28">
        <v>2010</v>
      </c>
      <c r="D1714" s="28" t="s">
        <v>1</v>
      </c>
      <c r="E1714" s="28" t="s">
        <v>10</v>
      </c>
      <c r="F1714" s="28">
        <v>977211.32160000002</v>
      </c>
      <c r="H1714">
        <f>VLOOKUP(A1714&amp;B1714,ticker_sector[],2,FALSE)</f>
        <v>14</v>
      </c>
      <c r="I1714">
        <f>VLOOKUP(C1714,year[],2,FALSE)</f>
        <v>0</v>
      </c>
      <c r="J1714">
        <f>VLOOKUP(E1714,showing[],2,FALSE)</f>
        <v>7</v>
      </c>
      <c r="K1714">
        <f>Сектора[[#This Row],[Значение]]</f>
        <v>977211.32160000002</v>
      </c>
      <c r="L1714" t="str">
        <f t="shared" si="26"/>
        <v>INSERT INTO msfo.statements (id_company, id_year, id_showing, value) VALUES (14,0,7,977211,3216);</v>
      </c>
    </row>
    <row r="1715" spans="1:12">
      <c r="A1715" s="28" t="s">
        <v>48</v>
      </c>
      <c r="B1715" s="28" t="s">
        <v>33</v>
      </c>
      <c r="C1715" s="28">
        <v>2011</v>
      </c>
      <c r="D1715" s="28" t="s">
        <v>1</v>
      </c>
      <c r="E1715" s="28" t="s">
        <v>10</v>
      </c>
      <c r="F1715" s="28">
        <v>1181049.5363</v>
      </c>
      <c r="H1715">
        <f>VLOOKUP(A1715&amp;B1715,ticker_sector[],2,FALSE)</f>
        <v>14</v>
      </c>
      <c r="I1715">
        <f>VLOOKUP(C1715,year[],2,FALSE)</f>
        <v>1</v>
      </c>
      <c r="J1715">
        <f>VLOOKUP(E1715,showing[],2,FALSE)</f>
        <v>7</v>
      </c>
      <c r="K1715">
        <f>Сектора[[#This Row],[Значение]]</f>
        <v>1181049.5363</v>
      </c>
      <c r="L1715" t="str">
        <f t="shared" si="26"/>
        <v>INSERT INTO msfo.statements (id_company, id_year, id_showing, value) VALUES (14,1,7,1181049,5363);</v>
      </c>
    </row>
    <row r="1716" spans="1:12">
      <c r="A1716" s="28" t="s">
        <v>48</v>
      </c>
      <c r="B1716" s="28" t="s">
        <v>33</v>
      </c>
      <c r="C1716" s="28">
        <v>2012</v>
      </c>
      <c r="D1716" s="28" t="s">
        <v>1</v>
      </c>
      <c r="E1716" s="28" t="s">
        <v>10</v>
      </c>
      <c r="F1716" s="28">
        <v>1328210</v>
      </c>
      <c r="H1716">
        <f>VLOOKUP(A1716&amp;B1716,ticker_sector[],2,FALSE)</f>
        <v>14</v>
      </c>
      <c r="I1716">
        <f>VLOOKUP(C1716,year[],2,FALSE)</f>
        <v>2</v>
      </c>
      <c r="J1716">
        <f>VLOOKUP(E1716,showing[],2,FALSE)</f>
        <v>7</v>
      </c>
      <c r="K1716">
        <f>Сектора[[#This Row],[Значение]]</f>
        <v>1328210</v>
      </c>
      <c r="L1716" t="str">
        <f t="shared" si="26"/>
        <v>INSERT INTO msfo.statements (id_company, id_year, id_showing, value) VALUES (14,2,7,1328210);</v>
      </c>
    </row>
    <row r="1717" spans="1:12">
      <c r="A1717" s="28" t="s">
        <v>48</v>
      </c>
      <c r="B1717" s="28" t="s">
        <v>33</v>
      </c>
      <c r="C1717" s="28">
        <v>2013</v>
      </c>
      <c r="D1717" s="28" t="s">
        <v>1</v>
      </c>
      <c r="E1717" s="28" t="s">
        <v>10</v>
      </c>
      <c r="F1717" s="28">
        <v>1563633</v>
      </c>
      <c r="H1717">
        <f>VLOOKUP(A1717&amp;B1717,ticker_sector[],2,FALSE)</f>
        <v>14</v>
      </c>
      <c r="I1717">
        <f>VLOOKUP(C1717,year[],2,FALSE)</f>
        <v>3</v>
      </c>
      <c r="J1717">
        <f>VLOOKUP(E1717,showing[],2,FALSE)</f>
        <v>7</v>
      </c>
      <c r="K1717">
        <f>Сектора[[#This Row],[Значение]]</f>
        <v>1563633</v>
      </c>
      <c r="L1717" t="str">
        <f t="shared" si="26"/>
        <v>INSERT INTO msfo.statements (id_company, id_year, id_showing, value) VALUES (14,3,7,1563633);</v>
      </c>
    </row>
    <row r="1718" spans="1:12">
      <c r="A1718" s="28" t="s">
        <v>48</v>
      </c>
      <c r="B1718" s="28" t="s">
        <v>33</v>
      </c>
      <c r="C1718" s="28">
        <v>2014</v>
      </c>
      <c r="D1718" s="28" t="s">
        <v>1</v>
      </c>
      <c r="E1718" s="28" t="s">
        <v>10</v>
      </c>
      <c r="F1718" s="28">
        <v>2097724</v>
      </c>
      <c r="H1718">
        <f>VLOOKUP(A1718&amp;B1718,ticker_sector[],2,FALSE)</f>
        <v>14</v>
      </c>
      <c r="I1718">
        <f>VLOOKUP(C1718,year[],2,FALSE)</f>
        <v>4</v>
      </c>
      <c r="J1718">
        <f>VLOOKUP(E1718,showing[],2,FALSE)</f>
        <v>7</v>
      </c>
      <c r="K1718">
        <f>Сектора[[#This Row],[Значение]]</f>
        <v>2097724</v>
      </c>
      <c r="L1718" t="str">
        <f t="shared" si="26"/>
        <v>INSERT INTO msfo.statements (id_company, id_year, id_showing, value) VALUES (14,4,7,2097724);</v>
      </c>
    </row>
    <row r="1719" spans="1:12">
      <c r="A1719" s="28" t="s">
        <v>48</v>
      </c>
      <c r="B1719" s="28" t="s">
        <v>33</v>
      </c>
      <c r="C1719" s="28">
        <v>2015</v>
      </c>
      <c r="D1719" s="28" t="s">
        <v>1</v>
      </c>
      <c r="E1719" s="28" t="s">
        <v>10</v>
      </c>
      <c r="F1719" s="28">
        <v>2485466</v>
      </c>
      <c r="H1719">
        <f>VLOOKUP(A1719&amp;B1719,ticker_sector[],2,FALSE)</f>
        <v>14</v>
      </c>
      <c r="I1719">
        <f>VLOOKUP(C1719,year[],2,FALSE)</f>
        <v>5</v>
      </c>
      <c r="J1719">
        <f>VLOOKUP(E1719,showing[],2,FALSE)</f>
        <v>7</v>
      </c>
      <c r="K1719">
        <f>Сектора[[#This Row],[Значение]]</f>
        <v>2485466</v>
      </c>
      <c r="L1719" t="str">
        <f t="shared" si="26"/>
        <v>INSERT INTO msfo.statements (id_company, id_year, id_showing, value) VALUES (14,5,7,2485466);</v>
      </c>
    </row>
    <row r="1720" spans="1:12">
      <c r="A1720" s="28" t="s">
        <v>48</v>
      </c>
      <c r="B1720" s="28" t="s">
        <v>33</v>
      </c>
      <c r="C1720" s="28">
        <v>2016</v>
      </c>
      <c r="D1720" s="28" t="s">
        <v>1</v>
      </c>
      <c r="E1720" s="28" t="s">
        <v>10</v>
      </c>
      <c r="F1720" s="28">
        <v>2548811</v>
      </c>
      <c r="H1720">
        <f>VLOOKUP(A1720&amp;B1720,ticker_sector[],2,FALSE)</f>
        <v>14</v>
      </c>
      <c r="I1720">
        <f>VLOOKUP(C1720,year[],2,FALSE)</f>
        <v>6</v>
      </c>
      <c r="J1720">
        <f>VLOOKUP(E1720,showing[],2,FALSE)</f>
        <v>7</v>
      </c>
      <c r="K1720">
        <f>Сектора[[#This Row],[Значение]]</f>
        <v>2548811</v>
      </c>
      <c r="L1720" t="str">
        <f t="shared" si="26"/>
        <v>INSERT INTO msfo.statements (id_company, id_year, id_showing, value) VALUES (14,6,7,2548811);</v>
      </c>
    </row>
    <row r="1721" spans="1:12">
      <c r="A1721" s="28" t="s">
        <v>48</v>
      </c>
      <c r="B1721" s="28" t="s">
        <v>33</v>
      </c>
      <c r="C1721" s="28">
        <v>2017</v>
      </c>
      <c r="D1721" s="28" t="s">
        <v>1</v>
      </c>
      <c r="E1721" s="28" t="s">
        <v>10</v>
      </c>
      <c r="F1721" s="28">
        <v>2930008</v>
      </c>
      <c r="H1721">
        <f>VLOOKUP(A1721&amp;B1721,ticker_sector[],2,FALSE)</f>
        <v>14</v>
      </c>
      <c r="I1721">
        <f>VLOOKUP(C1721,year[],2,FALSE)</f>
        <v>7</v>
      </c>
      <c r="J1721">
        <f>VLOOKUP(E1721,showing[],2,FALSE)</f>
        <v>7</v>
      </c>
      <c r="K1721">
        <f>Сектора[[#This Row],[Значение]]</f>
        <v>2930008</v>
      </c>
      <c r="L1721" t="str">
        <f t="shared" si="26"/>
        <v>INSERT INTO msfo.statements (id_company, id_year, id_showing, value) VALUES (14,7,7,2930008);</v>
      </c>
    </row>
    <row r="1722" spans="1:12">
      <c r="A1722" s="28" t="s">
        <v>48</v>
      </c>
      <c r="B1722" s="28" t="s">
        <v>33</v>
      </c>
      <c r="C1722" s="28">
        <v>2010</v>
      </c>
      <c r="D1722" s="28" t="s">
        <v>1</v>
      </c>
      <c r="E1722" s="28" t="s">
        <v>11</v>
      </c>
      <c r="F1722" s="28">
        <v>0.35135978043912175</v>
      </c>
      <c r="H1722">
        <f>VLOOKUP(A1722&amp;B1722,ticker_sector[],2,FALSE)</f>
        <v>14</v>
      </c>
      <c r="I1722">
        <f>VLOOKUP(C1722,year[],2,FALSE)</f>
        <v>0</v>
      </c>
      <c r="J1722">
        <f>VLOOKUP(E1722,showing[],2,FALSE)</f>
        <v>8</v>
      </c>
      <c r="K1722">
        <f>Сектора[[#This Row],[Значение]]</f>
        <v>0.35135978043912175</v>
      </c>
      <c r="L1722" t="str">
        <f t="shared" si="26"/>
        <v>INSERT INTO msfo.statements (id_company, id_year, id_showing, value) VALUES (14,0,8,0,351359780439122);</v>
      </c>
    </row>
    <row r="1723" spans="1:12">
      <c r="A1723" s="28" t="s">
        <v>48</v>
      </c>
      <c r="B1723" s="28" t="s">
        <v>33</v>
      </c>
      <c r="C1723" s="28">
        <v>2011</v>
      </c>
      <c r="D1723" s="28" t="s">
        <v>1</v>
      </c>
      <c r="E1723" s="28" t="s">
        <v>11</v>
      </c>
      <c r="F1723" s="28">
        <v>0.31995747348908216</v>
      </c>
      <c r="H1723">
        <f>VLOOKUP(A1723&amp;B1723,ticker_sector[],2,FALSE)</f>
        <v>14</v>
      </c>
      <c r="I1723">
        <f>VLOOKUP(C1723,year[],2,FALSE)</f>
        <v>1</v>
      </c>
      <c r="J1723">
        <f>VLOOKUP(E1723,showing[],2,FALSE)</f>
        <v>8</v>
      </c>
      <c r="K1723">
        <f>Сектора[[#This Row],[Значение]]</f>
        <v>0.31995747348908216</v>
      </c>
      <c r="L1723" t="str">
        <f t="shared" si="26"/>
        <v>INSERT INTO msfo.statements (id_company, id_year, id_showing, value) VALUES (14,1,8,0,319957473489082);</v>
      </c>
    </row>
    <row r="1724" spans="1:12">
      <c r="A1724" s="28" t="s">
        <v>48</v>
      </c>
      <c r="B1724" s="28" t="s">
        <v>33</v>
      </c>
      <c r="C1724" s="28">
        <v>2012</v>
      </c>
      <c r="D1724" s="28" t="s">
        <v>1</v>
      </c>
      <c r="E1724" s="28" t="s">
        <v>11</v>
      </c>
      <c r="F1724" s="28">
        <v>0.34503655295472857</v>
      </c>
      <c r="H1724">
        <f>VLOOKUP(A1724&amp;B1724,ticker_sector[],2,FALSE)</f>
        <v>14</v>
      </c>
      <c r="I1724">
        <f>VLOOKUP(C1724,year[],2,FALSE)</f>
        <v>2</v>
      </c>
      <c r="J1724">
        <f>VLOOKUP(E1724,showing[],2,FALSE)</f>
        <v>8</v>
      </c>
      <c r="K1724">
        <f>Сектора[[#This Row],[Значение]]</f>
        <v>0.34503655295472857</v>
      </c>
      <c r="L1724" t="str">
        <f t="shared" si="26"/>
        <v>INSERT INTO msfo.statements (id_company, id_year, id_showing, value) VALUES (14,2,8,0,345036552954729);</v>
      </c>
    </row>
    <row r="1725" spans="1:12">
      <c r="A1725" s="28" t="s">
        <v>48</v>
      </c>
      <c r="B1725" s="28" t="s">
        <v>33</v>
      </c>
      <c r="C1725" s="28">
        <v>2013</v>
      </c>
      <c r="D1725" s="28" t="s">
        <v>1</v>
      </c>
      <c r="E1725" s="28" t="s">
        <v>11</v>
      </c>
      <c r="F1725" s="28">
        <v>0.36172938278995137</v>
      </c>
      <c r="H1725">
        <f>VLOOKUP(A1725&amp;B1725,ticker_sector[],2,FALSE)</f>
        <v>14</v>
      </c>
      <c r="I1725">
        <f>VLOOKUP(C1725,year[],2,FALSE)</f>
        <v>3</v>
      </c>
      <c r="J1725">
        <f>VLOOKUP(E1725,showing[],2,FALSE)</f>
        <v>8</v>
      </c>
      <c r="K1725">
        <f>Сектора[[#This Row],[Значение]]</f>
        <v>0.36172938278995137</v>
      </c>
      <c r="L1725" t="str">
        <f t="shared" si="26"/>
        <v>INSERT INTO msfo.statements (id_company, id_year, id_showing, value) VALUES (14,3,8,0,361729382789951);</v>
      </c>
    </row>
    <row r="1726" spans="1:12">
      <c r="A1726" s="28" t="s">
        <v>48</v>
      </c>
      <c r="B1726" s="28" t="s">
        <v>33</v>
      </c>
      <c r="C1726" s="28">
        <v>2014</v>
      </c>
      <c r="D1726" s="28" t="s">
        <v>1</v>
      </c>
      <c r="E1726" s="28" t="s">
        <v>11</v>
      </c>
      <c r="F1726" s="28">
        <v>0.461423428439585</v>
      </c>
      <c r="H1726">
        <f>VLOOKUP(A1726&amp;B1726,ticker_sector[],2,FALSE)</f>
        <v>14</v>
      </c>
      <c r="I1726">
        <f>VLOOKUP(C1726,year[],2,FALSE)</f>
        <v>4</v>
      </c>
      <c r="J1726">
        <f>VLOOKUP(E1726,showing[],2,FALSE)</f>
        <v>8</v>
      </c>
      <c r="K1726">
        <f>Сектора[[#This Row],[Значение]]</f>
        <v>0.461423428439585</v>
      </c>
      <c r="L1726" t="str">
        <f t="shared" si="26"/>
        <v>INSERT INTO msfo.statements (id_company, id_year, id_showing, value) VALUES (14,4,8,0,461423428439585);</v>
      </c>
    </row>
    <row r="1727" spans="1:12">
      <c r="A1727" s="28" t="s">
        <v>48</v>
      </c>
      <c r="B1727" s="28" t="s">
        <v>33</v>
      </c>
      <c r="C1727" s="28">
        <v>2015</v>
      </c>
      <c r="D1727" s="28" t="s">
        <v>1</v>
      </c>
      <c r="E1727" s="28" t="s">
        <v>11</v>
      </c>
      <c r="F1727" s="28">
        <v>0.49768413649593274</v>
      </c>
      <c r="H1727">
        <f>VLOOKUP(A1727&amp;B1727,ticker_sector[],2,FALSE)</f>
        <v>14</v>
      </c>
      <c r="I1727">
        <f>VLOOKUP(C1727,year[],2,FALSE)</f>
        <v>5</v>
      </c>
      <c r="J1727">
        <f>VLOOKUP(E1727,showing[],2,FALSE)</f>
        <v>8</v>
      </c>
      <c r="K1727">
        <f>Сектора[[#This Row],[Значение]]</f>
        <v>0.49768413649593274</v>
      </c>
      <c r="L1727" t="str">
        <f t="shared" si="26"/>
        <v>INSERT INTO msfo.statements (id_company, id_year, id_showing, value) VALUES (14,5,8,0,497684136495933);</v>
      </c>
    </row>
    <row r="1728" spans="1:12">
      <c r="A1728" s="28" t="s">
        <v>48</v>
      </c>
      <c r="B1728" s="28" t="s">
        <v>33</v>
      </c>
      <c r="C1728" s="28">
        <v>2016</v>
      </c>
      <c r="D1728" s="28" t="s">
        <v>1</v>
      </c>
      <c r="E1728" s="28" t="s">
        <v>11</v>
      </c>
      <c r="F1728" s="28">
        <v>0.43339580690761298</v>
      </c>
      <c r="H1728">
        <f>VLOOKUP(A1728&amp;B1728,ticker_sector[],2,FALSE)</f>
        <v>14</v>
      </c>
      <c r="I1728">
        <f>VLOOKUP(C1728,year[],2,FALSE)</f>
        <v>6</v>
      </c>
      <c r="J1728">
        <f>VLOOKUP(E1728,showing[],2,FALSE)</f>
        <v>8</v>
      </c>
      <c r="K1728">
        <f>Сектора[[#This Row],[Значение]]</f>
        <v>0.43339580690761298</v>
      </c>
      <c r="L1728" t="str">
        <f t="shared" si="26"/>
        <v>INSERT INTO msfo.statements (id_company, id_year, id_showing, value) VALUES (14,6,8,0,433395806907613);</v>
      </c>
    </row>
    <row r="1729" spans="1:12">
      <c r="A1729" s="28" t="s">
        <v>48</v>
      </c>
      <c r="B1729" s="28" t="s">
        <v>33</v>
      </c>
      <c r="C1729" s="28">
        <v>2017</v>
      </c>
      <c r="D1729" s="28" t="s">
        <v>1</v>
      </c>
      <c r="E1729" s="28" t="s">
        <v>11</v>
      </c>
      <c r="F1729" s="28">
        <v>0.43374454950293651</v>
      </c>
      <c r="H1729">
        <f>VLOOKUP(A1729&amp;B1729,ticker_sector[],2,FALSE)</f>
        <v>14</v>
      </c>
      <c r="I1729">
        <f>VLOOKUP(C1729,year[],2,FALSE)</f>
        <v>7</v>
      </c>
      <c r="J1729">
        <f>VLOOKUP(E1729,showing[],2,FALSE)</f>
        <v>8</v>
      </c>
      <c r="K1729">
        <f>Сектора[[#This Row],[Значение]]</f>
        <v>0.43374454950293651</v>
      </c>
      <c r="L1729" t="str">
        <f t="shared" si="26"/>
        <v>INSERT INTO msfo.statements (id_company, id_year, id_showing, value) VALUES (14,7,8,0,433744549502937);</v>
      </c>
    </row>
    <row r="1730" spans="1:12">
      <c r="A1730" s="28" t="s">
        <v>48</v>
      </c>
      <c r="B1730" s="28" t="s">
        <v>33</v>
      </c>
      <c r="C1730" s="28">
        <v>2010</v>
      </c>
      <c r="D1730" s="28" t="s">
        <v>4</v>
      </c>
      <c r="E1730" s="28" t="s">
        <v>12</v>
      </c>
      <c r="F1730" s="28">
        <v>998788.96680000005</v>
      </c>
      <c r="H1730">
        <f>VLOOKUP(A1730&amp;B1730,ticker_sector[],2,FALSE)</f>
        <v>14</v>
      </c>
      <c r="I1730">
        <f>VLOOKUP(C1730,year[],2,FALSE)</f>
        <v>0</v>
      </c>
      <c r="J1730">
        <f>VLOOKUP(E1730,showing[],2,FALSE)</f>
        <v>9</v>
      </c>
      <c r="K1730">
        <f>Сектора[[#This Row],[Значение]]</f>
        <v>998788.96680000005</v>
      </c>
      <c r="L1730" t="str">
        <f t="shared" si="26"/>
        <v>INSERT INTO msfo.statements (id_company, id_year, id_showing, value) VALUES (14,0,9,998788,9668);</v>
      </c>
    </row>
    <row r="1731" spans="1:12">
      <c r="A1731" s="28" t="s">
        <v>48</v>
      </c>
      <c r="B1731" s="28" t="s">
        <v>33</v>
      </c>
      <c r="C1731" s="28">
        <v>2011</v>
      </c>
      <c r="D1731" s="28" t="s">
        <v>4</v>
      </c>
      <c r="E1731" s="28" t="s">
        <v>12</v>
      </c>
      <c r="F1731" s="28">
        <v>1029803</v>
      </c>
      <c r="H1731">
        <f>VLOOKUP(A1731&amp;B1731,ticker_sector[],2,FALSE)</f>
        <v>14</v>
      </c>
      <c r="I1731">
        <f>VLOOKUP(C1731,year[],2,FALSE)</f>
        <v>1</v>
      </c>
      <c r="J1731">
        <f>VLOOKUP(E1731,showing[],2,FALSE)</f>
        <v>9</v>
      </c>
      <c r="K1731">
        <f>Сектора[[#This Row],[Значение]]</f>
        <v>1029803</v>
      </c>
      <c r="L1731" t="str">
        <f t="shared" ref="L1731:L1794" si="27">"INSERT INTO msfo.statements (id_company, id_year, id_showing, value) VALUES ("&amp;H1731&amp; ","&amp;I1731&amp; ","&amp;J1731&amp; ","&amp;K1731&amp;");"</f>
        <v>INSERT INTO msfo.statements (id_company, id_year, id_showing, value) VALUES (14,1,9,1029803);</v>
      </c>
    </row>
    <row r="1732" spans="1:12">
      <c r="A1732" s="28" t="s">
        <v>48</v>
      </c>
      <c r="B1732" s="28" t="s">
        <v>33</v>
      </c>
      <c r="C1732" s="28">
        <v>2012</v>
      </c>
      <c r="D1732" s="28" t="s">
        <v>4</v>
      </c>
      <c r="E1732" s="28" t="s">
        <v>12</v>
      </c>
      <c r="F1732" s="28">
        <v>1232649</v>
      </c>
      <c r="H1732">
        <f>VLOOKUP(A1732&amp;B1732,ticker_sector[],2,FALSE)</f>
        <v>14</v>
      </c>
      <c r="I1732">
        <f>VLOOKUP(C1732,year[],2,FALSE)</f>
        <v>2</v>
      </c>
      <c r="J1732">
        <f>VLOOKUP(E1732,showing[],2,FALSE)</f>
        <v>9</v>
      </c>
      <c r="K1732">
        <f>Сектора[[#This Row],[Значение]]</f>
        <v>1232649</v>
      </c>
      <c r="L1732" t="str">
        <f t="shared" si="27"/>
        <v>INSERT INTO msfo.statements (id_company, id_year, id_showing, value) VALUES (14,2,9,1232649);</v>
      </c>
    </row>
    <row r="1733" spans="1:12">
      <c r="A1733" s="28" t="s">
        <v>48</v>
      </c>
      <c r="B1733" s="28" t="s">
        <v>33</v>
      </c>
      <c r="C1733" s="28">
        <v>2013</v>
      </c>
      <c r="D1733" s="28" t="s">
        <v>4</v>
      </c>
      <c r="E1733" s="28" t="s">
        <v>12</v>
      </c>
      <c r="F1733" s="28">
        <v>1267603</v>
      </c>
      <c r="H1733">
        <f>VLOOKUP(A1733&amp;B1733,ticker_sector[],2,FALSE)</f>
        <v>14</v>
      </c>
      <c r="I1733">
        <f>VLOOKUP(C1733,year[],2,FALSE)</f>
        <v>3</v>
      </c>
      <c r="J1733">
        <f>VLOOKUP(E1733,showing[],2,FALSE)</f>
        <v>9</v>
      </c>
      <c r="K1733">
        <f>Сектора[[#This Row],[Значение]]</f>
        <v>1267603</v>
      </c>
      <c r="L1733" t="str">
        <f t="shared" si="27"/>
        <v>INSERT INTO msfo.statements (id_company, id_year, id_showing, value) VALUES (14,3,9,1267603);</v>
      </c>
    </row>
    <row r="1734" spans="1:12">
      <c r="A1734" s="28" t="s">
        <v>48</v>
      </c>
      <c r="B1734" s="28" t="s">
        <v>33</v>
      </c>
      <c r="C1734" s="28">
        <v>2014</v>
      </c>
      <c r="D1734" s="28" t="s">
        <v>4</v>
      </c>
      <c r="E1734" s="28" t="s">
        <v>12</v>
      </c>
      <c r="F1734" s="28">
        <v>1204238</v>
      </c>
      <c r="H1734">
        <f>VLOOKUP(A1734&amp;B1734,ticker_sector[],2,FALSE)</f>
        <v>14</v>
      </c>
      <c r="I1734">
        <f>VLOOKUP(C1734,year[],2,FALSE)</f>
        <v>4</v>
      </c>
      <c r="J1734">
        <f>VLOOKUP(E1734,showing[],2,FALSE)</f>
        <v>9</v>
      </c>
      <c r="K1734">
        <f>Сектора[[#This Row],[Значение]]</f>
        <v>1204238</v>
      </c>
      <c r="L1734" t="str">
        <f t="shared" si="27"/>
        <v>INSERT INTO msfo.statements (id_company, id_year, id_showing, value) VALUES (14,4,9,1204238);</v>
      </c>
    </row>
    <row r="1735" spans="1:12">
      <c r="A1735" s="28" t="s">
        <v>48</v>
      </c>
      <c r="B1735" s="28" t="s">
        <v>33</v>
      </c>
      <c r="C1735" s="28">
        <v>2015</v>
      </c>
      <c r="D1735" s="28" t="s">
        <v>4</v>
      </c>
      <c r="E1735" s="28" t="s">
        <v>12</v>
      </c>
      <c r="F1735" s="28">
        <v>1467943</v>
      </c>
      <c r="H1735">
        <f>VLOOKUP(A1735&amp;B1735,ticker_sector[],2,FALSE)</f>
        <v>14</v>
      </c>
      <c r="I1735">
        <f>VLOOKUP(C1735,year[],2,FALSE)</f>
        <v>5</v>
      </c>
      <c r="J1735">
        <f>VLOOKUP(E1735,showing[],2,FALSE)</f>
        <v>9</v>
      </c>
      <c r="K1735">
        <f>Сектора[[#This Row],[Значение]]</f>
        <v>1467943</v>
      </c>
      <c r="L1735" t="str">
        <f t="shared" si="27"/>
        <v>INSERT INTO msfo.statements (id_company, id_year, id_showing, value) VALUES (14,5,9,1467943);</v>
      </c>
    </row>
    <row r="1736" spans="1:12">
      <c r="A1736" s="28" t="s">
        <v>48</v>
      </c>
      <c r="B1736" s="28" t="s">
        <v>33</v>
      </c>
      <c r="C1736" s="28">
        <v>2016</v>
      </c>
      <c r="D1736" s="28" t="s">
        <v>4</v>
      </c>
      <c r="E1736" s="28" t="s">
        <v>12</v>
      </c>
      <c r="F1736" s="28">
        <v>1545608</v>
      </c>
      <c r="H1736">
        <f>VLOOKUP(A1736&amp;B1736,ticker_sector[],2,FALSE)</f>
        <v>14</v>
      </c>
      <c r="I1736">
        <f>VLOOKUP(C1736,year[],2,FALSE)</f>
        <v>6</v>
      </c>
      <c r="J1736">
        <f>VLOOKUP(E1736,showing[],2,FALSE)</f>
        <v>9</v>
      </c>
      <c r="K1736">
        <f>Сектора[[#This Row],[Значение]]</f>
        <v>1545608</v>
      </c>
      <c r="L1736" t="str">
        <f t="shared" si="27"/>
        <v>INSERT INTO msfo.statements (id_company, id_year, id_showing, value) VALUES (14,6,9,1545608);</v>
      </c>
    </row>
    <row r="1737" spans="1:12">
      <c r="A1737" s="28" t="s">
        <v>48</v>
      </c>
      <c r="B1737" s="28" t="s">
        <v>33</v>
      </c>
      <c r="C1737" s="28">
        <v>2017</v>
      </c>
      <c r="D1737" s="28" t="s">
        <v>4</v>
      </c>
      <c r="E1737" s="28" t="s">
        <v>12</v>
      </c>
      <c r="F1737" s="28">
        <v>1857931</v>
      </c>
      <c r="H1737">
        <f>VLOOKUP(A1737&amp;B1737,ticker_sector[],2,FALSE)</f>
        <v>14</v>
      </c>
      <c r="I1737">
        <f>VLOOKUP(C1737,year[],2,FALSE)</f>
        <v>7</v>
      </c>
      <c r="J1737">
        <f>VLOOKUP(E1737,showing[],2,FALSE)</f>
        <v>9</v>
      </c>
      <c r="K1737">
        <f>Сектора[[#This Row],[Значение]]</f>
        <v>1857931</v>
      </c>
      <c r="L1737" t="str">
        <f t="shared" si="27"/>
        <v>INSERT INTO msfo.statements (id_company, id_year, id_showing, value) VALUES (14,7,9,1857931);</v>
      </c>
    </row>
    <row r="1738" spans="1:12">
      <c r="A1738" s="28" t="s">
        <v>48</v>
      </c>
      <c r="B1738" s="28" t="s">
        <v>33</v>
      </c>
      <c r="C1738" s="28">
        <v>2010</v>
      </c>
      <c r="D1738" s="28" t="s">
        <v>4</v>
      </c>
      <c r="E1738" s="28" t="s">
        <v>13</v>
      </c>
      <c r="F1738" s="28">
        <v>104627.1977</v>
      </c>
      <c r="H1738">
        <f>VLOOKUP(A1738&amp;B1738,ticker_sector[],2,FALSE)</f>
        <v>14</v>
      </c>
      <c r="I1738">
        <f>VLOOKUP(C1738,year[],2,FALSE)</f>
        <v>0</v>
      </c>
      <c r="J1738">
        <f>VLOOKUP(E1738,showing[],2,FALSE)</f>
        <v>10</v>
      </c>
      <c r="K1738">
        <f>Сектора[[#This Row],[Значение]]</f>
        <v>104627.1977</v>
      </c>
      <c r="L1738" t="str">
        <f t="shared" si="27"/>
        <v>INSERT INTO msfo.statements (id_company, id_year, id_showing, value) VALUES (14,0,10,104627,1977);</v>
      </c>
    </row>
    <row r="1739" spans="1:12">
      <c r="A1739" s="28" t="s">
        <v>48</v>
      </c>
      <c r="B1739" s="28" t="s">
        <v>33</v>
      </c>
      <c r="C1739" s="28">
        <v>2011</v>
      </c>
      <c r="D1739" s="28" t="s">
        <v>4</v>
      </c>
      <c r="E1739" s="28" t="s">
        <v>13</v>
      </c>
      <c r="F1739" s="28">
        <v>167669</v>
      </c>
      <c r="H1739">
        <f>VLOOKUP(A1739&amp;B1739,ticker_sector[],2,FALSE)</f>
        <v>14</v>
      </c>
      <c r="I1739">
        <f>VLOOKUP(C1739,year[],2,FALSE)</f>
        <v>1</v>
      </c>
      <c r="J1739">
        <f>VLOOKUP(E1739,showing[],2,FALSE)</f>
        <v>10</v>
      </c>
      <c r="K1739">
        <f>Сектора[[#This Row],[Значение]]</f>
        <v>167669</v>
      </c>
      <c r="L1739" t="str">
        <f t="shared" si="27"/>
        <v>INSERT INTO msfo.statements (id_company, id_year, id_showing, value) VALUES (14,1,10,167669);</v>
      </c>
    </row>
    <row r="1740" spans="1:12">
      <c r="A1740" s="28" t="s">
        <v>48</v>
      </c>
      <c r="B1740" s="28" t="s">
        <v>33</v>
      </c>
      <c r="C1740" s="28">
        <v>2012</v>
      </c>
      <c r="D1740" s="28" t="s">
        <v>4</v>
      </c>
      <c r="E1740" s="28" t="s">
        <v>13</v>
      </c>
      <c r="F1740" s="28">
        <v>184152</v>
      </c>
      <c r="H1740">
        <f>VLOOKUP(A1740&amp;B1740,ticker_sector[],2,FALSE)</f>
        <v>14</v>
      </c>
      <c r="I1740">
        <f>VLOOKUP(C1740,year[],2,FALSE)</f>
        <v>2</v>
      </c>
      <c r="J1740">
        <f>VLOOKUP(E1740,showing[],2,FALSE)</f>
        <v>10</v>
      </c>
      <c r="K1740">
        <f>Сектора[[#This Row],[Значение]]</f>
        <v>184152</v>
      </c>
      <c r="L1740" t="str">
        <f t="shared" si="27"/>
        <v>INSERT INTO msfo.statements (id_company, id_year, id_showing, value) VALUES (14,2,10,184152);</v>
      </c>
    </row>
    <row r="1741" spans="1:12">
      <c r="A1741" s="28" t="s">
        <v>48</v>
      </c>
      <c r="B1741" s="28" t="s">
        <v>33</v>
      </c>
      <c r="C1741" s="28">
        <v>2013</v>
      </c>
      <c r="D1741" s="28" t="s">
        <v>4</v>
      </c>
      <c r="E1741" s="28" t="s">
        <v>13</v>
      </c>
      <c r="F1741" s="28">
        <v>186720</v>
      </c>
      <c r="H1741">
        <f>VLOOKUP(A1741&amp;B1741,ticker_sector[],2,FALSE)</f>
        <v>14</v>
      </c>
      <c r="I1741">
        <f>VLOOKUP(C1741,year[],2,FALSE)</f>
        <v>3</v>
      </c>
      <c r="J1741">
        <f>VLOOKUP(E1741,showing[],2,FALSE)</f>
        <v>10</v>
      </c>
      <c r="K1741">
        <f>Сектора[[#This Row],[Значение]]</f>
        <v>186720</v>
      </c>
      <c r="L1741" t="str">
        <f t="shared" si="27"/>
        <v>INSERT INTO msfo.statements (id_company, id_year, id_showing, value) VALUES (14,3,10,186720);</v>
      </c>
    </row>
    <row r="1742" spans="1:12">
      <c r="A1742" s="28" t="s">
        <v>48</v>
      </c>
      <c r="B1742" s="28" t="s">
        <v>33</v>
      </c>
      <c r="C1742" s="28">
        <v>2014</v>
      </c>
      <c r="D1742" s="28" t="s">
        <v>4</v>
      </c>
      <c r="E1742" s="28" t="s">
        <v>13</v>
      </c>
      <c r="F1742" s="28">
        <v>126565</v>
      </c>
      <c r="H1742">
        <f>VLOOKUP(A1742&amp;B1742,ticker_sector[],2,FALSE)</f>
        <v>14</v>
      </c>
      <c r="I1742">
        <f>VLOOKUP(C1742,year[],2,FALSE)</f>
        <v>4</v>
      </c>
      <c r="J1742">
        <f>VLOOKUP(E1742,showing[],2,FALSE)</f>
        <v>10</v>
      </c>
      <c r="K1742">
        <f>Сектора[[#This Row],[Значение]]</f>
        <v>126565</v>
      </c>
      <c r="L1742" t="str">
        <f t="shared" si="27"/>
        <v>INSERT INTO msfo.statements (id_company, id_year, id_showing, value) VALUES (14,4,10,126565);</v>
      </c>
    </row>
    <row r="1743" spans="1:12">
      <c r="A1743" s="28" t="s">
        <v>48</v>
      </c>
      <c r="B1743" s="28" t="s">
        <v>33</v>
      </c>
      <c r="C1743" s="28">
        <v>2015</v>
      </c>
      <c r="D1743" s="28" t="s">
        <v>4</v>
      </c>
      <c r="E1743" s="28" t="s">
        <v>13</v>
      </c>
      <c r="F1743" s="28">
        <v>116198</v>
      </c>
      <c r="H1743">
        <f>VLOOKUP(A1743&amp;B1743,ticker_sector[],2,FALSE)</f>
        <v>14</v>
      </c>
      <c r="I1743">
        <f>VLOOKUP(C1743,year[],2,FALSE)</f>
        <v>5</v>
      </c>
      <c r="J1743">
        <f>VLOOKUP(E1743,showing[],2,FALSE)</f>
        <v>10</v>
      </c>
      <c r="K1743">
        <f>Сектора[[#This Row],[Значение]]</f>
        <v>116198</v>
      </c>
      <c r="L1743" t="str">
        <f t="shared" si="27"/>
        <v>INSERT INTO msfo.statements (id_company, id_year, id_showing, value) VALUES (14,5,10,116198);</v>
      </c>
    </row>
    <row r="1744" spans="1:12">
      <c r="A1744" s="28" t="s">
        <v>48</v>
      </c>
      <c r="B1744" s="28" t="s">
        <v>33</v>
      </c>
      <c r="C1744" s="28">
        <v>2016</v>
      </c>
      <c r="D1744" s="28" t="s">
        <v>4</v>
      </c>
      <c r="E1744" s="28" t="s">
        <v>13</v>
      </c>
      <c r="F1744" s="28">
        <v>209725</v>
      </c>
      <c r="H1744">
        <f>VLOOKUP(A1744&amp;B1744,ticker_sector[],2,FALSE)</f>
        <v>14</v>
      </c>
      <c r="I1744">
        <f>VLOOKUP(C1744,year[],2,FALSE)</f>
        <v>6</v>
      </c>
      <c r="J1744">
        <f>VLOOKUP(E1744,showing[],2,FALSE)</f>
        <v>10</v>
      </c>
      <c r="K1744">
        <f>Сектора[[#This Row],[Значение]]</f>
        <v>209725</v>
      </c>
      <c r="L1744" t="str">
        <f t="shared" si="27"/>
        <v>INSERT INTO msfo.statements (id_company, id_year, id_showing, value) VALUES (14,6,10,209725);</v>
      </c>
    </row>
    <row r="1745" spans="1:12">
      <c r="A1745" s="28" t="s">
        <v>48</v>
      </c>
      <c r="B1745" s="28" t="s">
        <v>33</v>
      </c>
      <c r="C1745" s="28">
        <v>2017</v>
      </c>
      <c r="D1745" s="28" t="s">
        <v>4</v>
      </c>
      <c r="E1745" s="28" t="s">
        <v>13</v>
      </c>
      <c r="F1745" s="28">
        <v>269678</v>
      </c>
      <c r="H1745">
        <f>VLOOKUP(A1745&amp;B1745,ticker_sector[],2,FALSE)</f>
        <v>14</v>
      </c>
      <c r="I1745">
        <f>VLOOKUP(C1745,year[],2,FALSE)</f>
        <v>7</v>
      </c>
      <c r="J1745">
        <f>VLOOKUP(E1745,showing[],2,FALSE)</f>
        <v>10</v>
      </c>
      <c r="K1745">
        <f>Сектора[[#This Row],[Значение]]</f>
        <v>269678</v>
      </c>
      <c r="L1745" t="str">
        <f t="shared" si="27"/>
        <v>INSERT INTO msfo.statements (id_company, id_year, id_showing, value) VALUES (14,7,10,269678);</v>
      </c>
    </row>
    <row r="1746" spans="1:12">
      <c r="A1746" s="28" t="s">
        <v>48</v>
      </c>
      <c r="B1746" s="28" t="s">
        <v>33</v>
      </c>
      <c r="C1746" s="28">
        <v>2010</v>
      </c>
      <c r="D1746" s="28" t="s">
        <v>4</v>
      </c>
      <c r="E1746" s="28" t="s">
        <v>14</v>
      </c>
      <c r="F1746" s="28">
        <v>32772</v>
      </c>
      <c r="H1746">
        <f>VLOOKUP(A1746&amp;B1746,ticker_sector[],2,FALSE)</f>
        <v>14</v>
      </c>
      <c r="I1746">
        <f>VLOOKUP(C1746,year[],2,FALSE)</f>
        <v>0</v>
      </c>
      <c r="J1746">
        <f>VLOOKUP(E1746,showing[],2,FALSE)</f>
        <v>11</v>
      </c>
      <c r="K1746">
        <f>Сектора[[#This Row],[Значение]]</f>
        <v>32772</v>
      </c>
      <c r="L1746" t="str">
        <f t="shared" si="27"/>
        <v>INSERT INTO msfo.statements (id_company, id_year, id_showing, value) VALUES (14,0,11,32772);</v>
      </c>
    </row>
    <row r="1747" spans="1:12">
      <c r="A1747" s="28" t="s">
        <v>48</v>
      </c>
      <c r="B1747" s="28" t="s">
        <v>33</v>
      </c>
      <c r="C1747" s="28">
        <v>2011</v>
      </c>
      <c r="D1747" s="28" t="s">
        <v>4</v>
      </c>
      <c r="E1747" s="28" t="s">
        <v>14</v>
      </c>
      <c r="F1747" s="28">
        <v>31985.333627364806</v>
      </c>
      <c r="H1747">
        <f>VLOOKUP(A1747&amp;B1747,ticker_sector[],2,FALSE)</f>
        <v>14</v>
      </c>
      <c r="I1747">
        <f>VLOOKUP(C1747,year[],2,FALSE)</f>
        <v>1</v>
      </c>
      <c r="J1747">
        <f>VLOOKUP(E1747,showing[],2,FALSE)</f>
        <v>11</v>
      </c>
      <c r="K1747">
        <f>Сектора[[#This Row],[Значение]]</f>
        <v>31985.333627364806</v>
      </c>
      <c r="L1747" t="str">
        <f t="shared" si="27"/>
        <v>INSERT INTO msfo.statements (id_company, id_year, id_showing, value) VALUES (14,1,11,31985,3336273648);</v>
      </c>
    </row>
    <row r="1748" spans="1:12">
      <c r="A1748" s="28" t="s">
        <v>48</v>
      </c>
      <c r="B1748" s="28" t="s">
        <v>33</v>
      </c>
      <c r="C1748" s="28">
        <v>2012</v>
      </c>
      <c r="D1748" s="28" t="s">
        <v>4</v>
      </c>
      <c r="E1748" s="28" t="s">
        <v>14</v>
      </c>
      <c r="F1748" s="28">
        <v>40584.110072532247</v>
      </c>
      <c r="H1748">
        <f>VLOOKUP(A1748&amp;B1748,ticker_sector[],2,FALSE)</f>
        <v>14</v>
      </c>
      <c r="I1748">
        <f>VLOOKUP(C1748,year[],2,FALSE)</f>
        <v>2</v>
      </c>
      <c r="J1748">
        <f>VLOOKUP(E1748,showing[],2,FALSE)</f>
        <v>11</v>
      </c>
      <c r="K1748">
        <f>Сектора[[#This Row],[Значение]]</f>
        <v>40584.110072532247</v>
      </c>
      <c r="L1748" t="str">
        <f t="shared" si="27"/>
        <v>INSERT INTO msfo.statements (id_company, id_year, id_showing, value) VALUES (14,2,11,40584,1100725322);</v>
      </c>
    </row>
    <row r="1749" spans="1:12">
      <c r="A1749" s="28" t="s">
        <v>48</v>
      </c>
      <c r="B1749" s="28" t="s">
        <v>33</v>
      </c>
      <c r="C1749" s="28">
        <v>2013</v>
      </c>
      <c r="D1749" s="28" t="s">
        <v>4</v>
      </c>
      <c r="E1749" s="28" t="s">
        <v>14</v>
      </c>
      <c r="F1749" s="28">
        <v>38730.033120271808</v>
      </c>
      <c r="H1749">
        <f>VLOOKUP(A1749&amp;B1749,ticker_sector[],2,FALSE)</f>
        <v>14</v>
      </c>
      <c r="I1749">
        <f>VLOOKUP(C1749,year[],2,FALSE)</f>
        <v>3</v>
      </c>
      <c r="J1749">
        <f>VLOOKUP(E1749,showing[],2,FALSE)</f>
        <v>11</v>
      </c>
      <c r="K1749">
        <f>Сектора[[#This Row],[Значение]]</f>
        <v>38730.033120271808</v>
      </c>
      <c r="L1749" t="str">
        <f t="shared" si="27"/>
        <v>INSERT INTO msfo.statements (id_company, id_year, id_showing, value) VALUES (14,3,11,38730,0331202718);</v>
      </c>
    </row>
    <row r="1750" spans="1:12">
      <c r="A1750" s="28" t="s">
        <v>48</v>
      </c>
      <c r="B1750" s="28" t="s">
        <v>33</v>
      </c>
      <c r="C1750" s="28">
        <v>2014</v>
      </c>
      <c r="D1750" s="28" t="s">
        <v>4</v>
      </c>
      <c r="E1750" s="28" t="s">
        <v>14</v>
      </c>
      <c r="F1750" s="28">
        <v>21405.479004024288</v>
      </c>
      <c r="H1750">
        <f>VLOOKUP(A1750&amp;B1750,ticker_sector[],2,FALSE)</f>
        <v>14</v>
      </c>
      <c r="I1750">
        <f>VLOOKUP(C1750,year[],2,FALSE)</f>
        <v>4</v>
      </c>
      <c r="J1750">
        <f>VLOOKUP(E1750,showing[],2,FALSE)</f>
        <v>11</v>
      </c>
      <c r="K1750">
        <f>Сектора[[#This Row],[Значение]]</f>
        <v>21405.479004024288</v>
      </c>
      <c r="L1750" t="str">
        <f t="shared" si="27"/>
        <v>INSERT INTO msfo.statements (id_company, id_year, id_showing, value) VALUES (14,4,11,21405,4790040243);</v>
      </c>
    </row>
    <row r="1751" spans="1:12">
      <c r="A1751" s="28" t="s">
        <v>48</v>
      </c>
      <c r="B1751" s="28" t="s">
        <v>33</v>
      </c>
      <c r="C1751" s="28">
        <v>2015</v>
      </c>
      <c r="D1751" s="28" t="s">
        <v>4</v>
      </c>
      <c r="E1751" s="28" t="s">
        <v>14</v>
      </c>
      <c r="F1751" s="28">
        <v>20141.172047687585</v>
      </c>
      <c r="H1751">
        <f>VLOOKUP(A1751&amp;B1751,ticker_sector[],2,FALSE)</f>
        <v>14</v>
      </c>
      <c r="I1751">
        <f>VLOOKUP(C1751,year[],2,FALSE)</f>
        <v>5</v>
      </c>
      <c r="J1751">
        <f>VLOOKUP(E1751,showing[],2,FALSE)</f>
        <v>11</v>
      </c>
      <c r="K1751">
        <f>Сектора[[#This Row],[Значение]]</f>
        <v>20141.172047687585</v>
      </c>
      <c r="L1751" t="str">
        <f t="shared" si="27"/>
        <v>INSERT INTO msfo.statements (id_company, id_year, id_showing, value) VALUES (14,5,11,20141,1720476876);</v>
      </c>
    </row>
    <row r="1752" spans="1:12">
      <c r="A1752" s="28" t="s">
        <v>48</v>
      </c>
      <c r="B1752" s="28" t="s">
        <v>33</v>
      </c>
      <c r="C1752" s="28">
        <v>2016</v>
      </c>
      <c r="D1752" s="28" t="s">
        <v>4</v>
      </c>
      <c r="E1752" s="28" t="s">
        <v>14</v>
      </c>
      <c r="F1752" s="28">
        <v>25481.157131340377</v>
      </c>
      <c r="H1752">
        <f>VLOOKUP(A1752&amp;B1752,ticker_sector[],2,FALSE)</f>
        <v>14</v>
      </c>
      <c r="I1752">
        <f>VLOOKUP(C1752,year[],2,FALSE)</f>
        <v>6</v>
      </c>
      <c r="J1752">
        <f>VLOOKUP(E1752,showing[],2,FALSE)</f>
        <v>11</v>
      </c>
      <c r="K1752">
        <f>Сектора[[#This Row],[Значение]]</f>
        <v>25481.157131340377</v>
      </c>
      <c r="L1752" t="str">
        <f t="shared" si="27"/>
        <v>INSERT INTO msfo.statements (id_company, id_year, id_showing, value) VALUES (14,6,11,25481,1571313404);</v>
      </c>
    </row>
    <row r="1753" spans="1:12">
      <c r="A1753" s="28" t="s">
        <v>48</v>
      </c>
      <c r="B1753" s="28" t="s">
        <v>33</v>
      </c>
      <c r="C1753" s="28">
        <v>2017</v>
      </c>
      <c r="D1753" s="28" t="s">
        <v>4</v>
      </c>
      <c r="E1753" s="28" t="s">
        <v>14</v>
      </c>
      <c r="F1753" s="28">
        <v>32255.634529046773</v>
      </c>
      <c r="H1753">
        <f>VLOOKUP(A1753&amp;B1753,ticker_sector[],2,FALSE)</f>
        <v>14</v>
      </c>
      <c r="I1753">
        <f>VLOOKUP(C1753,year[],2,FALSE)</f>
        <v>7</v>
      </c>
      <c r="J1753">
        <f>VLOOKUP(E1753,showing[],2,FALSE)</f>
        <v>11</v>
      </c>
      <c r="K1753">
        <f>Сектора[[#This Row],[Значение]]</f>
        <v>32255.634529046773</v>
      </c>
      <c r="L1753" t="str">
        <f t="shared" si="27"/>
        <v>INSERT INTO msfo.statements (id_company, id_year, id_showing, value) VALUES (14,7,11,32255,6345290468);</v>
      </c>
    </row>
    <row r="1754" spans="1:12">
      <c r="A1754" s="28" t="s">
        <v>48</v>
      </c>
      <c r="B1754" s="28" t="s">
        <v>33</v>
      </c>
      <c r="C1754" s="28">
        <v>2010</v>
      </c>
      <c r="D1754" s="28" t="s">
        <v>4</v>
      </c>
      <c r="E1754" s="28" t="s">
        <v>15</v>
      </c>
      <c r="F1754" s="28">
        <v>3433</v>
      </c>
      <c r="H1754">
        <f>VLOOKUP(A1754&amp;B1754,ticker_sector[],2,FALSE)</f>
        <v>14</v>
      </c>
      <c r="I1754">
        <f>VLOOKUP(C1754,year[],2,FALSE)</f>
        <v>0</v>
      </c>
      <c r="J1754">
        <f>VLOOKUP(E1754,showing[],2,FALSE)</f>
        <v>12</v>
      </c>
      <c r="K1754">
        <f>Сектора[[#This Row],[Значение]]</f>
        <v>3433</v>
      </c>
      <c r="L1754" t="str">
        <f t="shared" si="27"/>
        <v>INSERT INTO msfo.statements (id_company, id_year, id_showing, value) VALUES (14,0,12,3433);</v>
      </c>
    </row>
    <row r="1755" spans="1:12">
      <c r="A1755" s="28" t="s">
        <v>48</v>
      </c>
      <c r="B1755" s="28" t="s">
        <v>33</v>
      </c>
      <c r="C1755" s="28">
        <v>2011</v>
      </c>
      <c r="D1755" s="28" t="s">
        <v>4</v>
      </c>
      <c r="E1755" s="28" t="s">
        <v>15</v>
      </c>
      <c r="F1755" s="28">
        <v>5207.7425526694224</v>
      </c>
      <c r="H1755">
        <f>VLOOKUP(A1755&amp;B1755,ticker_sector[],2,FALSE)</f>
        <v>14</v>
      </c>
      <c r="I1755">
        <f>VLOOKUP(C1755,year[],2,FALSE)</f>
        <v>1</v>
      </c>
      <c r="J1755">
        <f>VLOOKUP(E1755,showing[],2,FALSE)</f>
        <v>12</v>
      </c>
      <c r="K1755">
        <f>Сектора[[#This Row],[Значение]]</f>
        <v>5207.7425526694224</v>
      </c>
      <c r="L1755" t="str">
        <f t="shared" si="27"/>
        <v>INSERT INTO msfo.statements (id_company, id_year, id_showing, value) VALUES (14,1,12,5207,74255266942);</v>
      </c>
    </row>
    <row r="1756" spans="1:12">
      <c r="A1756" s="28" t="s">
        <v>48</v>
      </c>
      <c r="B1756" s="28" t="s">
        <v>33</v>
      </c>
      <c r="C1756" s="28">
        <v>2012</v>
      </c>
      <c r="D1756" s="28" t="s">
        <v>4</v>
      </c>
      <c r="E1756" s="28" t="s">
        <v>15</v>
      </c>
      <c r="F1756" s="28">
        <v>6063.0763810922308</v>
      </c>
      <c r="H1756">
        <f>VLOOKUP(A1756&amp;B1756,ticker_sector[],2,FALSE)</f>
        <v>14</v>
      </c>
      <c r="I1756">
        <f>VLOOKUP(C1756,year[],2,FALSE)</f>
        <v>2</v>
      </c>
      <c r="J1756">
        <f>VLOOKUP(E1756,showing[],2,FALSE)</f>
        <v>12</v>
      </c>
      <c r="K1756">
        <f>Сектора[[#This Row],[Значение]]</f>
        <v>6063.0763810922308</v>
      </c>
      <c r="L1756" t="str">
        <f t="shared" si="27"/>
        <v>INSERT INTO msfo.statements (id_company, id_year, id_showing, value) VALUES (14,2,12,6063,07638109223);</v>
      </c>
    </row>
    <row r="1757" spans="1:12">
      <c r="A1757" s="28" t="s">
        <v>48</v>
      </c>
      <c r="B1757" s="28" t="s">
        <v>33</v>
      </c>
      <c r="C1757" s="28">
        <v>2013</v>
      </c>
      <c r="D1757" s="28" t="s">
        <v>4</v>
      </c>
      <c r="E1757" s="28" t="s">
        <v>15</v>
      </c>
      <c r="F1757" s="28">
        <v>5704.9973723769599</v>
      </c>
      <c r="H1757">
        <f>VLOOKUP(A1757&amp;B1757,ticker_sector[],2,FALSE)</f>
        <v>14</v>
      </c>
      <c r="I1757">
        <f>VLOOKUP(C1757,year[],2,FALSE)</f>
        <v>3</v>
      </c>
      <c r="J1757">
        <f>VLOOKUP(E1757,showing[],2,FALSE)</f>
        <v>12</v>
      </c>
      <c r="K1757">
        <f>Сектора[[#This Row],[Значение]]</f>
        <v>5704.9973723769599</v>
      </c>
      <c r="L1757" t="str">
        <f t="shared" si="27"/>
        <v>INSERT INTO msfo.statements (id_company, id_year, id_showing, value) VALUES (14,3,12,5704,99737237696);</v>
      </c>
    </row>
    <row r="1758" spans="1:12">
      <c r="A1758" s="28" t="s">
        <v>48</v>
      </c>
      <c r="B1758" s="28" t="s">
        <v>33</v>
      </c>
      <c r="C1758" s="28">
        <v>2014</v>
      </c>
      <c r="D1758" s="28" t="s">
        <v>4</v>
      </c>
      <c r="E1758" s="28" t="s">
        <v>15</v>
      </c>
      <c r="F1758" s="28">
        <v>2249.7084879769063</v>
      </c>
      <c r="H1758">
        <f>VLOOKUP(A1758&amp;B1758,ticker_sector[],2,FALSE)</f>
        <v>14</v>
      </c>
      <c r="I1758">
        <f>VLOOKUP(C1758,year[],2,FALSE)</f>
        <v>4</v>
      </c>
      <c r="J1758">
        <f>VLOOKUP(E1758,showing[],2,FALSE)</f>
        <v>12</v>
      </c>
      <c r="K1758">
        <f>Сектора[[#This Row],[Значение]]</f>
        <v>2249.7084879769063</v>
      </c>
      <c r="L1758" t="str">
        <f t="shared" si="27"/>
        <v>INSERT INTO msfo.statements (id_company, id_year, id_showing, value) VALUES (14,4,12,2249,70848797691);</v>
      </c>
    </row>
    <row r="1759" spans="1:12">
      <c r="A1759" s="28" t="s">
        <v>48</v>
      </c>
      <c r="B1759" s="28" t="s">
        <v>33</v>
      </c>
      <c r="C1759" s="28">
        <v>2015</v>
      </c>
      <c r="D1759" s="28" t="s">
        <v>4</v>
      </c>
      <c r="E1759" s="28" t="s">
        <v>15</v>
      </c>
      <c r="F1759" s="28">
        <v>1594.3152490234309</v>
      </c>
      <c r="H1759">
        <f>VLOOKUP(A1759&amp;B1759,ticker_sector[],2,FALSE)</f>
        <v>14</v>
      </c>
      <c r="I1759">
        <f>VLOOKUP(C1759,year[],2,FALSE)</f>
        <v>5</v>
      </c>
      <c r="J1759">
        <f>VLOOKUP(E1759,showing[],2,FALSE)</f>
        <v>12</v>
      </c>
      <c r="K1759">
        <f>Сектора[[#This Row],[Значение]]</f>
        <v>1594.3152490234309</v>
      </c>
      <c r="L1759" t="str">
        <f t="shared" si="27"/>
        <v>INSERT INTO msfo.statements (id_company, id_year, id_showing, value) VALUES (14,5,12,1594,31524902343);</v>
      </c>
    </row>
    <row r="1760" spans="1:12">
      <c r="A1760" s="28" t="s">
        <v>48</v>
      </c>
      <c r="B1760" s="28" t="s">
        <v>33</v>
      </c>
      <c r="C1760" s="28">
        <v>2016</v>
      </c>
      <c r="D1760" s="28" t="s">
        <v>4</v>
      </c>
      <c r="E1760" s="28" t="s">
        <v>15</v>
      </c>
      <c r="F1760" s="28">
        <v>3457.5621240122723</v>
      </c>
      <c r="H1760">
        <f>VLOOKUP(A1760&amp;B1760,ticker_sector[],2,FALSE)</f>
        <v>14</v>
      </c>
      <c r="I1760">
        <f>VLOOKUP(C1760,year[],2,FALSE)</f>
        <v>6</v>
      </c>
      <c r="J1760">
        <f>VLOOKUP(E1760,showing[],2,FALSE)</f>
        <v>12</v>
      </c>
      <c r="K1760">
        <f>Сектора[[#This Row],[Значение]]</f>
        <v>3457.5621240122723</v>
      </c>
      <c r="L1760" t="str">
        <f t="shared" si="27"/>
        <v>INSERT INTO msfo.statements (id_company, id_year, id_showing, value) VALUES (14,6,12,3457,56212401227);</v>
      </c>
    </row>
    <row r="1761" spans="1:12">
      <c r="A1761" s="28" t="s">
        <v>48</v>
      </c>
      <c r="B1761" s="28" t="s">
        <v>33</v>
      </c>
      <c r="C1761" s="28">
        <v>2017</v>
      </c>
      <c r="D1761" s="28" t="s">
        <v>4</v>
      </c>
      <c r="E1761" s="28" t="s">
        <v>15</v>
      </c>
      <c r="F1761" s="28">
        <v>4681.8934656476886</v>
      </c>
      <c r="H1761">
        <f>VLOOKUP(A1761&amp;B1761,ticker_sector[],2,FALSE)</f>
        <v>14</v>
      </c>
      <c r="I1761">
        <f>VLOOKUP(C1761,year[],2,FALSE)</f>
        <v>7</v>
      </c>
      <c r="J1761">
        <f>VLOOKUP(E1761,showing[],2,FALSE)</f>
        <v>12</v>
      </c>
      <c r="K1761">
        <f>Сектора[[#This Row],[Значение]]</f>
        <v>4681.8934656476886</v>
      </c>
      <c r="L1761" t="str">
        <f t="shared" si="27"/>
        <v>INSERT INTO msfo.statements (id_company, id_year, id_showing, value) VALUES (14,7,12,4681,89346564769);</v>
      </c>
    </row>
    <row r="1762" spans="1:12">
      <c r="A1762" s="28" t="s">
        <v>48</v>
      </c>
      <c r="B1762" s="28" t="s">
        <v>33</v>
      </c>
      <c r="C1762" s="28">
        <v>2010</v>
      </c>
      <c r="D1762" s="28" t="s">
        <v>7</v>
      </c>
      <c r="E1762" s="28" t="s">
        <v>16</v>
      </c>
      <c r="F1762" s="28">
        <v>151561.6237</v>
      </c>
      <c r="H1762">
        <f>VLOOKUP(A1762&amp;B1762,ticker_sector[],2,FALSE)</f>
        <v>14</v>
      </c>
      <c r="I1762">
        <f>VLOOKUP(C1762,year[],2,FALSE)</f>
        <v>0</v>
      </c>
      <c r="J1762">
        <f>VLOOKUP(E1762,showing[],2,FALSE)</f>
        <v>13</v>
      </c>
      <c r="K1762">
        <f>Сектора[[#This Row],[Значение]]</f>
        <v>151561.6237</v>
      </c>
      <c r="L1762" t="str">
        <f t="shared" si="27"/>
        <v>INSERT INTO msfo.statements (id_company, id_year, id_showing, value) VALUES (14,0,13,151561,6237);</v>
      </c>
    </row>
    <row r="1763" spans="1:12">
      <c r="A1763" s="28" t="s">
        <v>48</v>
      </c>
      <c r="B1763" s="28" t="s">
        <v>33</v>
      </c>
      <c r="C1763" s="28">
        <v>2011</v>
      </c>
      <c r="D1763" s="28" t="s">
        <v>7</v>
      </c>
      <c r="E1763" s="28" t="s">
        <v>16</v>
      </c>
      <c r="F1763" s="28">
        <v>243373</v>
      </c>
      <c r="H1763">
        <f>VLOOKUP(A1763&amp;B1763,ticker_sector[],2,FALSE)</f>
        <v>14</v>
      </c>
      <c r="I1763">
        <f>VLOOKUP(C1763,year[],2,FALSE)</f>
        <v>1</v>
      </c>
      <c r="J1763">
        <f>VLOOKUP(E1763,showing[],2,FALSE)</f>
        <v>13</v>
      </c>
      <c r="K1763">
        <f>Сектора[[#This Row],[Значение]]</f>
        <v>243373</v>
      </c>
      <c r="L1763" t="str">
        <f t="shared" si="27"/>
        <v>INSERT INTO msfo.statements (id_company, id_year, id_showing, value) VALUES (14,1,13,243373);</v>
      </c>
    </row>
    <row r="1764" spans="1:12">
      <c r="A1764" s="28" t="s">
        <v>48</v>
      </c>
      <c r="B1764" s="28" t="s">
        <v>33</v>
      </c>
      <c r="C1764" s="28">
        <v>2012</v>
      </c>
      <c r="D1764" s="28" t="s">
        <v>7</v>
      </c>
      <c r="E1764" s="28" t="s">
        <v>16</v>
      </c>
      <c r="F1764" s="28">
        <v>258573</v>
      </c>
      <c r="H1764">
        <f>VLOOKUP(A1764&amp;B1764,ticker_sector[],2,FALSE)</f>
        <v>14</v>
      </c>
      <c r="I1764">
        <f>VLOOKUP(C1764,year[],2,FALSE)</f>
        <v>2</v>
      </c>
      <c r="J1764">
        <f>VLOOKUP(E1764,showing[],2,FALSE)</f>
        <v>13</v>
      </c>
      <c r="K1764">
        <f>Сектора[[#This Row],[Значение]]</f>
        <v>258573</v>
      </c>
      <c r="L1764" t="str">
        <f t="shared" si="27"/>
        <v>INSERT INTO msfo.statements (id_company, id_year, id_showing, value) VALUES (14,2,13,258573);</v>
      </c>
    </row>
    <row r="1765" spans="1:12">
      <c r="A1765" s="28" t="s">
        <v>48</v>
      </c>
      <c r="B1765" s="28" t="s">
        <v>33</v>
      </c>
      <c r="C1765" s="28">
        <v>2013</v>
      </c>
      <c r="D1765" s="28" t="s">
        <v>7</v>
      </c>
      <c r="E1765" s="28" t="s">
        <v>16</v>
      </c>
      <c r="F1765" s="28">
        <v>272931</v>
      </c>
      <c r="H1765">
        <f>VLOOKUP(A1765&amp;B1765,ticker_sector[],2,FALSE)</f>
        <v>14</v>
      </c>
      <c r="I1765">
        <f>VLOOKUP(C1765,year[],2,FALSE)</f>
        <v>3</v>
      </c>
      <c r="J1765">
        <f>VLOOKUP(E1765,showing[],2,FALSE)</f>
        <v>13</v>
      </c>
      <c r="K1765">
        <f>Сектора[[#This Row],[Значение]]</f>
        <v>272931</v>
      </c>
      <c r="L1765" t="str">
        <f t="shared" si="27"/>
        <v>INSERT INTO msfo.statements (id_company, id_year, id_showing, value) VALUES (14,3,13,272931);</v>
      </c>
    </row>
    <row r="1766" spans="1:12">
      <c r="A1766" s="28" t="s">
        <v>48</v>
      </c>
      <c r="B1766" s="28" t="s">
        <v>33</v>
      </c>
      <c r="C1766" s="28">
        <v>2014</v>
      </c>
      <c r="D1766" s="28" t="s">
        <v>7</v>
      </c>
      <c r="E1766" s="28" t="s">
        <v>16</v>
      </c>
      <c r="F1766" s="28">
        <v>293380</v>
      </c>
      <c r="H1766">
        <f>VLOOKUP(A1766&amp;B1766,ticker_sector[],2,FALSE)</f>
        <v>14</v>
      </c>
      <c r="I1766">
        <f>VLOOKUP(C1766,year[],2,FALSE)</f>
        <v>4</v>
      </c>
      <c r="J1766">
        <f>VLOOKUP(E1766,showing[],2,FALSE)</f>
        <v>13</v>
      </c>
      <c r="K1766">
        <f>Сектора[[#This Row],[Значение]]</f>
        <v>293380</v>
      </c>
      <c r="L1766" t="str">
        <f t="shared" si="27"/>
        <v>INSERT INTO msfo.statements (id_company, id_year, id_showing, value) VALUES (14,4,13,293380);</v>
      </c>
    </row>
    <row r="1767" spans="1:12">
      <c r="A1767" s="28" t="s">
        <v>48</v>
      </c>
      <c r="B1767" s="28" t="s">
        <v>33</v>
      </c>
      <c r="C1767" s="28">
        <v>2015</v>
      </c>
      <c r="D1767" s="28" t="s">
        <v>7</v>
      </c>
      <c r="E1767" s="28" t="s">
        <v>16</v>
      </c>
      <c r="F1767" s="28">
        <v>274817</v>
      </c>
      <c r="H1767">
        <f>VLOOKUP(A1767&amp;B1767,ticker_sector[],2,FALSE)</f>
        <v>14</v>
      </c>
      <c r="I1767">
        <f>VLOOKUP(C1767,year[],2,FALSE)</f>
        <v>5</v>
      </c>
      <c r="J1767">
        <f>VLOOKUP(E1767,showing[],2,FALSE)</f>
        <v>13</v>
      </c>
      <c r="K1767">
        <f>Сектора[[#This Row],[Значение]]</f>
        <v>274817</v>
      </c>
      <c r="L1767" t="str">
        <f t="shared" si="27"/>
        <v>INSERT INTO msfo.statements (id_company, id_year, id_showing, value) VALUES (14,5,13,274817);</v>
      </c>
    </row>
    <row r="1768" spans="1:12">
      <c r="A1768" s="28" t="s">
        <v>48</v>
      </c>
      <c r="B1768" s="28" t="s">
        <v>33</v>
      </c>
      <c r="C1768" s="28">
        <v>2016</v>
      </c>
      <c r="D1768" s="28" t="s">
        <v>7</v>
      </c>
      <c r="E1768" s="28" t="s">
        <v>16</v>
      </c>
      <c r="F1768" s="28">
        <v>310465</v>
      </c>
      <c r="H1768">
        <f>VLOOKUP(A1768&amp;B1768,ticker_sector[],2,FALSE)</f>
        <v>14</v>
      </c>
      <c r="I1768">
        <f>VLOOKUP(C1768,year[],2,FALSE)</f>
        <v>6</v>
      </c>
      <c r="J1768">
        <f>VLOOKUP(E1768,showing[],2,FALSE)</f>
        <v>13</v>
      </c>
      <c r="K1768">
        <f>Сектора[[#This Row],[Значение]]</f>
        <v>310465</v>
      </c>
      <c r="L1768" t="str">
        <f t="shared" si="27"/>
        <v>INSERT INTO msfo.statements (id_company, id_year, id_showing, value) VALUES (14,6,13,310465);</v>
      </c>
    </row>
    <row r="1769" spans="1:12">
      <c r="A1769" s="28" t="s">
        <v>48</v>
      </c>
      <c r="B1769" s="28" t="s">
        <v>33</v>
      </c>
      <c r="C1769" s="28">
        <v>2017</v>
      </c>
      <c r="D1769" s="28" t="s">
        <v>7</v>
      </c>
      <c r="E1769" s="28" t="s">
        <v>16</v>
      </c>
      <c r="F1769" s="28">
        <v>378040</v>
      </c>
      <c r="H1769">
        <f>VLOOKUP(A1769&amp;B1769,ticker_sector[],2,FALSE)</f>
        <v>14</v>
      </c>
      <c r="I1769">
        <f>VLOOKUP(C1769,year[],2,FALSE)</f>
        <v>7</v>
      </c>
      <c r="J1769">
        <f>VLOOKUP(E1769,showing[],2,FALSE)</f>
        <v>13</v>
      </c>
      <c r="K1769">
        <f>Сектора[[#This Row],[Значение]]</f>
        <v>378040</v>
      </c>
      <c r="L1769" t="str">
        <f t="shared" si="27"/>
        <v>INSERT INTO msfo.statements (id_company, id_year, id_showing, value) VALUES (14,7,13,378040);</v>
      </c>
    </row>
    <row r="1770" spans="1:12">
      <c r="A1770" s="28" t="s">
        <v>48</v>
      </c>
      <c r="B1770" s="28" t="s">
        <v>33</v>
      </c>
      <c r="C1770" s="28">
        <v>2010</v>
      </c>
      <c r="D1770" s="28" t="s">
        <v>7</v>
      </c>
      <c r="E1770" s="28" t="s">
        <v>17</v>
      </c>
      <c r="F1770" s="28">
        <v>4973</v>
      </c>
      <c r="H1770">
        <f>VLOOKUP(A1770&amp;B1770,ticker_sector[],2,FALSE)</f>
        <v>14</v>
      </c>
      <c r="I1770">
        <f>VLOOKUP(C1770,year[],2,FALSE)</f>
        <v>0</v>
      </c>
      <c r="J1770">
        <f>VLOOKUP(E1770,showing[],2,FALSE)</f>
        <v>14</v>
      </c>
      <c r="K1770">
        <f>Сектора[[#This Row],[Значение]]</f>
        <v>4973</v>
      </c>
      <c r="L1770" t="str">
        <f t="shared" si="27"/>
        <v>INSERT INTO msfo.statements (id_company, id_year, id_showing, value) VALUES (14,0,14,4973);</v>
      </c>
    </row>
    <row r="1771" spans="1:12">
      <c r="A1771" s="28" t="s">
        <v>48</v>
      </c>
      <c r="B1771" s="28" t="s">
        <v>33</v>
      </c>
      <c r="C1771" s="28">
        <v>2011</v>
      </c>
      <c r="D1771" s="28" t="s">
        <v>7</v>
      </c>
      <c r="E1771" s="28" t="s">
        <v>17</v>
      </c>
      <c r="F1771" s="28">
        <v>7559.0832430014816</v>
      </c>
      <c r="H1771">
        <f>VLOOKUP(A1771&amp;B1771,ticker_sector[],2,FALSE)</f>
        <v>14</v>
      </c>
      <c r="I1771">
        <f>VLOOKUP(C1771,year[],2,FALSE)</f>
        <v>1</v>
      </c>
      <c r="J1771">
        <f>VLOOKUP(E1771,showing[],2,FALSE)</f>
        <v>14</v>
      </c>
      <c r="K1771">
        <f>Сектора[[#This Row],[Значение]]</f>
        <v>7559.0832430014816</v>
      </c>
      <c r="L1771" t="str">
        <f t="shared" si="27"/>
        <v>INSERT INTO msfo.statements (id_company, id_year, id_showing, value) VALUES (14,1,14,7559,08324300148);</v>
      </c>
    </row>
    <row r="1772" spans="1:12">
      <c r="A1772" s="28" t="s">
        <v>48</v>
      </c>
      <c r="B1772" s="28" t="s">
        <v>33</v>
      </c>
      <c r="C1772" s="28">
        <v>2012</v>
      </c>
      <c r="D1772" s="28" t="s">
        <v>7</v>
      </c>
      <c r="E1772" s="28" t="s">
        <v>17</v>
      </c>
      <c r="F1772" s="28">
        <v>8513.3359892271692</v>
      </c>
      <c r="H1772">
        <f>VLOOKUP(A1772&amp;B1772,ticker_sector[],2,FALSE)</f>
        <v>14</v>
      </c>
      <c r="I1772">
        <f>VLOOKUP(C1772,year[],2,FALSE)</f>
        <v>2</v>
      </c>
      <c r="J1772">
        <f>VLOOKUP(E1772,showing[],2,FALSE)</f>
        <v>14</v>
      </c>
      <c r="K1772">
        <f>Сектора[[#This Row],[Значение]]</f>
        <v>8513.3359892271692</v>
      </c>
      <c r="L1772" t="str">
        <f t="shared" si="27"/>
        <v>INSERT INTO msfo.statements (id_company, id_year, id_showing, value) VALUES (14,2,14,8513,33598922717);</v>
      </c>
    </row>
    <row r="1773" spans="1:12">
      <c r="A1773" s="28" t="s">
        <v>48</v>
      </c>
      <c r="B1773" s="28" t="s">
        <v>33</v>
      </c>
      <c r="C1773" s="28">
        <v>2013</v>
      </c>
      <c r="D1773" s="28" t="s">
        <v>7</v>
      </c>
      <c r="E1773" s="28" t="s">
        <v>17</v>
      </c>
      <c r="F1773" s="28">
        <v>8339.0672549283208</v>
      </c>
      <c r="H1773">
        <f>VLOOKUP(A1773&amp;B1773,ticker_sector[],2,FALSE)</f>
        <v>14</v>
      </c>
      <c r="I1773">
        <f>VLOOKUP(C1773,year[],2,FALSE)</f>
        <v>3</v>
      </c>
      <c r="J1773">
        <f>VLOOKUP(E1773,showing[],2,FALSE)</f>
        <v>14</v>
      </c>
      <c r="K1773">
        <f>Сектора[[#This Row],[Значение]]</f>
        <v>8339.0672549283208</v>
      </c>
      <c r="L1773" t="str">
        <f t="shared" si="27"/>
        <v>INSERT INTO msfo.statements (id_company, id_year, id_showing, value) VALUES (14,3,14,8339,06725492832);</v>
      </c>
    </row>
    <row r="1774" spans="1:12">
      <c r="A1774" s="28" t="s">
        <v>48</v>
      </c>
      <c r="B1774" s="28" t="s">
        <v>33</v>
      </c>
      <c r="C1774" s="28">
        <v>2014</v>
      </c>
      <c r="D1774" s="28" t="s">
        <v>7</v>
      </c>
      <c r="E1774" s="28" t="s">
        <v>17</v>
      </c>
      <c r="F1774" s="28">
        <v>5214.8656911678963</v>
      </c>
      <c r="H1774">
        <f>VLOOKUP(A1774&amp;B1774,ticker_sector[],2,FALSE)</f>
        <v>14</v>
      </c>
      <c r="I1774">
        <f>VLOOKUP(C1774,year[],2,FALSE)</f>
        <v>4</v>
      </c>
      <c r="J1774">
        <f>VLOOKUP(E1774,showing[],2,FALSE)</f>
        <v>14</v>
      </c>
      <c r="K1774">
        <f>Сектора[[#This Row],[Значение]]</f>
        <v>5214.8656911678963</v>
      </c>
      <c r="L1774" t="str">
        <f t="shared" si="27"/>
        <v>INSERT INTO msfo.statements (id_company, id_year, id_showing, value) VALUES (14,4,14,5214,8656911679);</v>
      </c>
    </row>
    <row r="1775" spans="1:12">
      <c r="A1775" s="28" t="s">
        <v>48</v>
      </c>
      <c r="B1775" s="28" t="s">
        <v>33</v>
      </c>
      <c r="C1775" s="28">
        <v>2015</v>
      </c>
      <c r="D1775" s="28" t="s">
        <v>7</v>
      </c>
      <c r="E1775" s="28" t="s">
        <v>17</v>
      </c>
      <c r="F1775" s="28">
        <v>3770.67534545235</v>
      </c>
      <c r="H1775">
        <f>VLOOKUP(A1775&amp;B1775,ticker_sector[],2,FALSE)</f>
        <v>14</v>
      </c>
      <c r="I1775">
        <f>VLOOKUP(C1775,year[],2,FALSE)</f>
        <v>5</v>
      </c>
      <c r="J1775">
        <f>VLOOKUP(E1775,showing[],2,FALSE)</f>
        <v>14</v>
      </c>
      <c r="K1775">
        <f>Сектора[[#This Row],[Значение]]</f>
        <v>3770.67534545235</v>
      </c>
      <c r="L1775" t="str">
        <f t="shared" si="27"/>
        <v>INSERT INTO msfo.statements (id_company, id_year, id_showing, value) VALUES (14,5,14,3770,67534545235);</v>
      </c>
    </row>
    <row r="1776" spans="1:12">
      <c r="A1776" s="28" t="s">
        <v>48</v>
      </c>
      <c r="B1776" s="28" t="s">
        <v>33</v>
      </c>
      <c r="C1776" s="28">
        <v>2016</v>
      </c>
      <c r="D1776" s="28" t="s">
        <v>7</v>
      </c>
      <c r="E1776" s="28" t="s">
        <v>17</v>
      </c>
      <c r="F1776" s="28">
        <v>5118.3789478196213</v>
      </c>
      <c r="H1776">
        <f>VLOOKUP(A1776&amp;B1776,ticker_sector[],2,FALSE)</f>
        <v>14</v>
      </c>
      <c r="I1776">
        <f>VLOOKUP(C1776,year[],2,FALSE)</f>
        <v>6</v>
      </c>
      <c r="J1776">
        <f>VLOOKUP(E1776,showing[],2,FALSE)</f>
        <v>14</v>
      </c>
      <c r="K1776">
        <f>Сектора[[#This Row],[Значение]]</f>
        <v>5118.3789478196213</v>
      </c>
      <c r="L1776" t="str">
        <f t="shared" si="27"/>
        <v>INSERT INTO msfo.statements (id_company, id_year, id_showing, value) VALUES (14,6,14,5118,37894781962);</v>
      </c>
    </row>
    <row r="1777" spans="1:12">
      <c r="A1777" s="28" t="s">
        <v>48</v>
      </c>
      <c r="B1777" s="28" t="s">
        <v>33</v>
      </c>
      <c r="C1777" s="28">
        <v>2017</v>
      </c>
      <c r="D1777" s="28" t="s">
        <v>7</v>
      </c>
      <c r="E1777" s="28" t="s">
        <v>17</v>
      </c>
      <c r="F1777" s="28">
        <v>6563.1716556539732</v>
      </c>
      <c r="H1777">
        <f>VLOOKUP(A1777&amp;B1777,ticker_sector[],2,FALSE)</f>
        <v>14</v>
      </c>
      <c r="I1777">
        <f>VLOOKUP(C1777,year[],2,FALSE)</f>
        <v>7</v>
      </c>
      <c r="J1777">
        <f>VLOOKUP(E1777,showing[],2,FALSE)</f>
        <v>14</v>
      </c>
      <c r="K1777">
        <f>Сектора[[#This Row],[Значение]]</f>
        <v>6563.1716556539732</v>
      </c>
      <c r="L1777" t="str">
        <f t="shared" si="27"/>
        <v>INSERT INTO msfo.statements (id_company, id_year, id_showing, value) VALUES (14,7,14,6563,17165565397);</v>
      </c>
    </row>
    <row r="1778" spans="1:12">
      <c r="A1778" s="28" t="s">
        <v>48</v>
      </c>
      <c r="B1778" s="28" t="s">
        <v>33</v>
      </c>
      <c r="C1778" s="28">
        <v>2010</v>
      </c>
      <c r="D1778" s="28" t="s">
        <v>20</v>
      </c>
      <c r="E1778" s="28" t="s">
        <v>18</v>
      </c>
      <c r="F1778" s="28">
        <v>4718</v>
      </c>
      <c r="H1778">
        <f>VLOOKUP(A1778&amp;B1778,ticker_sector[],2,FALSE)</f>
        <v>14</v>
      </c>
      <c r="I1778">
        <f>VLOOKUP(C1778,year[],2,FALSE)</f>
        <v>0</v>
      </c>
      <c r="J1778">
        <f>VLOOKUP(E1778,showing[],2,FALSE)</f>
        <v>15</v>
      </c>
      <c r="K1778">
        <f>Сектора[[#This Row],[Значение]]</f>
        <v>4718</v>
      </c>
      <c r="L1778" t="str">
        <f t="shared" si="27"/>
        <v>INSERT INTO msfo.statements (id_company, id_year, id_showing, value) VALUES (14,0,15,4718);</v>
      </c>
    </row>
    <row r="1779" spans="1:12">
      <c r="A1779" s="28" t="s">
        <v>48</v>
      </c>
      <c r="B1779" s="28" t="s">
        <v>33</v>
      </c>
      <c r="C1779" s="28">
        <v>2011</v>
      </c>
      <c r="D1779" s="28" t="s">
        <v>20</v>
      </c>
      <c r="E1779" s="28" t="s">
        <v>18</v>
      </c>
      <c r="F1779" s="28">
        <v>4718</v>
      </c>
      <c r="H1779">
        <f>VLOOKUP(A1779&amp;B1779,ticker_sector[],2,FALSE)</f>
        <v>14</v>
      </c>
      <c r="I1779">
        <f>VLOOKUP(C1779,year[],2,FALSE)</f>
        <v>1</v>
      </c>
      <c r="J1779">
        <f>VLOOKUP(E1779,showing[],2,FALSE)</f>
        <v>15</v>
      </c>
      <c r="K1779">
        <f>Сектора[[#This Row],[Значение]]</f>
        <v>4718</v>
      </c>
      <c r="L1779" t="str">
        <f t="shared" si="27"/>
        <v>INSERT INTO msfo.statements (id_company, id_year, id_showing, value) VALUES (14,1,15,4718);</v>
      </c>
    </row>
    <row r="1780" spans="1:12">
      <c r="A1780" s="28" t="s">
        <v>48</v>
      </c>
      <c r="B1780" s="28" t="s">
        <v>33</v>
      </c>
      <c r="C1780" s="28">
        <v>2012</v>
      </c>
      <c r="D1780" s="28" t="s">
        <v>20</v>
      </c>
      <c r="E1780" s="28" t="s">
        <v>18</v>
      </c>
      <c r="F1780" s="28">
        <v>4718</v>
      </c>
      <c r="H1780">
        <f>VLOOKUP(A1780&amp;B1780,ticker_sector[],2,FALSE)</f>
        <v>14</v>
      </c>
      <c r="I1780">
        <f>VLOOKUP(C1780,year[],2,FALSE)</f>
        <v>2</v>
      </c>
      <c r="J1780">
        <f>VLOOKUP(E1780,showing[],2,FALSE)</f>
        <v>15</v>
      </c>
      <c r="K1780">
        <f>Сектора[[#This Row],[Значение]]</f>
        <v>4718</v>
      </c>
      <c r="L1780" t="str">
        <f t="shared" si="27"/>
        <v>INSERT INTO msfo.statements (id_company, id_year, id_showing, value) VALUES (14,2,15,4718);</v>
      </c>
    </row>
    <row r="1781" spans="1:12">
      <c r="A1781" s="28" t="s">
        <v>48</v>
      </c>
      <c r="B1781" s="28" t="s">
        <v>33</v>
      </c>
      <c r="C1781" s="28">
        <v>2013</v>
      </c>
      <c r="D1781" s="28" t="s">
        <v>20</v>
      </c>
      <c r="E1781" s="28" t="s">
        <v>18</v>
      </c>
      <c r="F1781" s="28">
        <v>4718</v>
      </c>
      <c r="H1781">
        <f>VLOOKUP(A1781&amp;B1781,ticker_sector[],2,FALSE)</f>
        <v>14</v>
      </c>
      <c r="I1781">
        <f>VLOOKUP(C1781,year[],2,FALSE)</f>
        <v>3</v>
      </c>
      <c r="J1781">
        <f>VLOOKUP(E1781,showing[],2,FALSE)</f>
        <v>15</v>
      </c>
      <c r="K1781">
        <f>Сектора[[#This Row],[Значение]]</f>
        <v>4718</v>
      </c>
      <c r="L1781" t="str">
        <f t="shared" si="27"/>
        <v>INSERT INTO msfo.statements (id_company, id_year, id_showing, value) VALUES (14,3,15,4718);</v>
      </c>
    </row>
    <row r="1782" spans="1:12">
      <c r="A1782" s="28" t="s">
        <v>48</v>
      </c>
      <c r="B1782" s="28" t="s">
        <v>33</v>
      </c>
      <c r="C1782" s="28">
        <v>2014</v>
      </c>
      <c r="D1782" s="28" t="s">
        <v>20</v>
      </c>
      <c r="E1782" s="28" t="s">
        <v>18</v>
      </c>
      <c r="F1782" s="28">
        <v>4718</v>
      </c>
      <c r="H1782">
        <f>VLOOKUP(A1782&amp;B1782,ticker_sector[],2,FALSE)</f>
        <v>14</v>
      </c>
      <c r="I1782">
        <f>VLOOKUP(C1782,year[],2,FALSE)</f>
        <v>4</v>
      </c>
      <c r="J1782">
        <f>VLOOKUP(E1782,showing[],2,FALSE)</f>
        <v>15</v>
      </c>
      <c r="K1782">
        <f>Сектора[[#This Row],[Значение]]</f>
        <v>4718</v>
      </c>
      <c r="L1782" t="str">
        <f t="shared" si="27"/>
        <v>INSERT INTO msfo.statements (id_company, id_year, id_showing, value) VALUES (14,4,15,4718);</v>
      </c>
    </row>
    <row r="1783" spans="1:12">
      <c r="A1783" s="28" t="s">
        <v>48</v>
      </c>
      <c r="B1783" s="28" t="s">
        <v>33</v>
      </c>
      <c r="C1783" s="28">
        <v>2015</v>
      </c>
      <c r="D1783" s="28" t="s">
        <v>20</v>
      </c>
      <c r="E1783" s="28" t="s">
        <v>18</v>
      </c>
      <c r="F1783" s="28">
        <v>4718</v>
      </c>
      <c r="H1783">
        <f>VLOOKUP(A1783&amp;B1783,ticker_sector[],2,FALSE)</f>
        <v>14</v>
      </c>
      <c r="I1783">
        <f>VLOOKUP(C1783,year[],2,FALSE)</f>
        <v>5</v>
      </c>
      <c r="J1783">
        <f>VLOOKUP(E1783,showing[],2,FALSE)</f>
        <v>15</v>
      </c>
      <c r="K1783">
        <f>Сектора[[#This Row],[Значение]]</f>
        <v>4718</v>
      </c>
      <c r="L1783" t="str">
        <f t="shared" si="27"/>
        <v>INSERT INTO msfo.statements (id_company, id_year, id_showing, value) VALUES (14,5,15,4718);</v>
      </c>
    </row>
    <row r="1784" spans="1:12">
      <c r="A1784" s="28" t="s">
        <v>48</v>
      </c>
      <c r="B1784" s="28" t="s">
        <v>33</v>
      </c>
      <c r="C1784" s="28">
        <v>2016</v>
      </c>
      <c r="D1784" s="28" t="s">
        <v>20</v>
      </c>
      <c r="E1784" s="28" t="s">
        <v>18</v>
      </c>
      <c r="F1784" s="28">
        <v>4718</v>
      </c>
      <c r="H1784">
        <f>VLOOKUP(A1784&amp;B1784,ticker_sector[],2,FALSE)</f>
        <v>14</v>
      </c>
      <c r="I1784">
        <f>VLOOKUP(C1784,year[],2,FALSE)</f>
        <v>6</v>
      </c>
      <c r="J1784">
        <f>VLOOKUP(E1784,showing[],2,FALSE)</f>
        <v>15</v>
      </c>
      <c r="K1784">
        <f>Сектора[[#This Row],[Значение]]</f>
        <v>4718</v>
      </c>
      <c r="L1784" t="str">
        <f t="shared" si="27"/>
        <v>INSERT INTO msfo.statements (id_company, id_year, id_showing, value) VALUES (14,6,15,4718);</v>
      </c>
    </row>
    <row r="1785" spans="1:12">
      <c r="A1785" s="28" t="s">
        <v>48</v>
      </c>
      <c r="B1785" s="28" t="s">
        <v>33</v>
      </c>
      <c r="C1785" s="28">
        <v>2017</v>
      </c>
      <c r="D1785" s="28" t="s">
        <v>20</v>
      </c>
      <c r="E1785" s="28" t="s">
        <v>18</v>
      </c>
      <c r="F1785" s="28">
        <v>4718</v>
      </c>
      <c r="H1785">
        <f>VLOOKUP(A1785&amp;B1785,ticker_sector[],2,FALSE)</f>
        <v>14</v>
      </c>
      <c r="I1785">
        <f>VLOOKUP(C1785,year[],2,FALSE)</f>
        <v>7</v>
      </c>
      <c r="J1785">
        <f>VLOOKUP(E1785,showing[],2,FALSE)</f>
        <v>15</v>
      </c>
      <c r="K1785">
        <f>Сектора[[#This Row],[Значение]]</f>
        <v>4718</v>
      </c>
      <c r="L1785" t="str">
        <f t="shared" si="27"/>
        <v>INSERT INTO msfo.statements (id_company, id_year, id_showing, value) VALUES (14,7,15,4718);</v>
      </c>
    </row>
    <row r="1786" spans="1:12">
      <c r="A1786" s="28" t="s">
        <v>48</v>
      </c>
      <c r="B1786" s="28" t="s">
        <v>33</v>
      </c>
      <c r="C1786" s="28">
        <v>2010</v>
      </c>
      <c r="D1786" s="28" t="s">
        <v>20</v>
      </c>
      <c r="E1786" s="28" t="s">
        <v>19</v>
      </c>
      <c r="F1786" s="28">
        <v>128</v>
      </c>
      <c r="H1786">
        <f>VLOOKUP(A1786&amp;B1786,ticker_sector[],2,FALSE)</f>
        <v>14</v>
      </c>
      <c r="I1786">
        <f>VLOOKUP(C1786,year[],2,FALSE)</f>
        <v>0</v>
      </c>
      <c r="J1786">
        <f>VLOOKUP(E1786,showing[],2,FALSE)</f>
        <v>16</v>
      </c>
      <c r="K1786">
        <f>Сектора[[#This Row],[Значение]]</f>
        <v>128</v>
      </c>
      <c r="L1786" t="str">
        <f t="shared" si="27"/>
        <v>INSERT INTO msfo.statements (id_company, id_year, id_showing, value) VALUES (14,0,16,128);</v>
      </c>
    </row>
    <row r="1787" spans="1:12">
      <c r="A1787" s="28" t="s">
        <v>48</v>
      </c>
      <c r="B1787" s="28" t="s">
        <v>33</v>
      </c>
      <c r="C1787" s="28">
        <v>2011</v>
      </c>
      <c r="D1787" s="28" t="s">
        <v>20</v>
      </c>
      <c r="E1787" s="28" t="s">
        <v>19</v>
      </c>
      <c r="F1787" s="28">
        <v>147.9</v>
      </c>
      <c r="H1787">
        <f>VLOOKUP(A1787&amp;B1787,ticker_sector[],2,FALSE)</f>
        <v>14</v>
      </c>
      <c r="I1787">
        <f>VLOOKUP(C1787,year[],2,FALSE)</f>
        <v>1</v>
      </c>
      <c r="J1787">
        <f>VLOOKUP(E1787,showing[],2,FALSE)</f>
        <v>16</v>
      </c>
      <c r="K1787">
        <f>Сектора[[#This Row],[Значение]]</f>
        <v>147.9</v>
      </c>
      <c r="L1787" t="str">
        <f t="shared" si="27"/>
        <v>INSERT INTO msfo.statements (id_company, id_year, id_showing, value) VALUES (14,1,16,147,9);</v>
      </c>
    </row>
    <row r="1788" spans="1:12">
      <c r="A1788" s="28" t="s">
        <v>48</v>
      </c>
      <c r="B1788" s="28" t="s">
        <v>33</v>
      </c>
      <c r="C1788" s="28">
        <v>2012</v>
      </c>
      <c r="D1788" s="28" t="s">
        <v>20</v>
      </c>
      <c r="E1788" s="28" t="s">
        <v>19</v>
      </c>
      <c r="F1788" s="28">
        <v>142.5</v>
      </c>
      <c r="H1788">
        <f>VLOOKUP(A1788&amp;B1788,ticker_sector[],2,FALSE)</f>
        <v>14</v>
      </c>
      <c r="I1788">
        <f>VLOOKUP(C1788,year[],2,FALSE)</f>
        <v>2</v>
      </c>
      <c r="J1788">
        <f>VLOOKUP(E1788,showing[],2,FALSE)</f>
        <v>16</v>
      </c>
      <c r="K1788">
        <f>Сектора[[#This Row],[Значение]]</f>
        <v>142.5</v>
      </c>
      <c r="L1788" t="str">
        <f t="shared" si="27"/>
        <v>INSERT INTO msfo.statements (id_company, id_year, id_showing, value) VALUES (14,2,16,142,5);</v>
      </c>
    </row>
    <row r="1789" spans="1:12">
      <c r="A1789" s="28" t="s">
        <v>48</v>
      </c>
      <c r="B1789" s="28" t="s">
        <v>33</v>
      </c>
      <c r="C1789" s="28">
        <v>2013</v>
      </c>
      <c r="D1789" s="28" t="s">
        <v>20</v>
      </c>
      <c r="E1789" s="28" t="s">
        <v>19</v>
      </c>
      <c r="F1789" s="28">
        <v>146.80000000000001</v>
      </c>
      <c r="H1789">
        <f>VLOOKUP(A1789&amp;B1789,ticker_sector[],2,FALSE)</f>
        <v>14</v>
      </c>
      <c r="I1789">
        <f>VLOOKUP(C1789,year[],2,FALSE)</f>
        <v>3</v>
      </c>
      <c r="J1789">
        <f>VLOOKUP(E1789,showing[],2,FALSE)</f>
        <v>16</v>
      </c>
      <c r="K1789">
        <f>Сектора[[#This Row],[Значение]]</f>
        <v>146.80000000000001</v>
      </c>
      <c r="L1789" t="str">
        <f t="shared" si="27"/>
        <v>INSERT INTO msfo.statements (id_company, id_year, id_showing, value) VALUES (14,3,16,146,8);</v>
      </c>
    </row>
    <row r="1790" spans="1:12">
      <c r="A1790" s="28" t="s">
        <v>48</v>
      </c>
      <c r="B1790" s="28" t="s">
        <v>33</v>
      </c>
      <c r="C1790" s="28">
        <v>2014</v>
      </c>
      <c r="D1790" s="28" t="s">
        <v>20</v>
      </c>
      <c r="E1790" s="28" t="s">
        <v>19</v>
      </c>
      <c r="F1790" s="28">
        <v>143</v>
      </c>
      <c r="H1790">
        <f>VLOOKUP(A1790&amp;B1790,ticker_sector[],2,FALSE)</f>
        <v>14</v>
      </c>
      <c r="I1790">
        <f>VLOOKUP(C1790,year[],2,FALSE)</f>
        <v>4</v>
      </c>
      <c r="J1790">
        <f>VLOOKUP(E1790,showing[],2,FALSE)</f>
        <v>16</v>
      </c>
      <c r="K1790">
        <f>Сектора[[#This Row],[Значение]]</f>
        <v>143</v>
      </c>
      <c r="L1790" t="str">
        <f t="shared" si="27"/>
        <v>INSERT INTO msfo.statements (id_company, id_year, id_showing, value) VALUES (14,4,16,143);</v>
      </c>
    </row>
    <row r="1791" spans="1:12">
      <c r="A1791" s="28" t="s">
        <v>48</v>
      </c>
      <c r="B1791" s="28" t="s">
        <v>33</v>
      </c>
      <c r="C1791" s="28">
        <v>2015</v>
      </c>
      <c r="D1791" s="28" t="s">
        <v>20</v>
      </c>
      <c r="E1791" s="28" t="s">
        <v>19</v>
      </c>
      <c r="F1791" s="28">
        <v>154</v>
      </c>
      <c r="H1791">
        <f>VLOOKUP(A1791&amp;B1791,ticker_sector[],2,FALSE)</f>
        <v>14</v>
      </c>
      <c r="I1791">
        <f>VLOOKUP(C1791,year[],2,FALSE)</f>
        <v>5</v>
      </c>
      <c r="J1791">
        <f>VLOOKUP(E1791,showing[],2,FALSE)</f>
        <v>16</v>
      </c>
      <c r="K1791">
        <f>Сектора[[#This Row],[Значение]]</f>
        <v>154</v>
      </c>
      <c r="L1791" t="str">
        <f t="shared" si="27"/>
        <v>INSERT INTO msfo.statements (id_company, id_year, id_showing, value) VALUES (14,5,16,154);</v>
      </c>
    </row>
    <row r="1792" spans="1:12">
      <c r="A1792" s="28" t="s">
        <v>48</v>
      </c>
      <c r="B1792" s="28" t="s">
        <v>33</v>
      </c>
      <c r="C1792" s="28">
        <v>2016</v>
      </c>
      <c r="D1792" s="28" t="s">
        <v>20</v>
      </c>
      <c r="E1792" s="28" t="s">
        <v>19</v>
      </c>
      <c r="F1792" s="28">
        <v>214</v>
      </c>
      <c r="H1792">
        <f>VLOOKUP(A1792&amp;B1792,ticker_sector[],2,FALSE)</f>
        <v>14</v>
      </c>
      <c r="I1792">
        <f>VLOOKUP(C1792,year[],2,FALSE)</f>
        <v>6</v>
      </c>
      <c r="J1792">
        <f>VLOOKUP(E1792,showing[],2,FALSE)</f>
        <v>16</v>
      </c>
      <c r="K1792">
        <f>Сектора[[#This Row],[Значение]]</f>
        <v>214</v>
      </c>
      <c r="L1792" t="str">
        <f t="shared" si="27"/>
        <v>INSERT INTO msfo.statements (id_company, id_year, id_showing, value) VALUES (14,6,16,214);</v>
      </c>
    </row>
    <row r="1793" spans="1:12">
      <c r="A1793" s="28" t="s">
        <v>48</v>
      </c>
      <c r="B1793" s="28" t="s">
        <v>33</v>
      </c>
      <c r="C1793" s="28">
        <v>2017</v>
      </c>
      <c r="D1793" s="28" t="s">
        <v>20</v>
      </c>
      <c r="E1793" s="28" t="s">
        <v>19</v>
      </c>
      <c r="F1793" s="28">
        <v>244.1</v>
      </c>
      <c r="H1793">
        <f>VLOOKUP(A1793&amp;B1793,ticker_sector[],2,FALSE)</f>
        <v>14</v>
      </c>
      <c r="I1793">
        <f>VLOOKUP(C1793,year[],2,FALSE)</f>
        <v>7</v>
      </c>
      <c r="J1793">
        <f>VLOOKUP(E1793,showing[],2,FALSE)</f>
        <v>16</v>
      </c>
      <c r="K1793">
        <f>Сектора[[#This Row],[Значение]]</f>
        <v>244.1</v>
      </c>
      <c r="L1793" t="str">
        <f t="shared" si="27"/>
        <v>INSERT INTO msfo.statements (id_company, id_year, id_showing, value) VALUES (14,7,16,244,1);</v>
      </c>
    </row>
    <row r="1794" spans="1:12">
      <c r="A1794" s="28" t="s">
        <v>49</v>
      </c>
      <c r="B1794" s="28" t="s">
        <v>34</v>
      </c>
      <c r="C1794" s="28">
        <v>2010</v>
      </c>
      <c r="D1794" s="28" t="s">
        <v>1</v>
      </c>
      <c r="E1794" s="28" t="s">
        <v>2</v>
      </c>
      <c r="F1794" s="28">
        <v>18733.671999999999</v>
      </c>
      <c r="H1794">
        <f>VLOOKUP(A1794&amp;B1794,ticker_sector[],2,FALSE)</f>
        <v>15</v>
      </c>
      <c r="I1794">
        <f>VLOOKUP(C1794,year[],2,FALSE)</f>
        <v>0</v>
      </c>
      <c r="J1794">
        <f>VLOOKUP(E1794,showing[],2,FALSE)</f>
        <v>1</v>
      </c>
      <c r="K1794">
        <f>Сектора[[#This Row],[Значение]]</f>
        <v>18733.671999999999</v>
      </c>
      <c r="L1794" t="str">
        <f t="shared" si="27"/>
        <v>INSERT INTO msfo.statements (id_company, id_year, id_showing, value) VALUES (15,0,1,18733,672);</v>
      </c>
    </row>
    <row r="1795" spans="1:12">
      <c r="A1795" s="28" t="s">
        <v>49</v>
      </c>
      <c r="B1795" s="28" t="s">
        <v>34</v>
      </c>
      <c r="C1795" s="28">
        <v>2011</v>
      </c>
      <c r="D1795" s="28" t="s">
        <v>1</v>
      </c>
      <c r="E1795" s="28" t="s">
        <v>2</v>
      </c>
      <c r="F1795" s="28">
        <v>20811.675999999999</v>
      </c>
      <c r="H1795">
        <f>VLOOKUP(A1795&amp;B1795,ticker_sector[],2,FALSE)</f>
        <v>15</v>
      </c>
      <c r="I1795">
        <f>VLOOKUP(C1795,year[],2,FALSE)</f>
        <v>1</v>
      </c>
      <c r="J1795">
        <f>VLOOKUP(E1795,showing[],2,FALSE)</f>
        <v>1</v>
      </c>
      <c r="K1795">
        <f>Сектора[[#This Row],[Значение]]</f>
        <v>20811.675999999999</v>
      </c>
      <c r="L1795" t="str">
        <f t="shared" ref="L1795:L1858" si="28">"INSERT INTO msfo.statements (id_company, id_year, id_showing, value) VALUES ("&amp;H1795&amp; ","&amp;I1795&amp; ","&amp;J1795&amp; ","&amp;K1795&amp;");"</f>
        <v>INSERT INTO msfo.statements (id_company, id_year, id_showing, value) VALUES (15,1,1,20811,676);</v>
      </c>
    </row>
    <row r="1796" spans="1:12">
      <c r="A1796" s="28" t="s">
        <v>49</v>
      </c>
      <c r="B1796" s="28" t="s">
        <v>34</v>
      </c>
      <c r="C1796" s="28">
        <v>2012</v>
      </c>
      <c r="D1796" s="28" t="s">
        <v>1</v>
      </c>
      <c r="E1796" s="28" t="s">
        <v>2</v>
      </c>
      <c r="F1796" s="28">
        <v>34702.771000000001</v>
      </c>
      <c r="H1796">
        <f>VLOOKUP(A1796&amp;B1796,ticker_sector[],2,FALSE)</f>
        <v>15</v>
      </c>
      <c r="I1796">
        <f>VLOOKUP(C1796,year[],2,FALSE)</f>
        <v>2</v>
      </c>
      <c r="J1796">
        <f>VLOOKUP(E1796,showing[],2,FALSE)</f>
        <v>1</v>
      </c>
      <c r="K1796">
        <f>Сектора[[#This Row],[Значение]]</f>
        <v>34702.771000000001</v>
      </c>
      <c r="L1796" t="str">
        <f t="shared" si="28"/>
        <v>INSERT INTO msfo.statements (id_company, id_year, id_showing, value) VALUES (15,2,1,34702,771);</v>
      </c>
    </row>
    <row r="1797" spans="1:12">
      <c r="A1797" s="28" t="s">
        <v>49</v>
      </c>
      <c r="B1797" s="28" t="s">
        <v>34</v>
      </c>
      <c r="C1797" s="28">
        <v>2013</v>
      </c>
      <c r="D1797" s="28" t="s">
        <v>1</v>
      </c>
      <c r="E1797" s="28" t="s">
        <v>2</v>
      </c>
      <c r="F1797" s="28">
        <v>57357.665999999997</v>
      </c>
      <c r="H1797">
        <f>VLOOKUP(A1797&amp;B1797,ticker_sector[],2,FALSE)</f>
        <v>15</v>
      </c>
      <c r="I1797">
        <f>VLOOKUP(C1797,year[],2,FALSE)</f>
        <v>3</v>
      </c>
      <c r="J1797">
        <f>VLOOKUP(E1797,showing[],2,FALSE)</f>
        <v>1</v>
      </c>
      <c r="K1797">
        <f>Сектора[[#This Row],[Значение]]</f>
        <v>57357.665999999997</v>
      </c>
      <c r="L1797" t="str">
        <f t="shared" si="28"/>
        <v>INSERT INTO msfo.statements (id_company, id_year, id_showing, value) VALUES (15,3,1,57357,666);</v>
      </c>
    </row>
    <row r="1798" spans="1:12">
      <c r="A1798" s="28" t="s">
        <v>49</v>
      </c>
      <c r="B1798" s="28" t="s">
        <v>34</v>
      </c>
      <c r="C1798" s="28">
        <v>2014</v>
      </c>
      <c r="D1798" s="28" t="s">
        <v>1</v>
      </c>
      <c r="E1798" s="28" t="s">
        <v>2</v>
      </c>
      <c r="F1798" s="28">
        <v>90905.888999999996</v>
      </c>
      <c r="H1798">
        <f>VLOOKUP(A1798&amp;B1798,ticker_sector[],2,FALSE)</f>
        <v>15</v>
      </c>
      <c r="I1798">
        <f>VLOOKUP(C1798,year[],2,FALSE)</f>
        <v>4</v>
      </c>
      <c r="J1798">
        <f>VLOOKUP(E1798,showing[],2,FALSE)</f>
        <v>1</v>
      </c>
      <c r="K1798">
        <f>Сектора[[#This Row],[Значение]]</f>
        <v>90905.888999999996</v>
      </c>
      <c r="L1798" t="str">
        <f t="shared" si="28"/>
        <v>INSERT INTO msfo.statements (id_company, id_year, id_showing, value) VALUES (15,4,1,90905,889);</v>
      </c>
    </row>
    <row r="1799" spans="1:12">
      <c r="A1799" s="28" t="s">
        <v>49</v>
      </c>
      <c r="B1799" s="28" t="s">
        <v>34</v>
      </c>
      <c r="C1799" s="28">
        <v>2015</v>
      </c>
      <c r="D1799" s="28" t="s">
        <v>1</v>
      </c>
      <c r="E1799" s="28" t="s">
        <v>2</v>
      </c>
      <c r="F1799" s="28">
        <v>115039.724</v>
      </c>
      <c r="H1799">
        <f>VLOOKUP(A1799&amp;B1799,ticker_sector[],2,FALSE)</f>
        <v>15</v>
      </c>
      <c r="I1799">
        <f>VLOOKUP(C1799,year[],2,FALSE)</f>
        <v>5</v>
      </c>
      <c r="J1799">
        <f>VLOOKUP(E1799,showing[],2,FALSE)</f>
        <v>1</v>
      </c>
      <c r="K1799">
        <f>Сектора[[#This Row],[Значение]]</f>
        <v>115039.724</v>
      </c>
      <c r="L1799" t="str">
        <f t="shared" si="28"/>
        <v>INSERT INTO msfo.statements (id_company, id_year, id_showing, value) VALUES (15,5,1,115039,724);</v>
      </c>
    </row>
    <row r="1800" spans="1:12">
      <c r="A1800" s="28" t="s">
        <v>49</v>
      </c>
      <c r="B1800" s="28" t="s">
        <v>34</v>
      </c>
      <c r="C1800" s="28">
        <v>2016</v>
      </c>
      <c r="D1800" s="28" t="s">
        <v>1</v>
      </c>
      <c r="E1800" s="28" t="s">
        <v>2</v>
      </c>
      <c r="F1800" s="28">
        <v>161573.47399999999</v>
      </c>
      <c r="H1800">
        <f>VLOOKUP(A1800&amp;B1800,ticker_sector[],2,FALSE)</f>
        <v>15</v>
      </c>
      <c r="I1800">
        <f>VLOOKUP(C1800,year[],2,FALSE)</f>
        <v>6</v>
      </c>
      <c r="J1800">
        <f>VLOOKUP(E1800,showing[],2,FALSE)</f>
        <v>1</v>
      </c>
      <c r="K1800">
        <f>Сектора[[#This Row],[Значение]]</f>
        <v>161573.47399999999</v>
      </c>
      <c r="L1800" t="str">
        <f t="shared" si="28"/>
        <v>INSERT INTO msfo.statements (id_company, id_year, id_showing, value) VALUES (15,6,1,161573,474);</v>
      </c>
    </row>
    <row r="1801" spans="1:12">
      <c r="A1801" s="28" t="s">
        <v>49</v>
      </c>
      <c r="B1801" s="28" t="s">
        <v>34</v>
      </c>
      <c r="C1801" s="28">
        <v>2017</v>
      </c>
      <c r="D1801" s="28" t="s">
        <v>1</v>
      </c>
      <c r="E1801" s="28" t="s">
        <v>2</v>
      </c>
      <c r="F1801" s="28">
        <v>178245.43299999999</v>
      </c>
      <c r="H1801">
        <f>VLOOKUP(A1801&amp;B1801,ticker_sector[],2,FALSE)</f>
        <v>15</v>
      </c>
      <c r="I1801">
        <f>VLOOKUP(C1801,year[],2,FALSE)</f>
        <v>7</v>
      </c>
      <c r="J1801">
        <f>VLOOKUP(E1801,showing[],2,FALSE)</f>
        <v>1</v>
      </c>
      <c r="K1801">
        <f>Сектора[[#This Row],[Значение]]</f>
        <v>178245.43299999999</v>
      </c>
      <c r="L1801" t="str">
        <f t="shared" si="28"/>
        <v>INSERT INTO msfo.statements (id_company, id_year, id_showing, value) VALUES (15,7,1,178245,433);</v>
      </c>
    </row>
    <row r="1802" spans="1:12">
      <c r="A1802" s="28" t="s">
        <v>49</v>
      </c>
      <c r="B1802" s="28" t="s">
        <v>34</v>
      </c>
      <c r="C1802" s="28">
        <v>2010</v>
      </c>
      <c r="D1802" s="28" t="s">
        <v>1</v>
      </c>
      <c r="E1802" s="28" t="s">
        <v>3</v>
      </c>
      <c r="F1802" s="28">
        <v>11981.357</v>
      </c>
      <c r="H1802">
        <f>VLOOKUP(A1802&amp;B1802,ticker_sector[],2,FALSE)</f>
        <v>15</v>
      </c>
      <c r="I1802">
        <f>VLOOKUP(C1802,year[],2,FALSE)</f>
        <v>0</v>
      </c>
      <c r="J1802">
        <f>VLOOKUP(E1802,showing[],2,FALSE)</f>
        <v>2</v>
      </c>
      <c r="K1802">
        <f>Сектора[[#This Row],[Значение]]</f>
        <v>11981.357</v>
      </c>
      <c r="L1802" t="str">
        <f t="shared" si="28"/>
        <v>INSERT INTO msfo.statements (id_company, id_year, id_showing, value) VALUES (15,0,2,11981,357);</v>
      </c>
    </row>
    <row r="1803" spans="1:12">
      <c r="A1803" s="28" t="s">
        <v>49</v>
      </c>
      <c r="B1803" s="28" t="s">
        <v>34</v>
      </c>
      <c r="C1803" s="28">
        <v>2011</v>
      </c>
      <c r="D1803" s="28" t="s">
        <v>1</v>
      </c>
      <c r="E1803" s="28" t="s">
        <v>3</v>
      </c>
      <c r="F1803" s="28">
        <v>17041.308000000001</v>
      </c>
      <c r="H1803">
        <f>VLOOKUP(A1803&amp;B1803,ticker_sector[],2,FALSE)</f>
        <v>15</v>
      </c>
      <c r="I1803">
        <f>VLOOKUP(C1803,year[],2,FALSE)</f>
        <v>1</v>
      </c>
      <c r="J1803">
        <f>VLOOKUP(E1803,showing[],2,FALSE)</f>
        <v>2</v>
      </c>
      <c r="K1803">
        <f>Сектора[[#This Row],[Значение]]</f>
        <v>17041.308000000001</v>
      </c>
      <c r="L1803" t="str">
        <f t="shared" si="28"/>
        <v>INSERT INTO msfo.statements (id_company, id_year, id_showing, value) VALUES (15,1,2,17041,308);</v>
      </c>
    </row>
    <row r="1804" spans="1:12">
      <c r="A1804" s="28" t="s">
        <v>49</v>
      </c>
      <c r="B1804" s="28" t="s">
        <v>34</v>
      </c>
      <c r="C1804" s="28">
        <v>2012</v>
      </c>
      <c r="D1804" s="28" t="s">
        <v>1</v>
      </c>
      <c r="E1804" s="28" t="s">
        <v>3</v>
      </c>
      <c r="F1804" s="28">
        <v>20339.347000000002</v>
      </c>
      <c r="H1804">
        <f>VLOOKUP(A1804&amp;B1804,ticker_sector[],2,FALSE)</f>
        <v>15</v>
      </c>
      <c r="I1804">
        <f>VLOOKUP(C1804,year[],2,FALSE)</f>
        <v>2</v>
      </c>
      <c r="J1804">
        <f>VLOOKUP(E1804,showing[],2,FALSE)</f>
        <v>2</v>
      </c>
      <c r="K1804">
        <f>Сектора[[#This Row],[Значение]]</f>
        <v>20339.347000000002</v>
      </c>
      <c r="L1804" t="str">
        <f t="shared" si="28"/>
        <v>INSERT INTO msfo.statements (id_company, id_year, id_showing, value) VALUES (15,2,2,20339,347);</v>
      </c>
    </row>
    <row r="1805" spans="1:12">
      <c r="A1805" s="28" t="s">
        <v>49</v>
      </c>
      <c r="B1805" s="28" t="s">
        <v>34</v>
      </c>
      <c r="C1805" s="28">
        <v>2013</v>
      </c>
      <c r="D1805" s="28" t="s">
        <v>1</v>
      </c>
      <c r="E1805" s="28" t="s">
        <v>3</v>
      </c>
      <c r="F1805" s="28">
        <v>30972.255000000001</v>
      </c>
      <c r="H1805">
        <f>VLOOKUP(A1805&amp;B1805,ticker_sector[],2,FALSE)</f>
        <v>15</v>
      </c>
      <c r="I1805">
        <f>VLOOKUP(C1805,year[],2,FALSE)</f>
        <v>3</v>
      </c>
      <c r="J1805">
        <f>VLOOKUP(E1805,showing[],2,FALSE)</f>
        <v>2</v>
      </c>
      <c r="K1805">
        <f>Сектора[[#This Row],[Значение]]</f>
        <v>30972.255000000001</v>
      </c>
      <c r="L1805" t="str">
        <f t="shared" si="28"/>
        <v>INSERT INTO msfo.statements (id_company, id_year, id_showing, value) VALUES (15,3,2,30972,255);</v>
      </c>
    </row>
    <row r="1806" spans="1:12">
      <c r="A1806" s="28" t="s">
        <v>49</v>
      </c>
      <c r="B1806" s="28" t="s">
        <v>34</v>
      </c>
      <c r="C1806" s="28">
        <v>2014</v>
      </c>
      <c r="D1806" s="28" t="s">
        <v>1</v>
      </c>
      <c r="E1806" s="28" t="s">
        <v>3</v>
      </c>
      <c r="F1806" s="28">
        <v>50339.385999999999</v>
      </c>
      <c r="H1806">
        <f>VLOOKUP(A1806&amp;B1806,ticker_sector[],2,FALSE)</f>
        <v>15</v>
      </c>
      <c r="I1806">
        <f>VLOOKUP(C1806,year[],2,FALSE)</f>
        <v>4</v>
      </c>
      <c r="J1806">
        <f>VLOOKUP(E1806,showing[],2,FALSE)</f>
        <v>2</v>
      </c>
      <c r="K1806">
        <f>Сектора[[#This Row],[Значение]]</f>
        <v>50339.385999999999</v>
      </c>
      <c r="L1806" t="str">
        <f t="shared" si="28"/>
        <v>INSERT INTO msfo.statements (id_company, id_year, id_showing, value) VALUES (15,4,2,50339,386);</v>
      </c>
    </row>
    <row r="1807" spans="1:12">
      <c r="A1807" s="28" t="s">
        <v>49</v>
      </c>
      <c r="B1807" s="28" t="s">
        <v>34</v>
      </c>
      <c r="C1807" s="28">
        <v>2015</v>
      </c>
      <c r="D1807" s="28" t="s">
        <v>1</v>
      </c>
      <c r="E1807" s="28" t="s">
        <v>3</v>
      </c>
      <c r="F1807" s="28">
        <v>63352.125999999997</v>
      </c>
      <c r="H1807">
        <f>VLOOKUP(A1807&amp;B1807,ticker_sector[],2,FALSE)</f>
        <v>15</v>
      </c>
      <c r="I1807">
        <f>VLOOKUP(C1807,year[],2,FALSE)</f>
        <v>5</v>
      </c>
      <c r="J1807">
        <f>VLOOKUP(E1807,showing[],2,FALSE)</f>
        <v>2</v>
      </c>
      <c r="K1807">
        <f>Сектора[[#This Row],[Значение]]</f>
        <v>63352.125999999997</v>
      </c>
      <c r="L1807" t="str">
        <f t="shared" si="28"/>
        <v>INSERT INTO msfo.statements (id_company, id_year, id_showing, value) VALUES (15,5,2,63352,126);</v>
      </c>
    </row>
    <row r="1808" spans="1:12">
      <c r="A1808" s="28" t="s">
        <v>49</v>
      </c>
      <c r="B1808" s="28" t="s">
        <v>34</v>
      </c>
      <c r="C1808" s="28">
        <v>2016</v>
      </c>
      <c r="D1808" s="28" t="s">
        <v>1</v>
      </c>
      <c r="E1808" s="28" t="s">
        <v>3</v>
      </c>
      <c r="F1808" s="28">
        <v>64596.722000000002</v>
      </c>
      <c r="H1808">
        <f>VLOOKUP(A1808&amp;B1808,ticker_sector[],2,FALSE)</f>
        <v>15</v>
      </c>
      <c r="I1808">
        <f>VLOOKUP(C1808,year[],2,FALSE)</f>
        <v>6</v>
      </c>
      <c r="J1808">
        <f>VLOOKUP(E1808,showing[],2,FALSE)</f>
        <v>2</v>
      </c>
      <c r="K1808">
        <f>Сектора[[#This Row],[Значение]]</f>
        <v>64596.722000000002</v>
      </c>
      <c r="L1808" t="str">
        <f t="shared" si="28"/>
        <v>INSERT INTO msfo.statements (id_company, id_year, id_showing, value) VALUES (15,6,2,64596,722);</v>
      </c>
    </row>
    <row r="1809" spans="1:12">
      <c r="A1809" s="28" t="s">
        <v>49</v>
      </c>
      <c r="B1809" s="28" t="s">
        <v>34</v>
      </c>
      <c r="C1809" s="28">
        <v>2017</v>
      </c>
      <c r="D1809" s="28" t="s">
        <v>1</v>
      </c>
      <c r="E1809" s="28" t="s">
        <v>3</v>
      </c>
      <c r="F1809" s="28">
        <v>68485.154999999999</v>
      </c>
      <c r="H1809">
        <f>VLOOKUP(A1809&amp;B1809,ticker_sector[],2,FALSE)</f>
        <v>15</v>
      </c>
      <c r="I1809">
        <f>VLOOKUP(C1809,year[],2,FALSE)</f>
        <v>7</v>
      </c>
      <c r="J1809">
        <f>VLOOKUP(E1809,showing[],2,FALSE)</f>
        <v>2</v>
      </c>
      <c r="K1809">
        <f>Сектора[[#This Row],[Значение]]</f>
        <v>68485.154999999999</v>
      </c>
      <c r="L1809" t="str">
        <f t="shared" si="28"/>
        <v>INSERT INTO msfo.statements (id_company, id_year, id_showing, value) VALUES (15,7,2,68485,155);</v>
      </c>
    </row>
    <row r="1810" spans="1:12">
      <c r="A1810" s="28" t="s">
        <v>49</v>
      </c>
      <c r="B1810" s="28" t="s">
        <v>34</v>
      </c>
      <c r="C1810" s="28">
        <v>2010</v>
      </c>
      <c r="D1810" s="28" t="s">
        <v>1</v>
      </c>
      <c r="E1810" s="28" t="s">
        <v>5</v>
      </c>
      <c r="F1810" s="28">
        <v>30715.028999999999</v>
      </c>
      <c r="H1810">
        <f>VLOOKUP(A1810&amp;B1810,ticker_sector[],2,FALSE)</f>
        <v>15</v>
      </c>
      <c r="I1810">
        <f>VLOOKUP(C1810,year[],2,FALSE)</f>
        <v>0</v>
      </c>
      <c r="J1810">
        <f>VLOOKUP(E1810,showing[],2,FALSE)</f>
        <v>3</v>
      </c>
      <c r="K1810">
        <f>Сектора[[#This Row],[Значение]]</f>
        <v>30715.028999999999</v>
      </c>
      <c r="L1810" t="str">
        <f t="shared" si="28"/>
        <v>INSERT INTO msfo.statements (id_company, id_year, id_showing, value) VALUES (15,0,3,30715,029);</v>
      </c>
    </row>
    <row r="1811" spans="1:12">
      <c r="A1811" s="28" t="s">
        <v>49</v>
      </c>
      <c r="B1811" s="28" t="s">
        <v>34</v>
      </c>
      <c r="C1811" s="28">
        <v>2011</v>
      </c>
      <c r="D1811" s="28" t="s">
        <v>1</v>
      </c>
      <c r="E1811" s="28" t="s">
        <v>5</v>
      </c>
      <c r="F1811" s="28">
        <v>37852.983999999997</v>
      </c>
      <c r="H1811">
        <f>VLOOKUP(A1811&amp;B1811,ticker_sector[],2,FALSE)</f>
        <v>15</v>
      </c>
      <c r="I1811">
        <f>VLOOKUP(C1811,year[],2,FALSE)</f>
        <v>1</v>
      </c>
      <c r="J1811">
        <f>VLOOKUP(E1811,showing[],2,FALSE)</f>
        <v>3</v>
      </c>
      <c r="K1811">
        <f>Сектора[[#This Row],[Значение]]</f>
        <v>37852.983999999997</v>
      </c>
      <c r="L1811" t="str">
        <f t="shared" si="28"/>
        <v>INSERT INTO msfo.statements (id_company, id_year, id_showing, value) VALUES (15,1,3,37852,984);</v>
      </c>
    </row>
    <row r="1812" spans="1:12">
      <c r="A1812" s="28" t="s">
        <v>49</v>
      </c>
      <c r="B1812" s="28" t="s">
        <v>34</v>
      </c>
      <c r="C1812" s="28">
        <v>2012</v>
      </c>
      <c r="D1812" s="28" t="s">
        <v>1</v>
      </c>
      <c r="E1812" s="28" t="s">
        <v>5</v>
      </c>
      <c r="F1812" s="28">
        <v>55042.118000000002</v>
      </c>
      <c r="H1812">
        <f>VLOOKUP(A1812&amp;B1812,ticker_sector[],2,FALSE)</f>
        <v>15</v>
      </c>
      <c r="I1812">
        <f>VLOOKUP(C1812,year[],2,FALSE)</f>
        <v>2</v>
      </c>
      <c r="J1812">
        <f>VLOOKUP(E1812,showing[],2,FALSE)</f>
        <v>3</v>
      </c>
      <c r="K1812">
        <f>Сектора[[#This Row],[Значение]]</f>
        <v>55042.118000000002</v>
      </c>
      <c r="L1812" t="str">
        <f t="shared" si="28"/>
        <v>INSERT INTO msfo.statements (id_company, id_year, id_showing, value) VALUES (15,2,3,55042,118);</v>
      </c>
    </row>
    <row r="1813" spans="1:12">
      <c r="A1813" s="28" t="s">
        <v>49</v>
      </c>
      <c r="B1813" s="28" t="s">
        <v>34</v>
      </c>
      <c r="C1813" s="28">
        <v>2013</v>
      </c>
      <c r="D1813" s="28" t="s">
        <v>1</v>
      </c>
      <c r="E1813" s="28" t="s">
        <v>5</v>
      </c>
      <c r="F1813" s="28">
        <v>88329.921000000002</v>
      </c>
      <c r="H1813">
        <f>VLOOKUP(A1813&amp;B1813,ticker_sector[],2,FALSE)</f>
        <v>15</v>
      </c>
      <c r="I1813">
        <f>VLOOKUP(C1813,year[],2,FALSE)</f>
        <v>3</v>
      </c>
      <c r="J1813">
        <f>VLOOKUP(E1813,showing[],2,FALSE)</f>
        <v>3</v>
      </c>
      <c r="K1813">
        <f>Сектора[[#This Row],[Значение]]</f>
        <v>88329.921000000002</v>
      </c>
      <c r="L1813" t="str">
        <f t="shared" si="28"/>
        <v>INSERT INTO msfo.statements (id_company, id_year, id_showing, value) VALUES (15,3,3,88329,921);</v>
      </c>
    </row>
    <row r="1814" spans="1:12">
      <c r="A1814" s="28" t="s">
        <v>49</v>
      </c>
      <c r="B1814" s="28" t="s">
        <v>34</v>
      </c>
      <c r="C1814" s="28">
        <v>2014</v>
      </c>
      <c r="D1814" s="28" t="s">
        <v>1</v>
      </c>
      <c r="E1814" s="28" t="s">
        <v>5</v>
      </c>
      <c r="F1814" s="28">
        <v>141245.27499999999</v>
      </c>
      <c r="H1814">
        <f>VLOOKUP(A1814&amp;B1814,ticker_sector[],2,FALSE)</f>
        <v>15</v>
      </c>
      <c r="I1814">
        <f>VLOOKUP(C1814,year[],2,FALSE)</f>
        <v>4</v>
      </c>
      <c r="J1814">
        <f>VLOOKUP(E1814,showing[],2,FALSE)</f>
        <v>3</v>
      </c>
      <c r="K1814">
        <f>Сектора[[#This Row],[Значение]]</f>
        <v>141245.27499999999</v>
      </c>
      <c r="L1814" t="str">
        <f t="shared" si="28"/>
        <v>INSERT INTO msfo.statements (id_company, id_year, id_showing, value) VALUES (15,4,3,141245,275);</v>
      </c>
    </row>
    <row r="1815" spans="1:12">
      <c r="A1815" s="28" t="s">
        <v>49</v>
      </c>
      <c r="B1815" s="28" t="s">
        <v>34</v>
      </c>
      <c r="C1815" s="28">
        <v>2015</v>
      </c>
      <c r="D1815" s="28" t="s">
        <v>1</v>
      </c>
      <c r="E1815" s="28" t="s">
        <v>5</v>
      </c>
      <c r="F1815" s="28">
        <v>178391.85</v>
      </c>
      <c r="H1815">
        <f>VLOOKUP(A1815&amp;B1815,ticker_sector[],2,FALSE)</f>
        <v>15</v>
      </c>
      <c r="I1815">
        <f>VLOOKUP(C1815,year[],2,FALSE)</f>
        <v>5</v>
      </c>
      <c r="J1815">
        <f>VLOOKUP(E1815,showing[],2,FALSE)</f>
        <v>3</v>
      </c>
      <c r="K1815">
        <f>Сектора[[#This Row],[Значение]]</f>
        <v>178391.85</v>
      </c>
      <c r="L1815" t="str">
        <f t="shared" si="28"/>
        <v>INSERT INTO msfo.statements (id_company, id_year, id_showing, value) VALUES (15,5,3,178391,85);</v>
      </c>
    </row>
    <row r="1816" spans="1:12">
      <c r="A1816" s="28" t="s">
        <v>49</v>
      </c>
      <c r="B1816" s="28" t="s">
        <v>34</v>
      </c>
      <c r="C1816" s="28">
        <v>2016</v>
      </c>
      <c r="D1816" s="28" t="s">
        <v>1</v>
      </c>
      <c r="E1816" s="28" t="s">
        <v>5</v>
      </c>
      <c r="F1816" s="28">
        <v>226170.196</v>
      </c>
      <c r="H1816">
        <f>VLOOKUP(A1816&amp;B1816,ticker_sector[],2,FALSE)</f>
        <v>15</v>
      </c>
      <c r="I1816">
        <f>VLOOKUP(C1816,year[],2,FALSE)</f>
        <v>6</v>
      </c>
      <c r="J1816">
        <f>VLOOKUP(E1816,showing[],2,FALSE)</f>
        <v>3</v>
      </c>
      <c r="K1816">
        <f>Сектора[[#This Row],[Значение]]</f>
        <v>226170.196</v>
      </c>
      <c r="L1816" t="str">
        <f t="shared" si="28"/>
        <v>INSERT INTO msfo.statements (id_company, id_year, id_showing, value) VALUES (15,6,3,226170,196);</v>
      </c>
    </row>
    <row r="1817" spans="1:12">
      <c r="A1817" s="28" t="s">
        <v>49</v>
      </c>
      <c r="B1817" s="28" t="s">
        <v>34</v>
      </c>
      <c r="C1817" s="28">
        <v>2017</v>
      </c>
      <c r="D1817" s="28" t="s">
        <v>1</v>
      </c>
      <c r="E1817" s="28" t="s">
        <v>5</v>
      </c>
      <c r="F1817" s="28">
        <v>246730.58799999999</v>
      </c>
      <c r="H1817">
        <f>VLOOKUP(A1817&amp;B1817,ticker_sector[],2,FALSE)</f>
        <v>15</v>
      </c>
      <c r="I1817">
        <f>VLOOKUP(C1817,year[],2,FALSE)</f>
        <v>7</v>
      </c>
      <c r="J1817">
        <f>VLOOKUP(E1817,showing[],2,FALSE)</f>
        <v>3</v>
      </c>
      <c r="K1817">
        <f>Сектора[[#This Row],[Значение]]</f>
        <v>246730.58799999999</v>
      </c>
      <c r="L1817" t="str">
        <f t="shared" si="28"/>
        <v>INSERT INTO msfo.statements (id_company, id_year, id_showing, value) VALUES (15,7,3,246730,588);</v>
      </c>
    </row>
    <row r="1818" spans="1:12">
      <c r="A1818" s="28" t="s">
        <v>49</v>
      </c>
      <c r="B1818" s="28" t="s">
        <v>34</v>
      </c>
      <c r="C1818" s="28">
        <v>2010</v>
      </c>
      <c r="D1818" s="28" t="s">
        <v>1</v>
      </c>
      <c r="E1818" s="28" t="s">
        <v>6</v>
      </c>
      <c r="F1818" s="28">
        <v>2682.2719999999999</v>
      </c>
      <c r="H1818">
        <f>VLOOKUP(A1818&amp;B1818,ticker_sector[],2,FALSE)</f>
        <v>15</v>
      </c>
      <c r="I1818">
        <f>VLOOKUP(C1818,year[],2,FALSE)</f>
        <v>0</v>
      </c>
      <c r="J1818">
        <f>VLOOKUP(E1818,showing[],2,FALSE)</f>
        <v>4</v>
      </c>
      <c r="K1818">
        <f>Сектора[[#This Row],[Значение]]</f>
        <v>2682.2719999999999</v>
      </c>
      <c r="L1818" t="str">
        <f t="shared" si="28"/>
        <v>INSERT INTO msfo.statements (id_company, id_year, id_showing, value) VALUES (15,0,4,2682,272);</v>
      </c>
    </row>
    <row r="1819" spans="1:12">
      <c r="A1819" s="28" t="s">
        <v>49</v>
      </c>
      <c r="B1819" s="28" t="s">
        <v>34</v>
      </c>
      <c r="C1819" s="28">
        <v>2011</v>
      </c>
      <c r="D1819" s="28" t="s">
        <v>1</v>
      </c>
      <c r="E1819" s="28" t="s">
        <v>6</v>
      </c>
      <c r="F1819" s="28">
        <v>-6378.0860000000002</v>
      </c>
      <c r="H1819">
        <f>VLOOKUP(A1819&amp;B1819,ticker_sector[],2,FALSE)</f>
        <v>15</v>
      </c>
      <c r="I1819">
        <f>VLOOKUP(C1819,year[],2,FALSE)</f>
        <v>1</v>
      </c>
      <c r="J1819">
        <f>VLOOKUP(E1819,showing[],2,FALSE)</f>
        <v>4</v>
      </c>
      <c r="K1819">
        <f>Сектора[[#This Row],[Значение]]</f>
        <v>-6378.0860000000002</v>
      </c>
      <c r="L1819" t="str">
        <f t="shared" si="28"/>
        <v>INSERT INTO msfo.statements (id_company, id_year, id_showing, value) VALUES (15,1,4,-6378,086);</v>
      </c>
    </row>
    <row r="1820" spans="1:12">
      <c r="A1820" s="28" t="s">
        <v>49</v>
      </c>
      <c r="B1820" s="28" t="s">
        <v>34</v>
      </c>
      <c r="C1820" s="28">
        <v>2012</v>
      </c>
      <c r="D1820" s="28" t="s">
        <v>1</v>
      </c>
      <c r="E1820" s="28" t="s">
        <v>6</v>
      </c>
      <c r="F1820" s="28">
        <v>-963.33900000000006</v>
      </c>
      <c r="H1820">
        <f>VLOOKUP(A1820&amp;B1820,ticker_sector[],2,FALSE)</f>
        <v>15</v>
      </c>
      <c r="I1820">
        <f>VLOOKUP(C1820,year[],2,FALSE)</f>
        <v>2</v>
      </c>
      <c r="J1820">
        <f>VLOOKUP(E1820,showing[],2,FALSE)</f>
        <v>4</v>
      </c>
      <c r="K1820">
        <f>Сектора[[#This Row],[Значение]]</f>
        <v>-963.33900000000006</v>
      </c>
      <c r="L1820" t="str">
        <f t="shared" si="28"/>
        <v>INSERT INTO msfo.statements (id_company, id_year, id_showing, value) VALUES (15,2,4,-963,339);</v>
      </c>
    </row>
    <row r="1821" spans="1:12">
      <c r="A1821" s="28" t="s">
        <v>49</v>
      </c>
      <c r="B1821" s="28" t="s">
        <v>34</v>
      </c>
      <c r="C1821" s="28">
        <v>2013</v>
      </c>
      <c r="D1821" s="28" t="s">
        <v>1</v>
      </c>
      <c r="E1821" s="28" t="s">
        <v>6</v>
      </c>
      <c r="F1821" s="28">
        <v>4914.6580000000004</v>
      </c>
      <c r="H1821">
        <f>VLOOKUP(A1821&amp;B1821,ticker_sector[],2,FALSE)</f>
        <v>15</v>
      </c>
      <c r="I1821">
        <f>VLOOKUP(C1821,year[],2,FALSE)</f>
        <v>3</v>
      </c>
      <c r="J1821">
        <f>VLOOKUP(E1821,showing[],2,FALSE)</f>
        <v>4</v>
      </c>
      <c r="K1821">
        <f>Сектора[[#This Row],[Значение]]</f>
        <v>4914.6580000000004</v>
      </c>
      <c r="L1821" t="str">
        <f t="shared" si="28"/>
        <v>INSERT INTO msfo.statements (id_company, id_year, id_showing, value) VALUES (15,3,4,4914,658);</v>
      </c>
    </row>
    <row r="1822" spans="1:12">
      <c r="A1822" s="28" t="s">
        <v>49</v>
      </c>
      <c r="B1822" s="28" t="s">
        <v>34</v>
      </c>
      <c r="C1822" s="28">
        <v>2014</v>
      </c>
      <c r="D1822" s="28" t="s">
        <v>1</v>
      </c>
      <c r="E1822" s="28" t="s">
        <v>6</v>
      </c>
      <c r="F1822" s="28">
        <v>16730.376</v>
      </c>
      <c r="H1822">
        <f>VLOOKUP(A1822&amp;B1822,ticker_sector[],2,FALSE)</f>
        <v>15</v>
      </c>
      <c r="I1822">
        <f>VLOOKUP(C1822,year[],2,FALSE)</f>
        <v>4</v>
      </c>
      <c r="J1822">
        <f>VLOOKUP(E1822,showing[],2,FALSE)</f>
        <v>4</v>
      </c>
      <c r="K1822">
        <f>Сектора[[#This Row],[Значение]]</f>
        <v>16730.376</v>
      </c>
      <c r="L1822" t="str">
        <f t="shared" si="28"/>
        <v>INSERT INTO msfo.statements (id_company, id_year, id_showing, value) VALUES (15,4,4,16730,376);</v>
      </c>
    </row>
    <row r="1823" spans="1:12">
      <c r="A1823" s="28" t="s">
        <v>49</v>
      </c>
      <c r="B1823" s="28" t="s">
        <v>34</v>
      </c>
      <c r="C1823" s="28">
        <v>2015</v>
      </c>
      <c r="D1823" s="28" t="s">
        <v>1</v>
      </c>
      <c r="E1823" s="28" t="s">
        <v>6</v>
      </c>
      <c r="F1823" s="28">
        <v>47129.970999999998</v>
      </c>
      <c r="H1823">
        <f>VLOOKUP(A1823&amp;B1823,ticker_sector[],2,FALSE)</f>
        <v>15</v>
      </c>
      <c r="I1823">
        <f>VLOOKUP(C1823,year[],2,FALSE)</f>
        <v>5</v>
      </c>
      <c r="J1823">
        <f>VLOOKUP(E1823,showing[],2,FALSE)</f>
        <v>4</v>
      </c>
      <c r="K1823">
        <f>Сектора[[#This Row],[Значение]]</f>
        <v>47129.970999999998</v>
      </c>
      <c r="L1823" t="str">
        <f t="shared" si="28"/>
        <v>INSERT INTO msfo.statements (id_company, id_year, id_showing, value) VALUES (15,5,4,47129,971);</v>
      </c>
    </row>
    <row r="1824" spans="1:12">
      <c r="A1824" s="28" t="s">
        <v>49</v>
      </c>
      <c r="B1824" s="28" t="s">
        <v>34</v>
      </c>
      <c r="C1824" s="28">
        <v>2016</v>
      </c>
      <c r="D1824" s="28" t="s">
        <v>1</v>
      </c>
      <c r="E1824" s="28" t="s">
        <v>6</v>
      </c>
      <c r="F1824" s="28">
        <v>58369.110999999997</v>
      </c>
      <c r="H1824">
        <f>VLOOKUP(A1824&amp;B1824,ticker_sector[],2,FALSE)</f>
        <v>15</v>
      </c>
      <c r="I1824">
        <f>VLOOKUP(C1824,year[],2,FALSE)</f>
        <v>6</v>
      </c>
      <c r="J1824">
        <f>VLOOKUP(E1824,showing[],2,FALSE)</f>
        <v>4</v>
      </c>
      <c r="K1824">
        <f>Сектора[[#This Row],[Значение]]</f>
        <v>58369.110999999997</v>
      </c>
      <c r="L1824" t="str">
        <f t="shared" si="28"/>
        <v>INSERT INTO msfo.statements (id_company, id_year, id_showing, value) VALUES (15,6,4,58369,111);</v>
      </c>
    </row>
    <row r="1825" spans="1:12">
      <c r="A1825" s="28" t="s">
        <v>49</v>
      </c>
      <c r="B1825" s="28" t="s">
        <v>34</v>
      </c>
      <c r="C1825" s="28">
        <v>2017</v>
      </c>
      <c r="D1825" s="28" t="s">
        <v>1</v>
      </c>
      <c r="E1825" s="28" t="s">
        <v>6</v>
      </c>
      <c r="F1825" s="28">
        <v>71787.275999999998</v>
      </c>
      <c r="H1825">
        <f>VLOOKUP(A1825&amp;B1825,ticker_sector[],2,FALSE)</f>
        <v>15</v>
      </c>
      <c r="I1825">
        <f>VLOOKUP(C1825,year[],2,FALSE)</f>
        <v>7</v>
      </c>
      <c r="J1825">
        <f>VLOOKUP(E1825,showing[],2,FALSE)</f>
        <v>4</v>
      </c>
      <c r="K1825">
        <f>Сектора[[#This Row],[Значение]]</f>
        <v>71787.275999999998</v>
      </c>
      <c r="L1825" t="str">
        <f t="shared" si="28"/>
        <v>INSERT INTO msfo.statements (id_company, id_year, id_showing, value) VALUES (15,7,4,71787,276);</v>
      </c>
    </row>
    <row r="1826" spans="1:12">
      <c r="A1826" s="28" t="s">
        <v>49</v>
      </c>
      <c r="B1826" s="28" t="s">
        <v>34</v>
      </c>
      <c r="C1826" s="28">
        <v>2010</v>
      </c>
      <c r="D1826" s="28" t="s">
        <v>1</v>
      </c>
      <c r="E1826" s="28" t="s">
        <v>8</v>
      </c>
      <c r="F1826" s="28">
        <v>0</v>
      </c>
      <c r="H1826">
        <f>VLOOKUP(A1826&amp;B1826,ticker_sector[],2,FALSE)</f>
        <v>15</v>
      </c>
      <c r="I1826">
        <f>VLOOKUP(C1826,year[],2,FALSE)</f>
        <v>0</v>
      </c>
      <c r="J1826">
        <f>VLOOKUP(E1826,showing[],2,FALSE)</f>
        <v>5</v>
      </c>
      <c r="K1826">
        <f>Сектора[[#This Row],[Значение]]</f>
        <v>0</v>
      </c>
      <c r="L1826" t="str">
        <f t="shared" si="28"/>
        <v>INSERT INTO msfo.statements (id_company, id_year, id_showing, value) VALUES (15,0,5,0);</v>
      </c>
    </row>
    <row r="1827" spans="1:12">
      <c r="A1827" s="28" t="s">
        <v>49</v>
      </c>
      <c r="B1827" s="28" t="s">
        <v>34</v>
      </c>
      <c r="C1827" s="28">
        <v>2011</v>
      </c>
      <c r="D1827" s="28" t="s">
        <v>1</v>
      </c>
      <c r="E1827" s="28" t="s">
        <v>8</v>
      </c>
      <c r="F1827" s="28">
        <v>25276.844000000001</v>
      </c>
      <c r="H1827">
        <f>VLOOKUP(A1827&amp;B1827,ticker_sector[],2,FALSE)</f>
        <v>15</v>
      </c>
      <c r="I1827">
        <f>VLOOKUP(C1827,year[],2,FALSE)</f>
        <v>1</v>
      </c>
      <c r="J1827">
        <f>VLOOKUP(E1827,showing[],2,FALSE)</f>
        <v>5</v>
      </c>
      <c r="K1827">
        <f>Сектора[[#This Row],[Значение]]</f>
        <v>25276.844000000001</v>
      </c>
      <c r="L1827" t="str">
        <f t="shared" si="28"/>
        <v>INSERT INTO msfo.statements (id_company, id_year, id_showing, value) VALUES (15,1,5,25276,844);</v>
      </c>
    </row>
    <row r="1828" spans="1:12">
      <c r="A1828" s="28" t="s">
        <v>49</v>
      </c>
      <c r="B1828" s="28" t="s">
        <v>34</v>
      </c>
      <c r="C1828" s="28">
        <v>2012</v>
      </c>
      <c r="D1828" s="28" t="s">
        <v>1</v>
      </c>
      <c r="E1828" s="28" t="s">
        <v>8</v>
      </c>
      <c r="F1828" s="28">
        <v>25879.82</v>
      </c>
      <c r="H1828">
        <f>VLOOKUP(A1828&amp;B1828,ticker_sector[],2,FALSE)</f>
        <v>15</v>
      </c>
      <c r="I1828">
        <f>VLOOKUP(C1828,year[],2,FALSE)</f>
        <v>2</v>
      </c>
      <c r="J1828">
        <f>VLOOKUP(E1828,showing[],2,FALSE)</f>
        <v>5</v>
      </c>
      <c r="K1828">
        <f>Сектора[[#This Row],[Значение]]</f>
        <v>25879.82</v>
      </c>
      <c r="L1828" t="str">
        <f t="shared" si="28"/>
        <v>INSERT INTO msfo.statements (id_company, id_year, id_showing, value) VALUES (15,2,5,25879,82);</v>
      </c>
    </row>
    <row r="1829" spans="1:12">
      <c r="A1829" s="28" t="s">
        <v>49</v>
      </c>
      <c r="B1829" s="28" t="s">
        <v>34</v>
      </c>
      <c r="C1829" s="28">
        <v>2013</v>
      </c>
      <c r="D1829" s="28" t="s">
        <v>1</v>
      </c>
      <c r="E1829" s="28" t="s">
        <v>8</v>
      </c>
      <c r="F1829" s="28">
        <v>41954.752</v>
      </c>
      <c r="H1829">
        <f>VLOOKUP(A1829&amp;B1829,ticker_sector[],2,FALSE)</f>
        <v>15</v>
      </c>
      <c r="I1829">
        <f>VLOOKUP(C1829,year[],2,FALSE)</f>
        <v>3</v>
      </c>
      <c r="J1829">
        <f>VLOOKUP(E1829,showing[],2,FALSE)</f>
        <v>5</v>
      </c>
      <c r="K1829">
        <f>Сектора[[#This Row],[Значение]]</f>
        <v>41954.752</v>
      </c>
      <c r="L1829" t="str">
        <f t="shared" si="28"/>
        <v>INSERT INTO msfo.statements (id_company, id_year, id_showing, value) VALUES (15,3,5,41954,752);</v>
      </c>
    </row>
    <row r="1830" spans="1:12">
      <c r="A1830" s="28" t="s">
        <v>49</v>
      </c>
      <c r="B1830" s="28" t="s">
        <v>34</v>
      </c>
      <c r="C1830" s="28">
        <v>2014</v>
      </c>
      <c r="D1830" s="28" t="s">
        <v>1</v>
      </c>
      <c r="E1830" s="28" t="s">
        <v>8</v>
      </c>
      <c r="F1830" s="28">
        <v>62333.959000000003</v>
      </c>
      <c r="H1830">
        <f>VLOOKUP(A1830&amp;B1830,ticker_sector[],2,FALSE)</f>
        <v>15</v>
      </c>
      <c r="I1830">
        <f>VLOOKUP(C1830,year[],2,FALSE)</f>
        <v>4</v>
      </c>
      <c r="J1830">
        <f>VLOOKUP(E1830,showing[],2,FALSE)</f>
        <v>5</v>
      </c>
      <c r="K1830">
        <f>Сектора[[#This Row],[Значение]]</f>
        <v>62333.959000000003</v>
      </c>
      <c r="L1830" t="str">
        <f t="shared" si="28"/>
        <v>INSERT INTO msfo.statements (id_company, id_year, id_showing, value) VALUES (15,4,5,62333,959);</v>
      </c>
    </row>
    <row r="1831" spans="1:12">
      <c r="A1831" s="28" t="s">
        <v>49</v>
      </c>
      <c r="B1831" s="28" t="s">
        <v>34</v>
      </c>
      <c r="C1831" s="28">
        <v>2015</v>
      </c>
      <c r="D1831" s="28" t="s">
        <v>1</v>
      </c>
      <c r="E1831" s="28" t="s">
        <v>8</v>
      </c>
      <c r="F1831" s="28">
        <v>70403.464999999997</v>
      </c>
      <c r="H1831">
        <f>VLOOKUP(A1831&amp;B1831,ticker_sector[],2,FALSE)</f>
        <v>15</v>
      </c>
      <c r="I1831">
        <f>VLOOKUP(C1831,year[],2,FALSE)</f>
        <v>5</v>
      </c>
      <c r="J1831">
        <f>VLOOKUP(E1831,showing[],2,FALSE)</f>
        <v>5</v>
      </c>
      <c r="K1831">
        <f>Сектора[[#This Row],[Значение]]</f>
        <v>70403.464999999997</v>
      </c>
      <c r="L1831" t="str">
        <f t="shared" si="28"/>
        <v>INSERT INTO msfo.statements (id_company, id_year, id_showing, value) VALUES (15,5,5,70403,465);</v>
      </c>
    </row>
    <row r="1832" spans="1:12">
      <c r="A1832" s="28" t="s">
        <v>49</v>
      </c>
      <c r="B1832" s="28" t="s">
        <v>34</v>
      </c>
      <c r="C1832" s="28">
        <v>2016</v>
      </c>
      <c r="D1832" s="28" t="s">
        <v>1</v>
      </c>
      <c r="E1832" s="28" t="s">
        <v>8</v>
      </c>
      <c r="F1832" s="28">
        <v>74318.066000000006</v>
      </c>
      <c r="H1832">
        <f>VLOOKUP(A1832&amp;B1832,ticker_sector[],2,FALSE)</f>
        <v>15</v>
      </c>
      <c r="I1832">
        <f>VLOOKUP(C1832,year[],2,FALSE)</f>
        <v>6</v>
      </c>
      <c r="J1832">
        <f>VLOOKUP(E1832,showing[],2,FALSE)</f>
        <v>5</v>
      </c>
      <c r="K1832">
        <f>Сектора[[#This Row],[Значение]]</f>
        <v>74318.066000000006</v>
      </c>
      <c r="L1832" t="str">
        <f t="shared" si="28"/>
        <v>INSERT INTO msfo.statements (id_company, id_year, id_showing, value) VALUES (15,6,5,74318,066);</v>
      </c>
    </row>
    <row r="1833" spans="1:12">
      <c r="A1833" s="28" t="s">
        <v>49</v>
      </c>
      <c r="B1833" s="28" t="s">
        <v>34</v>
      </c>
      <c r="C1833" s="28">
        <v>2017</v>
      </c>
      <c r="D1833" s="28" t="s">
        <v>1</v>
      </c>
      <c r="E1833" s="28" t="s">
        <v>8</v>
      </c>
      <c r="F1833" s="28">
        <v>70580.936000000002</v>
      </c>
      <c r="H1833">
        <f>VLOOKUP(A1833&amp;B1833,ticker_sector[],2,FALSE)</f>
        <v>15</v>
      </c>
      <c r="I1833">
        <f>VLOOKUP(C1833,year[],2,FALSE)</f>
        <v>7</v>
      </c>
      <c r="J1833">
        <f>VLOOKUP(E1833,showing[],2,FALSE)</f>
        <v>5</v>
      </c>
      <c r="K1833">
        <f>Сектора[[#This Row],[Значение]]</f>
        <v>70580.936000000002</v>
      </c>
      <c r="L1833" t="str">
        <f t="shared" si="28"/>
        <v>INSERT INTO msfo.statements (id_company, id_year, id_showing, value) VALUES (15,7,5,70580,936);</v>
      </c>
    </row>
    <row r="1834" spans="1:12">
      <c r="A1834" s="28" t="s">
        <v>49</v>
      </c>
      <c r="B1834" s="28" t="s">
        <v>34</v>
      </c>
      <c r="C1834" s="28">
        <v>2010</v>
      </c>
      <c r="D1834" s="28" t="s">
        <v>1</v>
      </c>
      <c r="E1834" s="28" t="s">
        <v>9</v>
      </c>
      <c r="F1834" s="28">
        <v>28032.757000000001</v>
      </c>
      <c r="H1834">
        <f>VLOOKUP(A1834&amp;B1834,ticker_sector[],2,FALSE)</f>
        <v>15</v>
      </c>
      <c r="I1834">
        <f>VLOOKUP(C1834,year[],2,FALSE)</f>
        <v>0</v>
      </c>
      <c r="J1834">
        <f>VLOOKUP(E1834,showing[],2,FALSE)</f>
        <v>6</v>
      </c>
      <c r="K1834">
        <f>Сектора[[#This Row],[Значение]]</f>
        <v>28032.757000000001</v>
      </c>
      <c r="L1834" t="str">
        <f t="shared" si="28"/>
        <v>INSERT INTO msfo.statements (id_company, id_year, id_showing, value) VALUES (15,0,6,28032,757);</v>
      </c>
    </row>
    <row r="1835" spans="1:12">
      <c r="A1835" s="28" t="s">
        <v>49</v>
      </c>
      <c r="B1835" s="28" t="s">
        <v>34</v>
      </c>
      <c r="C1835" s="28">
        <v>2011</v>
      </c>
      <c r="D1835" s="28" t="s">
        <v>1</v>
      </c>
      <c r="E1835" s="28" t="s">
        <v>9</v>
      </c>
      <c r="F1835" s="28">
        <v>18954.225999999999</v>
      </c>
      <c r="H1835">
        <f>VLOOKUP(A1835&amp;B1835,ticker_sector[],2,FALSE)</f>
        <v>15</v>
      </c>
      <c r="I1835">
        <f>VLOOKUP(C1835,year[],2,FALSE)</f>
        <v>1</v>
      </c>
      <c r="J1835">
        <f>VLOOKUP(E1835,showing[],2,FALSE)</f>
        <v>6</v>
      </c>
      <c r="K1835">
        <f>Сектора[[#This Row],[Значение]]</f>
        <v>18954.225999999999</v>
      </c>
      <c r="L1835" t="str">
        <f t="shared" si="28"/>
        <v>INSERT INTO msfo.statements (id_company, id_year, id_showing, value) VALUES (15,1,6,18954,226);</v>
      </c>
    </row>
    <row r="1836" spans="1:12">
      <c r="A1836" s="28" t="s">
        <v>49</v>
      </c>
      <c r="B1836" s="28" t="s">
        <v>34</v>
      </c>
      <c r="C1836" s="28">
        <v>2012</v>
      </c>
      <c r="D1836" s="28" t="s">
        <v>1</v>
      </c>
      <c r="E1836" s="28" t="s">
        <v>9</v>
      </c>
      <c r="F1836" s="28">
        <v>30125.636999999999</v>
      </c>
      <c r="H1836">
        <f>VLOOKUP(A1836&amp;B1836,ticker_sector[],2,FALSE)</f>
        <v>15</v>
      </c>
      <c r="I1836">
        <f>VLOOKUP(C1836,year[],2,FALSE)</f>
        <v>2</v>
      </c>
      <c r="J1836">
        <f>VLOOKUP(E1836,showing[],2,FALSE)</f>
        <v>6</v>
      </c>
      <c r="K1836">
        <f>Сектора[[#This Row],[Значение]]</f>
        <v>30125.636999999999</v>
      </c>
      <c r="L1836" t="str">
        <f t="shared" si="28"/>
        <v>INSERT INTO msfo.statements (id_company, id_year, id_showing, value) VALUES (15,2,6,30125,637);</v>
      </c>
    </row>
    <row r="1837" spans="1:12">
      <c r="A1837" s="28" t="s">
        <v>49</v>
      </c>
      <c r="B1837" s="28" t="s">
        <v>34</v>
      </c>
      <c r="C1837" s="28">
        <v>2013</v>
      </c>
      <c r="D1837" s="28" t="s">
        <v>1</v>
      </c>
      <c r="E1837" s="28" t="s">
        <v>9</v>
      </c>
      <c r="F1837" s="28">
        <v>41460.510999999999</v>
      </c>
      <c r="H1837">
        <f>VLOOKUP(A1837&amp;B1837,ticker_sector[],2,FALSE)</f>
        <v>15</v>
      </c>
      <c r="I1837">
        <f>VLOOKUP(C1837,year[],2,FALSE)</f>
        <v>3</v>
      </c>
      <c r="J1837">
        <f>VLOOKUP(E1837,showing[],2,FALSE)</f>
        <v>6</v>
      </c>
      <c r="K1837">
        <f>Сектора[[#This Row],[Значение]]</f>
        <v>41460.510999999999</v>
      </c>
      <c r="L1837" t="str">
        <f t="shared" si="28"/>
        <v>INSERT INTO msfo.statements (id_company, id_year, id_showing, value) VALUES (15,3,6,41460,511);</v>
      </c>
    </row>
    <row r="1838" spans="1:12">
      <c r="A1838" s="28" t="s">
        <v>49</v>
      </c>
      <c r="B1838" s="28" t="s">
        <v>34</v>
      </c>
      <c r="C1838" s="28">
        <v>2014</v>
      </c>
      <c r="D1838" s="28" t="s">
        <v>1</v>
      </c>
      <c r="E1838" s="28" t="s">
        <v>9</v>
      </c>
      <c r="F1838" s="28">
        <v>62180.94</v>
      </c>
      <c r="H1838">
        <f>VLOOKUP(A1838&amp;B1838,ticker_sector[],2,FALSE)</f>
        <v>15</v>
      </c>
      <c r="I1838">
        <f>VLOOKUP(C1838,year[],2,FALSE)</f>
        <v>4</v>
      </c>
      <c r="J1838">
        <f>VLOOKUP(E1838,showing[],2,FALSE)</f>
        <v>6</v>
      </c>
      <c r="K1838">
        <f>Сектора[[#This Row],[Значение]]</f>
        <v>62180.94</v>
      </c>
      <c r="L1838" t="str">
        <f t="shared" si="28"/>
        <v>INSERT INTO msfo.statements (id_company, id_year, id_showing, value) VALUES (15,4,6,62180,94);</v>
      </c>
    </row>
    <row r="1839" spans="1:12">
      <c r="A1839" s="28" t="s">
        <v>49</v>
      </c>
      <c r="B1839" s="28" t="s">
        <v>34</v>
      </c>
      <c r="C1839" s="28">
        <v>2015</v>
      </c>
      <c r="D1839" s="28" t="s">
        <v>1</v>
      </c>
      <c r="E1839" s="28" t="s">
        <v>9</v>
      </c>
      <c r="F1839" s="28">
        <v>60858.413999999997</v>
      </c>
      <c r="H1839">
        <f>VLOOKUP(A1839&amp;B1839,ticker_sector[],2,FALSE)</f>
        <v>15</v>
      </c>
      <c r="I1839">
        <f>VLOOKUP(C1839,year[],2,FALSE)</f>
        <v>5</v>
      </c>
      <c r="J1839">
        <f>VLOOKUP(E1839,showing[],2,FALSE)</f>
        <v>6</v>
      </c>
      <c r="K1839">
        <f>Сектора[[#This Row],[Значение]]</f>
        <v>60858.413999999997</v>
      </c>
      <c r="L1839" t="str">
        <f t="shared" si="28"/>
        <v>INSERT INTO msfo.statements (id_company, id_year, id_showing, value) VALUES (15,5,6,60858,414);</v>
      </c>
    </row>
    <row r="1840" spans="1:12">
      <c r="A1840" s="28" t="s">
        <v>49</v>
      </c>
      <c r="B1840" s="28" t="s">
        <v>34</v>
      </c>
      <c r="C1840" s="28">
        <v>2016</v>
      </c>
      <c r="D1840" s="28" t="s">
        <v>1</v>
      </c>
      <c r="E1840" s="28" t="s">
        <v>9</v>
      </c>
      <c r="F1840" s="28">
        <v>93483.019</v>
      </c>
      <c r="H1840">
        <f>VLOOKUP(A1840&amp;B1840,ticker_sector[],2,FALSE)</f>
        <v>15</v>
      </c>
      <c r="I1840">
        <f>VLOOKUP(C1840,year[],2,FALSE)</f>
        <v>6</v>
      </c>
      <c r="J1840">
        <f>VLOOKUP(E1840,showing[],2,FALSE)</f>
        <v>6</v>
      </c>
      <c r="K1840">
        <f>Сектора[[#This Row],[Значение]]</f>
        <v>93483.019</v>
      </c>
      <c r="L1840" t="str">
        <f t="shared" si="28"/>
        <v>INSERT INTO msfo.statements (id_company, id_year, id_showing, value) VALUES (15,6,6,93483,019);</v>
      </c>
    </row>
    <row r="1841" spans="1:12">
      <c r="A1841" s="28" t="s">
        <v>49</v>
      </c>
      <c r="B1841" s="28" t="s">
        <v>34</v>
      </c>
      <c r="C1841" s="28">
        <v>2017</v>
      </c>
      <c r="D1841" s="28" t="s">
        <v>1</v>
      </c>
      <c r="E1841" s="28" t="s">
        <v>9</v>
      </c>
      <c r="F1841" s="28">
        <v>104362.376</v>
      </c>
      <c r="H1841">
        <f>VLOOKUP(A1841&amp;B1841,ticker_sector[],2,FALSE)</f>
        <v>15</v>
      </c>
      <c r="I1841">
        <f>VLOOKUP(C1841,year[],2,FALSE)</f>
        <v>7</v>
      </c>
      <c r="J1841">
        <f>VLOOKUP(E1841,showing[],2,FALSE)</f>
        <v>6</v>
      </c>
      <c r="K1841">
        <f>Сектора[[#This Row],[Значение]]</f>
        <v>104362.376</v>
      </c>
      <c r="L1841" t="str">
        <f t="shared" si="28"/>
        <v>INSERT INTO msfo.statements (id_company, id_year, id_showing, value) VALUES (15,7,6,104362,376);</v>
      </c>
    </row>
    <row r="1842" spans="1:12">
      <c r="A1842" s="28" t="s">
        <v>49</v>
      </c>
      <c r="B1842" s="28" t="s">
        <v>34</v>
      </c>
      <c r="C1842" s="28">
        <v>2010</v>
      </c>
      <c r="D1842" s="28" t="s">
        <v>1</v>
      </c>
      <c r="E1842" s="28" t="s">
        <v>10</v>
      </c>
      <c r="F1842" s="28">
        <v>30715.029000000002</v>
      </c>
      <c r="H1842">
        <f>VLOOKUP(A1842&amp;B1842,ticker_sector[],2,FALSE)</f>
        <v>15</v>
      </c>
      <c r="I1842">
        <f>VLOOKUP(C1842,year[],2,FALSE)</f>
        <v>0</v>
      </c>
      <c r="J1842">
        <f>VLOOKUP(E1842,showing[],2,FALSE)</f>
        <v>7</v>
      </c>
      <c r="K1842">
        <f>Сектора[[#This Row],[Значение]]</f>
        <v>30715.029000000002</v>
      </c>
      <c r="L1842" t="str">
        <f t="shared" si="28"/>
        <v>INSERT INTO msfo.statements (id_company, id_year, id_showing, value) VALUES (15,0,7,30715,029);</v>
      </c>
    </row>
    <row r="1843" spans="1:12">
      <c r="A1843" s="28" t="s">
        <v>49</v>
      </c>
      <c r="B1843" s="28" t="s">
        <v>34</v>
      </c>
      <c r="C1843" s="28">
        <v>2011</v>
      </c>
      <c r="D1843" s="28" t="s">
        <v>1</v>
      </c>
      <c r="E1843" s="28" t="s">
        <v>10</v>
      </c>
      <c r="F1843" s="28">
        <v>37852.983999999997</v>
      </c>
      <c r="H1843">
        <f>VLOOKUP(A1843&amp;B1843,ticker_sector[],2,FALSE)</f>
        <v>15</v>
      </c>
      <c r="I1843">
        <f>VLOOKUP(C1843,year[],2,FALSE)</f>
        <v>1</v>
      </c>
      <c r="J1843">
        <f>VLOOKUP(E1843,showing[],2,FALSE)</f>
        <v>7</v>
      </c>
      <c r="K1843">
        <f>Сектора[[#This Row],[Значение]]</f>
        <v>37852.983999999997</v>
      </c>
      <c r="L1843" t="str">
        <f t="shared" si="28"/>
        <v>INSERT INTO msfo.statements (id_company, id_year, id_showing, value) VALUES (15,1,7,37852,984);</v>
      </c>
    </row>
    <row r="1844" spans="1:12">
      <c r="A1844" s="28" t="s">
        <v>49</v>
      </c>
      <c r="B1844" s="28" t="s">
        <v>34</v>
      </c>
      <c r="C1844" s="28">
        <v>2012</v>
      </c>
      <c r="D1844" s="28" t="s">
        <v>1</v>
      </c>
      <c r="E1844" s="28" t="s">
        <v>10</v>
      </c>
      <c r="F1844" s="28">
        <v>55042.117999999995</v>
      </c>
      <c r="H1844">
        <f>VLOOKUP(A1844&amp;B1844,ticker_sector[],2,FALSE)</f>
        <v>15</v>
      </c>
      <c r="I1844">
        <f>VLOOKUP(C1844,year[],2,FALSE)</f>
        <v>2</v>
      </c>
      <c r="J1844">
        <f>VLOOKUP(E1844,showing[],2,FALSE)</f>
        <v>7</v>
      </c>
      <c r="K1844">
        <f>Сектора[[#This Row],[Значение]]</f>
        <v>55042.117999999995</v>
      </c>
      <c r="L1844" t="str">
        <f t="shared" si="28"/>
        <v>INSERT INTO msfo.statements (id_company, id_year, id_showing, value) VALUES (15,2,7,55042,118);</v>
      </c>
    </row>
    <row r="1845" spans="1:12">
      <c r="A1845" s="28" t="s">
        <v>49</v>
      </c>
      <c r="B1845" s="28" t="s">
        <v>34</v>
      </c>
      <c r="C1845" s="28">
        <v>2013</v>
      </c>
      <c r="D1845" s="28" t="s">
        <v>1</v>
      </c>
      <c r="E1845" s="28" t="s">
        <v>10</v>
      </c>
      <c r="F1845" s="28">
        <v>88329.921000000002</v>
      </c>
      <c r="H1845">
        <f>VLOOKUP(A1845&amp;B1845,ticker_sector[],2,FALSE)</f>
        <v>15</v>
      </c>
      <c r="I1845">
        <f>VLOOKUP(C1845,year[],2,FALSE)</f>
        <v>3</v>
      </c>
      <c r="J1845">
        <f>VLOOKUP(E1845,showing[],2,FALSE)</f>
        <v>7</v>
      </c>
      <c r="K1845">
        <f>Сектора[[#This Row],[Значение]]</f>
        <v>88329.921000000002</v>
      </c>
      <c r="L1845" t="str">
        <f t="shared" si="28"/>
        <v>INSERT INTO msfo.statements (id_company, id_year, id_showing, value) VALUES (15,3,7,88329,921);</v>
      </c>
    </row>
    <row r="1846" spans="1:12">
      <c r="A1846" s="28" t="s">
        <v>49</v>
      </c>
      <c r="B1846" s="28" t="s">
        <v>34</v>
      </c>
      <c r="C1846" s="28">
        <v>2014</v>
      </c>
      <c r="D1846" s="28" t="s">
        <v>1</v>
      </c>
      <c r="E1846" s="28" t="s">
        <v>10</v>
      </c>
      <c r="F1846" s="28">
        <v>141245.27499999999</v>
      </c>
      <c r="H1846">
        <f>VLOOKUP(A1846&amp;B1846,ticker_sector[],2,FALSE)</f>
        <v>15</v>
      </c>
      <c r="I1846">
        <f>VLOOKUP(C1846,year[],2,FALSE)</f>
        <v>4</v>
      </c>
      <c r="J1846">
        <f>VLOOKUP(E1846,showing[],2,FALSE)</f>
        <v>7</v>
      </c>
      <c r="K1846">
        <f>Сектора[[#This Row],[Значение]]</f>
        <v>141245.27499999999</v>
      </c>
      <c r="L1846" t="str">
        <f t="shared" si="28"/>
        <v>INSERT INTO msfo.statements (id_company, id_year, id_showing, value) VALUES (15,4,7,141245,275);</v>
      </c>
    </row>
    <row r="1847" spans="1:12">
      <c r="A1847" s="28" t="s">
        <v>49</v>
      </c>
      <c r="B1847" s="28" t="s">
        <v>34</v>
      </c>
      <c r="C1847" s="28">
        <v>2015</v>
      </c>
      <c r="D1847" s="28" t="s">
        <v>1</v>
      </c>
      <c r="E1847" s="28" t="s">
        <v>10</v>
      </c>
      <c r="F1847" s="28">
        <v>178391.84999999998</v>
      </c>
      <c r="H1847">
        <f>VLOOKUP(A1847&amp;B1847,ticker_sector[],2,FALSE)</f>
        <v>15</v>
      </c>
      <c r="I1847">
        <f>VLOOKUP(C1847,year[],2,FALSE)</f>
        <v>5</v>
      </c>
      <c r="J1847">
        <f>VLOOKUP(E1847,showing[],2,FALSE)</f>
        <v>7</v>
      </c>
      <c r="K1847">
        <f>Сектора[[#This Row],[Значение]]</f>
        <v>178391.84999999998</v>
      </c>
      <c r="L1847" t="str">
        <f t="shared" si="28"/>
        <v>INSERT INTO msfo.statements (id_company, id_year, id_showing, value) VALUES (15,5,7,178391,85);</v>
      </c>
    </row>
    <row r="1848" spans="1:12">
      <c r="A1848" s="28" t="s">
        <v>49</v>
      </c>
      <c r="B1848" s="28" t="s">
        <v>34</v>
      </c>
      <c r="C1848" s="28">
        <v>2016</v>
      </c>
      <c r="D1848" s="28" t="s">
        <v>1</v>
      </c>
      <c r="E1848" s="28" t="s">
        <v>10</v>
      </c>
      <c r="F1848" s="28">
        <v>226170.19600000003</v>
      </c>
      <c r="H1848">
        <f>VLOOKUP(A1848&amp;B1848,ticker_sector[],2,FALSE)</f>
        <v>15</v>
      </c>
      <c r="I1848">
        <f>VLOOKUP(C1848,year[],2,FALSE)</f>
        <v>6</v>
      </c>
      <c r="J1848">
        <f>VLOOKUP(E1848,showing[],2,FALSE)</f>
        <v>7</v>
      </c>
      <c r="K1848">
        <f>Сектора[[#This Row],[Значение]]</f>
        <v>226170.19600000003</v>
      </c>
      <c r="L1848" t="str">
        <f t="shared" si="28"/>
        <v>INSERT INTO msfo.statements (id_company, id_year, id_showing, value) VALUES (15,6,7,226170,196);</v>
      </c>
    </row>
    <row r="1849" spans="1:12">
      <c r="A1849" s="28" t="s">
        <v>49</v>
      </c>
      <c r="B1849" s="28" t="s">
        <v>34</v>
      </c>
      <c r="C1849" s="28">
        <v>2017</v>
      </c>
      <c r="D1849" s="28" t="s">
        <v>1</v>
      </c>
      <c r="E1849" s="28" t="s">
        <v>10</v>
      </c>
      <c r="F1849" s="28">
        <v>246730.58799999999</v>
      </c>
      <c r="H1849">
        <f>VLOOKUP(A1849&amp;B1849,ticker_sector[],2,FALSE)</f>
        <v>15</v>
      </c>
      <c r="I1849">
        <f>VLOOKUP(C1849,year[],2,FALSE)</f>
        <v>7</v>
      </c>
      <c r="J1849">
        <f>VLOOKUP(E1849,showing[],2,FALSE)</f>
        <v>7</v>
      </c>
      <c r="K1849">
        <f>Сектора[[#This Row],[Значение]]</f>
        <v>246730.58799999999</v>
      </c>
      <c r="L1849" t="str">
        <f t="shared" si="28"/>
        <v>INSERT INTO msfo.statements (id_company, id_year, id_showing, value) VALUES (15,7,7,246730,588);</v>
      </c>
    </row>
    <row r="1850" spans="1:12">
      <c r="A1850" s="28" t="s">
        <v>49</v>
      </c>
      <c r="B1850" s="28" t="s">
        <v>34</v>
      </c>
      <c r="C1850" s="28">
        <v>2010</v>
      </c>
      <c r="D1850" s="28" t="s">
        <v>1</v>
      </c>
      <c r="E1850" s="28" t="s">
        <v>11</v>
      </c>
      <c r="F1850" s="28">
        <v>0.91267232728316805</v>
      </c>
      <c r="H1850">
        <f>VLOOKUP(A1850&amp;B1850,ticker_sector[],2,FALSE)</f>
        <v>15</v>
      </c>
      <c r="I1850">
        <f>VLOOKUP(C1850,year[],2,FALSE)</f>
        <v>0</v>
      </c>
      <c r="J1850">
        <f>VLOOKUP(E1850,showing[],2,FALSE)</f>
        <v>8</v>
      </c>
      <c r="K1850">
        <f>Сектора[[#This Row],[Значение]]</f>
        <v>0.91267232728316805</v>
      </c>
      <c r="L1850" t="str">
        <f t="shared" si="28"/>
        <v>INSERT INTO msfo.statements (id_company, id_year, id_showing, value) VALUES (15,0,8,0,912672327283168);</v>
      </c>
    </row>
    <row r="1851" spans="1:12">
      <c r="A1851" s="28" t="s">
        <v>49</v>
      </c>
      <c r="B1851" s="28" t="s">
        <v>34</v>
      </c>
      <c r="C1851" s="28">
        <v>2011</v>
      </c>
      <c r="D1851" s="28" t="s">
        <v>1</v>
      </c>
      <c r="E1851" s="28" t="s">
        <v>11</v>
      </c>
      <c r="F1851" s="28">
        <v>1.16849625382242</v>
      </c>
      <c r="H1851">
        <f>VLOOKUP(A1851&amp;B1851,ticker_sector[],2,FALSE)</f>
        <v>15</v>
      </c>
      <c r="I1851">
        <f>VLOOKUP(C1851,year[],2,FALSE)</f>
        <v>1</v>
      </c>
      <c r="J1851">
        <f>VLOOKUP(E1851,showing[],2,FALSE)</f>
        <v>8</v>
      </c>
      <c r="K1851">
        <f>Сектора[[#This Row],[Значение]]</f>
        <v>1.16849625382242</v>
      </c>
      <c r="L1851" t="str">
        <f t="shared" si="28"/>
        <v>INSERT INTO msfo.statements (id_company, id_year, id_showing, value) VALUES (15,1,8,1,16849625382242);</v>
      </c>
    </row>
    <row r="1852" spans="1:12">
      <c r="A1852" s="28" t="s">
        <v>49</v>
      </c>
      <c r="B1852" s="28" t="s">
        <v>34</v>
      </c>
      <c r="C1852" s="28">
        <v>2012</v>
      </c>
      <c r="D1852" s="28" t="s">
        <v>1</v>
      </c>
      <c r="E1852" s="28" t="s">
        <v>11</v>
      </c>
      <c r="F1852" s="28">
        <v>1.0175018519454502</v>
      </c>
      <c r="H1852">
        <f>VLOOKUP(A1852&amp;B1852,ticker_sector[],2,FALSE)</f>
        <v>15</v>
      </c>
      <c r="I1852">
        <f>VLOOKUP(C1852,year[],2,FALSE)</f>
        <v>2</v>
      </c>
      <c r="J1852">
        <f>VLOOKUP(E1852,showing[],2,FALSE)</f>
        <v>8</v>
      </c>
      <c r="K1852">
        <f>Сектора[[#This Row],[Значение]]</f>
        <v>1.0175018519454502</v>
      </c>
      <c r="L1852" t="str">
        <f t="shared" si="28"/>
        <v>INSERT INTO msfo.statements (id_company, id_year, id_showing, value) VALUES (15,2,8,1,01750185194545);</v>
      </c>
    </row>
    <row r="1853" spans="1:12">
      <c r="A1853" s="28" t="s">
        <v>49</v>
      </c>
      <c r="B1853" s="28" t="s">
        <v>34</v>
      </c>
      <c r="C1853" s="28">
        <v>2013</v>
      </c>
      <c r="D1853" s="28" t="s">
        <v>1</v>
      </c>
      <c r="E1853" s="28" t="s">
        <v>11</v>
      </c>
      <c r="F1853" s="28">
        <v>0.94436021288867678</v>
      </c>
      <c r="H1853">
        <f>VLOOKUP(A1853&amp;B1853,ticker_sector[],2,FALSE)</f>
        <v>15</v>
      </c>
      <c r="I1853">
        <f>VLOOKUP(C1853,year[],2,FALSE)</f>
        <v>3</v>
      </c>
      <c r="J1853">
        <f>VLOOKUP(E1853,showing[],2,FALSE)</f>
        <v>8</v>
      </c>
      <c r="K1853">
        <f>Сектора[[#This Row],[Значение]]</f>
        <v>0.94436021288867678</v>
      </c>
      <c r="L1853" t="str">
        <f t="shared" si="28"/>
        <v>INSERT INTO msfo.statements (id_company, id_year, id_showing, value) VALUES (15,3,8,0,944360212888677);</v>
      </c>
    </row>
    <row r="1854" spans="1:12">
      <c r="A1854" s="28" t="s">
        <v>49</v>
      </c>
      <c r="B1854" s="28" t="s">
        <v>34</v>
      </c>
      <c r="C1854" s="28">
        <v>2014</v>
      </c>
      <c r="D1854" s="28" t="s">
        <v>1</v>
      </c>
      <c r="E1854" s="28" t="s">
        <v>11</v>
      </c>
      <c r="F1854" s="28">
        <v>0.88155089789729257</v>
      </c>
      <c r="H1854">
        <f>VLOOKUP(A1854&amp;B1854,ticker_sector[],2,FALSE)</f>
        <v>15</v>
      </c>
      <c r="I1854">
        <f>VLOOKUP(C1854,year[],2,FALSE)</f>
        <v>4</v>
      </c>
      <c r="J1854">
        <f>VLOOKUP(E1854,showing[],2,FALSE)</f>
        <v>8</v>
      </c>
      <c r="K1854">
        <f>Сектора[[#This Row],[Значение]]</f>
        <v>0.88155089789729257</v>
      </c>
      <c r="L1854" t="str">
        <f t="shared" si="28"/>
        <v>INSERT INTO msfo.statements (id_company, id_year, id_showing, value) VALUES (15,4,8,0,881550897897293);</v>
      </c>
    </row>
    <row r="1855" spans="1:12">
      <c r="A1855" s="28" t="s">
        <v>49</v>
      </c>
      <c r="B1855" s="28" t="s">
        <v>34</v>
      </c>
      <c r="C1855" s="28">
        <v>2015</v>
      </c>
      <c r="D1855" s="28" t="s">
        <v>1</v>
      </c>
      <c r="E1855" s="28" t="s">
        <v>11</v>
      </c>
      <c r="F1855" s="28">
        <v>0.73580647882736794</v>
      </c>
      <c r="H1855">
        <f>VLOOKUP(A1855&amp;B1855,ticker_sector[],2,FALSE)</f>
        <v>15</v>
      </c>
      <c r="I1855">
        <f>VLOOKUP(C1855,year[],2,FALSE)</f>
        <v>5</v>
      </c>
      <c r="J1855">
        <f>VLOOKUP(E1855,showing[],2,FALSE)</f>
        <v>8</v>
      </c>
      <c r="K1855">
        <f>Сектора[[#This Row],[Значение]]</f>
        <v>0.73580647882736794</v>
      </c>
      <c r="L1855" t="str">
        <f t="shared" si="28"/>
        <v>INSERT INTO msfo.statements (id_company, id_year, id_showing, value) VALUES (15,5,8,0,735806478827368);</v>
      </c>
    </row>
    <row r="1856" spans="1:12">
      <c r="A1856" s="28" t="s">
        <v>49</v>
      </c>
      <c r="B1856" s="28" t="s">
        <v>34</v>
      </c>
      <c r="C1856" s="28">
        <v>2016</v>
      </c>
      <c r="D1856" s="28" t="s">
        <v>1</v>
      </c>
      <c r="E1856" s="28" t="s">
        <v>11</v>
      </c>
      <c r="F1856" s="28">
        <v>0.74192394916614035</v>
      </c>
      <c r="H1856">
        <f>VLOOKUP(A1856&amp;B1856,ticker_sector[],2,FALSE)</f>
        <v>15</v>
      </c>
      <c r="I1856">
        <f>VLOOKUP(C1856,year[],2,FALSE)</f>
        <v>6</v>
      </c>
      <c r="J1856">
        <f>VLOOKUP(E1856,showing[],2,FALSE)</f>
        <v>8</v>
      </c>
      <c r="K1856">
        <f>Сектора[[#This Row],[Значение]]</f>
        <v>0.74192394916614035</v>
      </c>
      <c r="L1856" t="str">
        <f t="shared" si="28"/>
        <v>INSERT INTO msfo.statements (id_company, id_year, id_showing, value) VALUES (15,6,8,0,74192394916614);</v>
      </c>
    </row>
    <row r="1857" spans="1:12">
      <c r="A1857" s="28" t="s">
        <v>49</v>
      </c>
      <c r="B1857" s="28" t="s">
        <v>34</v>
      </c>
      <c r="C1857" s="28">
        <v>2017</v>
      </c>
      <c r="D1857" s="28" t="s">
        <v>1</v>
      </c>
      <c r="E1857" s="28" t="s">
        <v>11</v>
      </c>
      <c r="F1857" s="28">
        <v>0.70904590070526652</v>
      </c>
      <c r="H1857">
        <f>VLOOKUP(A1857&amp;B1857,ticker_sector[],2,FALSE)</f>
        <v>15</v>
      </c>
      <c r="I1857">
        <f>VLOOKUP(C1857,year[],2,FALSE)</f>
        <v>7</v>
      </c>
      <c r="J1857">
        <f>VLOOKUP(E1857,showing[],2,FALSE)</f>
        <v>8</v>
      </c>
      <c r="K1857">
        <f>Сектора[[#This Row],[Значение]]</f>
        <v>0.70904590070526652</v>
      </c>
      <c r="L1857" t="str">
        <f t="shared" si="28"/>
        <v>INSERT INTO msfo.statements (id_company, id_year, id_showing, value) VALUES (15,7,8,0,709045900705267);</v>
      </c>
    </row>
    <row r="1858" spans="1:12">
      <c r="A1858" s="28" t="s">
        <v>49</v>
      </c>
      <c r="B1858" s="28" t="s">
        <v>34</v>
      </c>
      <c r="C1858" s="28">
        <v>2010</v>
      </c>
      <c r="D1858" s="28" t="s">
        <v>4</v>
      </c>
      <c r="E1858" s="28" t="s">
        <v>12</v>
      </c>
      <c r="F1858" s="28">
        <v>70628.290999999997</v>
      </c>
      <c r="H1858">
        <f>VLOOKUP(A1858&amp;B1858,ticker_sector[],2,FALSE)</f>
        <v>15</v>
      </c>
      <c r="I1858">
        <f>VLOOKUP(C1858,year[],2,FALSE)</f>
        <v>0</v>
      </c>
      <c r="J1858">
        <f>VLOOKUP(E1858,showing[],2,FALSE)</f>
        <v>9</v>
      </c>
      <c r="K1858">
        <f>Сектора[[#This Row],[Значение]]</f>
        <v>70628.290999999997</v>
      </c>
      <c r="L1858" t="str">
        <f t="shared" si="28"/>
        <v>INSERT INTO msfo.statements (id_company, id_year, id_showing, value) VALUES (15,0,9,70628,291);</v>
      </c>
    </row>
    <row r="1859" spans="1:12">
      <c r="A1859" s="28" t="s">
        <v>49</v>
      </c>
      <c r="B1859" s="28" t="s">
        <v>34</v>
      </c>
      <c r="C1859" s="28">
        <v>2011</v>
      </c>
      <c r="D1859" s="28" t="s">
        <v>4</v>
      </c>
      <c r="E1859" s="28" t="s">
        <v>12</v>
      </c>
      <c r="F1859" s="28">
        <v>89766.024999999994</v>
      </c>
      <c r="H1859">
        <f>VLOOKUP(A1859&amp;B1859,ticker_sector[],2,FALSE)</f>
        <v>15</v>
      </c>
      <c r="I1859">
        <f>VLOOKUP(C1859,year[],2,FALSE)</f>
        <v>1</v>
      </c>
      <c r="J1859">
        <f>VLOOKUP(E1859,showing[],2,FALSE)</f>
        <v>9</v>
      </c>
      <c r="K1859">
        <f>Сектора[[#This Row],[Значение]]</f>
        <v>89766.024999999994</v>
      </c>
      <c r="L1859" t="str">
        <f t="shared" ref="L1859:L1922" si="29">"INSERT INTO msfo.statements (id_company, id_year, id_showing, value) VALUES ("&amp;H1859&amp; ","&amp;I1859&amp; ","&amp;J1859&amp; ","&amp;K1859&amp;");"</f>
        <v>INSERT INTO msfo.statements (id_company, id_year, id_showing, value) VALUES (15,1,9,89766,025);</v>
      </c>
    </row>
    <row r="1860" spans="1:12">
      <c r="A1860" s="28" t="s">
        <v>49</v>
      </c>
      <c r="B1860" s="28" t="s">
        <v>34</v>
      </c>
      <c r="C1860" s="28">
        <v>2012</v>
      </c>
      <c r="D1860" s="28" t="s">
        <v>4</v>
      </c>
      <c r="E1860" s="28" t="s">
        <v>12</v>
      </c>
      <c r="F1860" s="28">
        <v>109909.902</v>
      </c>
      <c r="H1860">
        <f>VLOOKUP(A1860&amp;B1860,ticker_sector[],2,FALSE)</f>
        <v>15</v>
      </c>
      <c r="I1860">
        <f>VLOOKUP(C1860,year[],2,FALSE)</f>
        <v>2</v>
      </c>
      <c r="J1860">
        <f>VLOOKUP(E1860,showing[],2,FALSE)</f>
        <v>9</v>
      </c>
      <c r="K1860">
        <f>Сектора[[#This Row],[Значение]]</f>
        <v>109909.902</v>
      </c>
      <c r="L1860" t="str">
        <f t="shared" si="29"/>
        <v>INSERT INTO msfo.statements (id_company, id_year, id_showing, value) VALUES (15,2,9,109909,902);</v>
      </c>
    </row>
    <row r="1861" spans="1:12">
      <c r="A1861" s="28" t="s">
        <v>49</v>
      </c>
      <c r="B1861" s="28" t="s">
        <v>34</v>
      </c>
      <c r="C1861" s="28">
        <v>2013</v>
      </c>
      <c r="D1861" s="28" t="s">
        <v>4</v>
      </c>
      <c r="E1861" s="28" t="s">
        <v>12</v>
      </c>
      <c r="F1861" s="28">
        <v>144266.47399999999</v>
      </c>
      <c r="H1861">
        <f>VLOOKUP(A1861&amp;B1861,ticker_sector[],2,FALSE)</f>
        <v>15</v>
      </c>
      <c r="I1861">
        <f>VLOOKUP(C1861,year[],2,FALSE)</f>
        <v>3</v>
      </c>
      <c r="J1861">
        <f>VLOOKUP(E1861,showing[],2,FALSE)</f>
        <v>9</v>
      </c>
      <c r="K1861">
        <f>Сектора[[#This Row],[Значение]]</f>
        <v>144266.47399999999</v>
      </c>
      <c r="L1861" t="str">
        <f t="shared" si="29"/>
        <v>INSERT INTO msfo.statements (id_company, id_year, id_showing, value) VALUES (15,3,9,144266,474);</v>
      </c>
    </row>
    <row r="1862" spans="1:12">
      <c r="A1862" s="28" t="s">
        <v>49</v>
      </c>
      <c r="B1862" s="28" t="s">
        <v>34</v>
      </c>
      <c r="C1862" s="28">
        <v>2014</v>
      </c>
      <c r="D1862" s="28" t="s">
        <v>4</v>
      </c>
      <c r="E1862" s="28" t="s">
        <v>12</v>
      </c>
      <c r="F1862" s="28">
        <v>193988.24</v>
      </c>
      <c r="H1862">
        <f>VLOOKUP(A1862&amp;B1862,ticker_sector[],2,FALSE)</f>
        <v>15</v>
      </c>
      <c r="I1862">
        <f>VLOOKUP(C1862,year[],2,FALSE)</f>
        <v>4</v>
      </c>
      <c r="J1862">
        <f>VLOOKUP(E1862,showing[],2,FALSE)</f>
        <v>9</v>
      </c>
      <c r="K1862">
        <f>Сектора[[#This Row],[Значение]]</f>
        <v>193988.24</v>
      </c>
      <c r="L1862" t="str">
        <f t="shared" si="29"/>
        <v>INSERT INTO msfo.statements (id_company, id_year, id_showing, value) VALUES (15,4,9,193988,24);</v>
      </c>
    </row>
    <row r="1863" spans="1:12">
      <c r="A1863" s="28" t="s">
        <v>49</v>
      </c>
      <c r="B1863" s="28" t="s">
        <v>34</v>
      </c>
      <c r="C1863" s="28">
        <v>2015</v>
      </c>
      <c r="D1863" s="28" t="s">
        <v>4</v>
      </c>
      <c r="E1863" s="28" t="s">
        <v>12</v>
      </c>
      <c r="F1863" s="28">
        <v>252763.07500000001</v>
      </c>
      <c r="H1863">
        <f>VLOOKUP(A1863&amp;B1863,ticker_sector[],2,FALSE)</f>
        <v>15</v>
      </c>
      <c r="I1863">
        <f>VLOOKUP(C1863,year[],2,FALSE)</f>
        <v>5</v>
      </c>
      <c r="J1863">
        <f>VLOOKUP(E1863,showing[],2,FALSE)</f>
        <v>9</v>
      </c>
      <c r="K1863">
        <f>Сектора[[#This Row],[Значение]]</f>
        <v>252763.07500000001</v>
      </c>
      <c r="L1863" t="str">
        <f t="shared" si="29"/>
        <v>INSERT INTO msfo.statements (id_company, id_year, id_showing, value) VALUES (15,5,9,252763,075);</v>
      </c>
    </row>
    <row r="1864" spans="1:12">
      <c r="A1864" s="28" t="s">
        <v>49</v>
      </c>
      <c r="B1864" s="28" t="s">
        <v>34</v>
      </c>
      <c r="C1864" s="28">
        <v>2016</v>
      </c>
      <c r="D1864" s="28" t="s">
        <v>4</v>
      </c>
      <c r="E1864" s="28" t="s">
        <v>12</v>
      </c>
      <c r="F1864" s="28">
        <v>306352.092</v>
      </c>
      <c r="H1864">
        <f>VLOOKUP(A1864&amp;B1864,ticker_sector[],2,FALSE)</f>
        <v>15</v>
      </c>
      <c r="I1864">
        <f>VLOOKUP(C1864,year[],2,FALSE)</f>
        <v>6</v>
      </c>
      <c r="J1864">
        <f>VLOOKUP(E1864,showing[],2,FALSE)</f>
        <v>9</v>
      </c>
      <c r="K1864">
        <f>Сектора[[#This Row],[Значение]]</f>
        <v>306352.092</v>
      </c>
      <c r="L1864" t="str">
        <f t="shared" si="29"/>
        <v>INSERT INTO msfo.statements (id_company, id_year, id_showing, value) VALUES (15,6,9,306352,092);</v>
      </c>
    </row>
    <row r="1865" spans="1:12">
      <c r="A1865" s="28" t="s">
        <v>49</v>
      </c>
      <c r="B1865" s="28" t="s">
        <v>34</v>
      </c>
      <c r="C1865" s="28">
        <v>2017</v>
      </c>
      <c r="D1865" s="28" t="s">
        <v>4</v>
      </c>
      <c r="E1865" s="28" t="s">
        <v>12</v>
      </c>
      <c r="F1865" s="28">
        <v>365177.56599999999</v>
      </c>
      <c r="H1865">
        <f>VLOOKUP(A1865&amp;B1865,ticker_sector[],2,FALSE)</f>
        <v>15</v>
      </c>
      <c r="I1865">
        <f>VLOOKUP(C1865,year[],2,FALSE)</f>
        <v>7</v>
      </c>
      <c r="J1865">
        <f>VLOOKUP(E1865,showing[],2,FALSE)</f>
        <v>9</v>
      </c>
      <c r="K1865">
        <f>Сектора[[#This Row],[Значение]]</f>
        <v>365177.56599999999</v>
      </c>
      <c r="L1865" t="str">
        <f t="shared" si="29"/>
        <v>INSERT INTO msfo.statements (id_company, id_year, id_showing, value) VALUES (15,7,9,365177,566);</v>
      </c>
    </row>
    <row r="1866" spans="1:12">
      <c r="A1866" s="28" t="s">
        <v>49</v>
      </c>
      <c r="B1866" s="28" t="s">
        <v>34</v>
      </c>
      <c r="C1866" s="28">
        <v>2010</v>
      </c>
      <c r="D1866" s="28" t="s">
        <v>4</v>
      </c>
      <c r="E1866" s="28" t="s">
        <v>13</v>
      </c>
      <c r="F1866" s="28">
        <v>2220.1210000000001</v>
      </c>
      <c r="H1866">
        <f>VLOOKUP(A1866&amp;B1866,ticker_sector[],2,FALSE)</f>
        <v>15</v>
      </c>
      <c r="I1866">
        <f>VLOOKUP(C1866,year[],2,FALSE)</f>
        <v>0</v>
      </c>
      <c r="J1866">
        <f>VLOOKUP(E1866,showing[],2,FALSE)</f>
        <v>10</v>
      </c>
      <c r="K1866">
        <f>Сектора[[#This Row],[Значение]]</f>
        <v>2220.1210000000001</v>
      </c>
      <c r="L1866" t="str">
        <f t="shared" si="29"/>
        <v>INSERT INTO msfo.statements (id_company, id_year, id_showing, value) VALUES (15,0,10,2220,121);</v>
      </c>
    </row>
    <row r="1867" spans="1:12">
      <c r="A1867" s="28" t="s">
        <v>49</v>
      </c>
      <c r="B1867" s="28" t="s">
        <v>34</v>
      </c>
      <c r="C1867" s="28">
        <v>2011</v>
      </c>
      <c r="D1867" s="28" t="s">
        <v>4</v>
      </c>
      <c r="E1867" s="28" t="s">
        <v>13</v>
      </c>
      <c r="F1867" s="28">
        <v>1696.5039999999999</v>
      </c>
      <c r="H1867">
        <f>VLOOKUP(A1867&amp;B1867,ticker_sector[],2,FALSE)</f>
        <v>15</v>
      </c>
      <c r="I1867">
        <f>VLOOKUP(C1867,year[],2,FALSE)</f>
        <v>1</v>
      </c>
      <c r="J1867">
        <f>VLOOKUP(E1867,showing[],2,FALSE)</f>
        <v>10</v>
      </c>
      <c r="K1867">
        <f>Сектора[[#This Row],[Значение]]</f>
        <v>1696.5039999999999</v>
      </c>
      <c r="L1867" t="str">
        <f t="shared" si="29"/>
        <v>INSERT INTO msfo.statements (id_company, id_year, id_showing, value) VALUES (15,1,10,1696,504);</v>
      </c>
    </row>
    <row r="1868" spans="1:12">
      <c r="A1868" s="28" t="s">
        <v>49</v>
      </c>
      <c r="B1868" s="28" t="s">
        <v>34</v>
      </c>
      <c r="C1868" s="28">
        <v>2012</v>
      </c>
      <c r="D1868" s="28" t="s">
        <v>4</v>
      </c>
      <c r="E1868" s="28" t="s">
        <v>13</v>
      </c>
      <c r="F1868" s="28">
        <v>5135.7979999999998</v>
      </c>
      <c r="H1868">
        <f>VLOOKUP(A1868&amp;B1868,ticker_sector[],2,FALSE)</f>
        <v>15</v>
      </c>
      <c r="I1868">
        <f>VLOOKUP(C1868,year[],2,FALSE)</f>
        <v>2</v>
      </c>
      <c r="J1868">
        <f>VLOOKUP(E1868,showing[],2,FALSE)</f>
        <v>10</v>
      </c>
      <c r="K1868">
        <f>Сектора[[#This Row],[Значение]]</f>
        <v>5135.7979999999998</v>
      </c>
      <c r="L1868" t="str">
        <f t="shared" si="29"/>
        <v>INSERT INTO msfo.statements (id_company, id_year, id_showing, value) VALUES (15,2,10,5135,798);</v>
      </c>
    </row>
    <row r="1869" spans="1:12">
      <c r="A1869" s="28" t="s">
        <v>49</v>
      </c>
      <c r="B1869" s="28" t="s">
        <v>34</v>
      </c>
      <c r="C1869" s="28">
        <v>2013</v>
      </c>
      <c r="D1869" s="28" t="s">
        <v>4</v>
      </c>
      <c r="E1869" s="28" t="s">
        <v>13</v>
      </c>
      <c r="F1869" s="28">
        <v>7146.8159999999998</v>
      </c>
      <c r="H1869">
        <f>VLOOKUP(A1869&amp;B1869,ticker_sector[],2,FALSE)</f>
        <v>15</v>
      </c>
      <c r="I1869">
        <f>VLOOKUP(C1869,year[],2,FALSE)</f>
        <v>3</v>
      </c>
      <c r="J1869">
        <f>VLOOKUP(E1869,showing[],2,FALSE)</f>
        <v>10</v>
      </c>
      <c r="K1869">
        <f>Сектора[[#This Row],[Значение]]</f>
        <v>7146.8159999999998</v>
      </c>
      <c r="L1869" t="str">
        <f t="shared" si="29"/>
        <v>INSERT INTO msfo.statements (id_company, id_year, id_showing, value) VALUES (15,3,10,7146,816);</v>
      </c>
    </row>
    <row r="1870" spans="1:12">
      <c r="A1870" s="28" t="s">
        <v>49</v>
      </c>
      <c r="B1870" s="28" t="s">
        <v>34</v>
      </c>
      <c r="C1870" s="28">
        <v>2014</v>
      </c>
      <c r="D1870" s="28" t="s">
        <v>4</v>
      </c>
      <c r="E1870" s="28" t="s">
        <v>13</v>
      </c>
      <c r="F1870" s="28">
        <v>9075.107</v>
      </c>
      <c r="H1870">
        <f>VLOOKUP(A1870&amp;B1870,ticker_sector[],2,FALSE)</f>
        <v>15</v>
      </c>
      <c r="I1870">
        <f>VLOOKUP(C1870,year[],2,FALSE)</f>
        <v>4</v>
      </c>
      <c r="J1870">
        <f>VLOOKUP(E1870,showing[],2,FALSE)</f>
        <v>10</v>
      </c>
      <c r="K1870">
        <f>Сектора[[#This Row],[Значение]]</f>
        <v>9075.107</v>
      </c>
      <c r="L1870" t="str">
        <f t="shared" si="29"/>
        <v>INSERT INTO msfo.statements (id_company, id_year, id_showing, value) VALUES (15,4,10,9075,107);</v>
      </c>
    </row>
    <row r="1871" spans="1:12">
      <c r="A1871" s="28" t="s">
        <v>49</v>
      </c>
      <c r="B1871" s="28" t="s">
        <v>34</v>
      </c>
      <c r="C1871" s="28">
        <v>2015</v>
      </c>
      <c r="D1871" s="28" t="s">
        <v>4</v>
      </c>
      <c r="E1871" s="28" t="s">
        <v>13</v>
      </c>
      <c r="F1871" s="28">
        <v>10288.093000000001</v>
      </c>
      <c r="H1871">
        <f>VLOOKUP(A1871&amp;B1871,ticker_sector[],2,FALSE)</f>
        <v>15</v>
      </c>
      <c r="I1871">
        <f>VLOOKUP(C1871,year[],2,FALSE)</f>
        <v>5</v>
      </c>
      <c r="J1871">
        <f>VLOOKUP(E1871,showing[],2,FALSE)</f>
        <v>10</v>
      </c>
      <c r="K1871">
        <f>Сектора[[#This Row],[Значение]]</f>
        <v>10288.093000000001</v>
      </c>
      <c r="L1871" t="str">
        <f t="shared" si="29"/>
        <v>INSERT INTO msfo.statements (id_company, id_year, id_showing, value) VALUES (15,5,10,10288,093);</v>
      </c>
    </row>
    <row r="1872" spans="1:12">
      <c r="A1872" s="28" t="s">
        <v>49</v>
      </c>
      <c r="B1872" s="28" t="s">
        <v>34</v>
      </c>
      <c r="C1872" s="28">
        <v>2016</v>
      </c>
      <c r="D1872" s="28" t="s">
        <v>4</v>
      </c>
      <c r="E1872" s="28" t="s">
        <v>13</v>
      </c>
      <c r="F1872" s="28">
        <v>11202.028</v>
      </c>
      <c r="H1872">
        <f>VLOOKUP(A1872&amp;B1872,ticker_sector[],2,FALSE)</f>
        <v>15</v>
      </c>
      <c r="I1872">
        <f>VLOOKUP(C1872,year[],2,FALSE)</f>
        <v>6</v>
      </c>
      <c r="J1872">
        <f>VLOOKUP(E1872,showing[],2,FALSE)</f>
        <v>10</v>
      </c>
      <c r="K1872">
        <f>Сектора[[#This Row],[Значение]]</f>
        <v>11202.028</v>
      </c>
      <c r="L1872" t="str">
        <f t="shared" si="29"/>
        <v>INSERT INTO msfo.statements (id_company, id_year, id_showing, value) VALUES (15,6,10,11202,028);</v>
      </c>
    </row>
    <row r="1873" spans="1:12">
      <c r="A1873" s="28" t="s">
        <v>49</v>
      </c>
      <c r="B1873" s="28" t="s">
        <v>34</v>
      </c>
      <c r="C1873" s="28">
        <v>2017</v>
      </c>
      <c r="D1873" s="28" t="s">
        <v>4</v>
      </c>
      <c r="E1873" s="28" t="s">
        <v>13</v>
      </c>
      <c r="F1873" s="28">
        <v>13263.539000000001</v>
      </c>
      <c r="H1873">
        <f>VLOOKUP(A1873&amp;B1873,ticker_sector[],2,FALSE)</f>
        <v>15</v>
      </c>
      <c r="I1873">
        <f>VLOOKUP(C1873,year[],2,FALSE)</f>
        <v>7</v>
      </c>
      <c r="J1873">
        <f>VLOOKUP(E1873,showing[],2,FALSE)</f>
        <v>10</v>
      </c>
      <c r="K1873">
        <f>Сектора[[#This Row],[Значение]]</f>
        <v>13263.539000000001</v>
      </c>
      <c r="L1873" t="str">
        <f t="shared" si="29"/>
        <v>INSERT INTO msfo.statements (id_company, id_year, id_showing, value) VALUES (15,7,10,13263,539);</v>
      </c>
    </row>
    <row r="1874" spans="1:12">
      <c r="A1874" s="28" t="s">
        <v>49</v>
      </c>
      <c r="B1874" s="28" t="s">
        <v>34</v>
      </c>
      <c r="C1874" s="28">
        <v>2010</v>
      </c>
      <c r="D1874" s="28" t="s">
        <v>4</v>
      </c>
      <c r="E1874" s="28" t="s">
        <v>14</v>
      </c>
      <c r="F1874" s="28">
        <v>2317.4368456109378</v>
      </c>
      <c r="H1874">
        <f>VLOOKUP(A1874&amp;B1874,ticker_sector[],2,FALSE)</f>
        <v>15</v>
      </c>
      <c r="I1874">
        <f>VLOOKUP(C1874,year[],2,FALSE)</f>
        <v>0</v>
      </c>
      <c r="J1874">
        <f>VLOOKUP(E1874,showing[],2,FALSE)</f>
        <v>11</v>
      </c>
      <c r="K1874">
        <f>Сектора[[#This Row],[Значение]]</f>
        <v>2317.4368456109378</v>
      </c>
      <c r="L1874" t="str">
        <f t="shared" si="29"/>
        <v>INSERT INTO msfo.statements (id_company, id_year, id_showing, value) VALUES (15,0,11,2317,43684561094);</v>
      </c>
    </row>
    <row r="1875" spans="1:12">
      <c r="A1875" s="28" t="s">
        <v>49</v>
      </c>
      <c r="B1875" s="28" t="s">
        <v>34</v>
      </c>
      <c r="C1875" s="28">
        <v>2011</v>
      </c>
      <c r="D1875" s="28" t="s">
        <v>4</v>
      </c>
      <c r="E1875" s="28" t="s">
        <v>14</v>
      </c>
      <c r="F1875" s="28">
        <v>2788.1024409788761</v>
      </c>
      <c r="H1875">
        <f>VLOOKUP(A1875&amp;B1875,ticker_sector[],2,FALSE)</f>
        <v>15</v>
      </c>
      <c r="I1875">
        <f>VLOOKUP(C1875,year[],2,FALSE)</f>
        <v>1</v>
      </c>
      <c r="J1875">
        <f>VLOOKUP(E1875,showing[],2,FALSE)</f>
        <v>11</v>
      </c>
      <c r="K1875">
        <f>Сектора[[#This Row],[Значение]]</f>
        <v>2788.1024409788761</v>
      </c>
      <c r="L1875" t="str">
        <f t="shared" si="29"/>
        <v>INSERT INTO msfo.statements (id_company, id_year, id_showing, value) VALUES (15,1,11,2788,10244097888);</v>
      </c>
    </row>
    <row r="1876" spans="1:12">
      <c r="A1876" s="28" t="s">
        <v>49</v>
      </c>
      <c r="B1876" s="28" t="s">
        <v>34</v>
      </c>
      <c r="C1876" s="28">
        <v>2012</v>
      </c>
      <c r="D1876" s="28" t="s">
        <v>4</v>
      </c>
      <c r="E1876" s="28" t="s">
        <v>14</v>
      </c>
      <c r="F1876" s="28">
        <v>3618.7069967437865</v>
      </c>
      <c r="H1876">
        <f>VLOOKUP(A1876&amp;B1876,ticker_sector[],2,FALSE)</f>
        <v>15</v>
      </c>
      <c r="I1876">
        <f>VLOOKUP(C1876,year[],2,FALSE)</f>
        <v>2</v>
      </c>
      <c r="J1876">
        <f>VLOOKUP(E1876,showing[],2,FALSE)</f>
        <v>11</v>
      </c>
      <c r="K1876">
        <f>Сектора[[#This Row],[Значение]]</f>
        <v>3618.7069967437865</v>
      </c>
      <c r="L1876" t="str">
        <f t="shared" si="29"/>
        <v>INSERT INTO msfo.statements (id_company, id_year, id_showing, value) VALUES (15,2,11,3618,70699674379);</v>
      </c>
    </row>
    <row r="1877" spans="1:12">
      <c r="A1877" s="28" t="s">
        <v>49</v>
      </c>
      <c r="B1877" s="28" t="s">
        <v>34</v>
      </c>
      <c r="C1877" s="28">
        <v>2013</v>
      </c>
      <c r="D1877" s="28" t="s">
        <v>4</v>
      </c>
      <c r="E1877" s="28" t="s">
        <v>14</v>
      </c>
      <c r="F1877" s="28">
        <v>4407.8826857973918</v>
      </c>
      <c r="H1877">
        <f>VLOOKUP(A1877&amp;B1877,ticker_sector[],2,FALSE)</f>
        <v>15</v>
      </c>
      <c r="I1877">
        <f>VLOOKUP(C1877,year[],2,FALSE)</f>
        <v>3</v>
      </c>
      <c r="J1877">
        <f>VLOOKUP(E1877,showing[],2,FALSE)</f>
        <v>11</v>
      </c>
      <c r="K1877">
        <f>Сектора[[#This Row],[Значение]]</f>
        <v>4407.8826857973918</v>
      </c>
      <c r="L1877" t="str">
        <f t="shared" si="29"/>
        <v>INSERT INTO msfo.statements (id_company, id_year, id_showing, value) VALUES (15,3,11,4407,88268579739);</v>
      </c>
    </row>
    <row r="1878" spans="1:12">
      <c r="A1878" s="28" t="s">
        <v>49</v>
      </c>
      <c r="B1878" s="28" t="s">
        <v>34</v>
      </c>
      <c r="C1878" s="28">
        <v>2014</v>
      </c>
      <c r="D1878" s="28" t="s">
        <v>4</v>
      </c>
      <c r="E1878" s="28" t="s">
        <v>14</v>
      </c>
      <c r="F1878" s="28">
        <v>3448.1648962643799</v>
      </c>
      <c r="H1878">
        <f>VLOOKUP(A1878&amp;B1878,ticker_sector[],2,FALSE)</f>
        <v>15</v>
      </c>
      <c r="I1878">
        <f>VLOOKUP(C1878,year[],2,FALSE)</f>
        <v>4</v>
      </c>
      <c r="J1878">
        <f>VLOOKUP(E1878,showing[],2,FALSE)</f>
        <v>11</v>
      </c>
      <c r="K1878">
        <f>Сектора[[#This Row],[Значение]]</f>
        <v>3448.1648962643799</v>
      </c>
      <c r="L1878" t="str">
        <f t="shared" si="29"/>
        <v>INSERT INTO msfo.statements (id_company, id_year, id_showing, value) VALUES (15,4,11,3448,16489626438);</v>
      </c>
    </row>
    <row r="1879" spans="1:12">
      <c r="A1879" s="28" t="s">
        <v>49</v>
      </c>
      <c r="B1879" s="28" t="s">
        <v>34</v>
      </c>
      <c r="C1879" s="28">
        <v>2015</v>
      </c>
      <c r="D1879" s="28" t="s">
        <v>4</v>
      </c>
      <c r="E1879" s="28" t="s">
        <v>14</v>
      </c>
      <c r="F1879" s="28">
        <v>3468.0805595840989</v>
      </c>
      <c r="H1879">
        <f>VLOOKUP(A1879&amp;B1879,ticker_sector[],2,FALSE)</f>
        <v>15</v>
      </c>
      <c r="I1879">
        <f>VLOOKUP(C1879,year[],2,FALSE)</f>
        <v>5</v>
      </c>
      <c r="J1879">
        <f>VLOOKUP(E1879,showing[],2,FALSE)</f>
        <v>11</v>
      </c>
      <c r="K1879">
        <f>Сектора[[#This Row],[Значение]]</f>
        <v>3468.0805595840989</v>
      </c>
      <c r="L1879" t="str">
        <f t="shared" si="29"/>
        <v>INSERT INTO msfo.statements (id_company, id_year, id_showing, value) VALUES (15,5,11,3468,0805595841);</v>
      </c>
    </row>
    <row r="1880" spans="1:12">
      <c r="A1880" s="28" t="s">
        <v>49</v>
      </c>
      <c r="B1880" s="28" t="s">
        <v>34</v>
      </c>
      <c r="C1880" s="28">
        <v>2016</v>
      </c>
      <c r="D1880" s="28" t="s">
        <v>4</v>
      </c>
      <c r="E1880" s="28" t="s">
        <v>14</v>
      </c>
      <c r="F1880" s="28">
        <v>5050.5728449689977</v>
      </c>
      <c r="H1880">
        <f>VLOOKUP(A1880&amp;B1880,ticker_sector[],2,FALSE)</f>
        <v>15</v>
      </c>
      <c r="I1880">
        <f>VLOOKUP(C1880,year[],2,FALSE)</f>
        <v>6</v>
      </c>
      <c r="J1880">
        <f>VLOOKUP(E1880,showing[],2,FALSE)</f>
        <v>11</v>
      </c>
      <c r="K1880">
        <f>Сектора[[#This Row],[Значение]]</f>
        <v>5050.5728449689977</v>
      </c>
      <c r="L1880" t="str">
        <f t="shared" si="29"/>
        <v>INSERT INTO msfo.statements (id_company, id_year, id_showing, value) VALUES (15,6,11,5050,572844969);</v>
      </c>
    </row>
    <row r="1881" spans="1:12">
      <c r="A1881" s="28" t="s">
        <v>49</v>
      </c>
      <c r="B1881" s="28" t="s">
        <v>34</v>
      </c>
      <c r="C1881" s="28">
        <v>2017</v>
      </c>
      <c r="D1881" s="28" t="s">
        <v>4</v>
      </c>
      <c r="E1881" s="28" t="s">
        <v>14</v>
      </c>
      <c r="F1881" s="28">
        <v>6339.8662851865092</v>
      </c>
      <c r="H1881">
        <f>VLOOKUP(A1881&amp;B1881,ticker_sector[],2,FALSE)</f>
        <v>15</v>
      </c>
      <c r="I1881">
        <f>VLOOKUP(C1881,year[],2,FALSE)</f>
        <v>7</v>
      </c>
      <c r="J1881">
        <f>VLOOKUP(E1881,showing[],2,FALSE)</f>
        <v>11</v>
      </c>
      <c r="K1881">
        <f>Сектора[[#This Row],[Значение]]</f>
        <v>6339.8662851865092</v>
      </c>
      <c r="L1881" t="str">
        <f t="shared" si="29"/>
        <v>INSERT INTO msfo.statements (id_company, id_year, id_showing, value) VALUES (15,7,11,6339,86628518651);</v>
      </c>
    </row>
    <row r="1882" spans="1:12">
      <c r="A1882" s="28" t="s">
        <v>49</v>
      </c>
      <c r="B1882" s="28" t="s">
        <v>34</v>
      </c>
      <c r="C1882" s="28">
        <v>2010</v>
      </c>
      <c r="D1882" s="28" t="s">
        <v>4</v>
      </c>
      <c r="E1882" s="28" t="s">
        <v>15</v>
      </c>
      <c r="F1882" s="28">
        <v>72.846024365995234</v>
      </c>
      <c r="H1882">
        <f>VLOOKUP(A1882&amp;B1882,ticker_sector[],2,FALSE)</f>
        <v>15</v>
      </c>
      <c r="I1882">
        <f>VLOOKUP(C1882,year[],2,FALSE)</f>
        <v>0</v>
      </c>
      <c r="J1882">
        <f>VLOOKUP(E1882,showing[],2,FALSE)</f>
        <v>12</v>
      </c>
      <c r="K1882">
        <f>Сектора[[#This Row],[Значение]]</f>
        <v>72.846024365995234</v>
      </c>
      <c r="L1882" t="str">
        <f t="shared" si="29"/>
        <v>INSERT INTO msfo.statements (id_company, id_year, id_showing, value) VALUES (15,0,12,72,8460243659952);</v>
      </c>
    </row>
    <row r="1883" spans="1:12">
      <c r="A1883" s="28" t="s">
        <v>49</v>
      </c>
      <c r="B1883" s="28" t="s">
        <v>34</v>
      </c>
      <c r="C1883" s="28">
        <v>2011</v>
      </c>
      <c r="D1883" s="28" t="s">
        <v>4</v>
      </c>
      <c r="E1883" s="28" t="s">
        <v>15</v>
      </c>
      <c r="F1883" s="28">
        <v>52.692841679582301</v>
      </c>
      <c r="H1883">
        <f>VLOOKUP(A1883&amp;B1883,ticker_sector[],2,FALSE)</f>
        <v>15</v>
      </c>
      <c r="I1883">
        <f>VLOOKUP(C1883,year[],2,FALSE)</f>
        <v>1</v>
      </c>
      <c r="J1883">
        <f>VLOOKUP(E1883,showing[],2,FALSE)</f>
        <v>12</v>
      </c>
      <c r="K1883">
        <f>Сектора[[#This Row],[Значение]]</f>
        <v>52.692841679582301</v>
      </c>
      <c r="L1883" t="str">
        <f t="shared" si="29"/>
        <v>INSERT INTO msfo.statements (id_company, id_year, id_showing, value) VALUES (15,1,12,52,6928416795823);</v>
      </c>
    </row>
    <row r="1884" spans="1:12">
      <c r="A1884" s="28" t="s">
        <v>49</v>
      </c>
      <c r="B1884" s="28" t="s">
        <v>34</v>
      </c>
      <c r="C1884" s="28">
        <v>2012</v>
      </c>
      <c r="D1884" s="28" t="s">
        <v>4</v>
      </c>
      <c r="E1884" s="28" t="s">
        <v>15</v>
      </c>
      <c r="F1884" s="28">
        <v>169.09257326480687</v>
      </c>
      <c r="H1884">
        <f>VLOOKUP(A1884&amp;B1884,ticker_sector[],2,FALSE)</f>
        <v>15</v>
      </c>
      <c r="I1884">
        <f>VLOOKUP(C1884,year[],2,FALSE)</f>
        <v>2</v>
      </c>
      <c r="J1884">
        <f>VLOOKUP(E1884,showing[],2,FALSE)</f>
        <v>12</v>
      </c>
      <c r="K1884">
        <f>Сектора[[#This Row],[Значение]]</f>
        <v>169.09257326480687</v>
      </c>
      <c r="L1884" t="str">
        <f t="shared" si="29"/>
        <v>INSERT INTO msfo.statements (id_company, id_year, id_showing, value) VALUES (15,2,12,169,092573264807);</v>
      </c>
    </row>
    <row r="1885" spans="1:12">
      <c r="A1885" s="28" t="s">
        <v>49</v>
      </c>
      <c r="B1885" s="28" t="s">
        <v>34</v>
      </c>
      <c r="C1885" s="28">
        <v>2013</v>
      </c>
      <c r="D1885" s="28" t="s">
        <v>4</v>
      </c>
      <c r="E1885" s="28" t="s">
        <v>15</v>
      </c>
      <c r="F1885" s="28">
        <v>218.36207423340625</v>
      </c>
      <c r="H1885">
        <f>VLOOKUP(A1885&amp;B1885,ticker_sector[],2,FALSE)</f>
        <v>15</v>
      </c>
      <c r="I1885">
        <f>VLOOKUP(C1885,year[],2,FALSE)</f>
        <v>3</v>
      </c>
      <c r="J1885">
        <f>VLOOKUP(E1885,showing[],2,FALSE)</f>
        <v>12</v>
      </c>
      <c r="K1885">
        <f>Сектора[[#This Row],[Значение]]</f>
        <v>218.36207423340625</v>
      </c>
      <c r="L1885" t="str">
        <f t="shared" si="29"/>
        <v>INSERT INTO msfo.statements (id_company, id_year, id_showing, value) VALUES (15,3,12,218,362074233406);</v>
      </c>
    </row>
    <row r="1886" spans="1:12">
      <c r="A1886" s="28" t="s">
        <v>49</v>
      </c>
      <c r="B1886" s="28" t="s">
        <v>34</v>
      </c>
      <c r="C1886" s="28">
        <v>2014</v>
      </c>
      <c r="D1886" s="28" t="s">
        <v>4</v>
      </c>
      <c r="E1886" s="28" t="s">
        <v>15</v>
      </c>
      <c r="F1886" s="28">
        <v>161.31114642435617</v>
      </c>
      <c r="H1886">
        <f>VLOOKUP(A1886&amp;B1886,ticker_sector[],2,FALSE)</f>
        <v>15</v>
      </c>
      <c r="I1886">
        <f>VLOOKUP(C1886,year[],2,FALSE)</f>
        <v>4</v>
      </c>
      <c r="J1886">
        <f>VLOOKUP(E1886,showing[],2,FALSE)</f>
        <v>12</v>
      </c>
      <c r="K1886">
        <f>Сектора[[#This Row],[Значение]]</f>
        <v>161.31114642435617</v>
      </c>
      <c r="L1886" t="str">
        <f t="shared" si="29"/>
        <v>INSERT INTO msfo.statements (id_company, id_year, id_showing, value) VALUES (15,4,12,161,311146424356);</v>
      </c>
    </row>
    <row r="1887" spans="1:12">
      <c r="A1887" s="28" t="s">
        <v>49</v>
      </c>
      <c r="B1887" s="28" t="s">
        <v>34</v>
      </c>
      <c r="C1887" s="28">
        <v>2015</v>
      </c>
      <c r="D1887" s="28" t="s">
        <v>4</v>
      </c>
      <c r="E1887" s="28" t="s">
        <v>15</v>
      </c>
      <c r="F1887" s="28">
        <v>141.15960303336732</v>
      </c>
      <c r="H1887">
        <f>VLOOKUP(A1887&amp;B1887,ticker_sector[],2,FALSE)</f>
        <v>15</v>
      </c>
      <c r="I1887">
        <f>VLOOKUP(C1887,year[],2,FALSE)</f>
        <v>5</v>
      </c>
      <c r="J1887">
        <f>VLOOKUP(E1887,showing[],2,FALSE)</f>
        <v>12</v>
      </c>
      <c r="K1887">
        <f>Сектора[[#This Row],[Значение]]</f>
        <v>141.15960303336732</v>
      </c>
      <c r="L1887" t="str">
        <f t="shared" si="29"/>
        <v>INSERT INTO msfo.statements (id_company, id_year, id_showing, value) VALUES (15,5,12,141,159603033367);</v>
      </c>
    </row>
    <row r="1888" spans="1:12">
      <c r="A1888" s="28" t="s">
        <v>49</v>
      </c>
      <c r="B1888" s="28" t="s">
        <v>34</v>
      </c>
      <c r="C1888" s="28">
        <v>2016</v>
      </c>
      <c r="D1888" s="28" t="s">
        <v>4</v>
      </c>
      <c r="E1888" s="28" t="s">
        <v>15</v>
      </c>
      <c r="F1888" s="28">
        <v>184.67854440302753</v>
      </c>
      <c r="H1888">
        <f>VLOOKUP(A1888&amp;B1888,ticker_sector[],2,FALSE)</f>
        <v>15</v>
      </c>
      <c r="I1888">
        <f>VLOOKUP(C1888,year[],2,FALSE)</f>
        <v>6</v>
      </c>
      <c r="J1888">
        <f>VLOOKUP(E1888,showing[],2,FALSE)</f>
        <v>12</v>
      </c>
      <c r="K1888">
        <f>Сектора[[#This Row],[Значение]]</f>
        <v>184.67854440302753</v>
      </c>
      <c r="L1888" t="str">
        <f t="shared" si="29"/>
        <v>INSERT INTO msfo.statements (id_company, id_year, id_showing, value) VALUES (15,6,12,184,678544403028);</v>
      </c>
    </row>
    <row r="1889" spans="1:12">
      <c r="A1889" s="28" t="s">
        <v>49</v>
      </c>
      <c r="B1889" s="28" t="s">
        <v>34</v>
      </c>
      <c r="C1889" s="28">
        <v>2017</v>
      </c>
      <c r="D1889" s="28" t="s">
        <v>4</v>
      </c>
      <c r="E1889" s="28" t="s">
        <v>15</v>
      </c>
      <c r="F1889" s="28">
        <v>230.26897476050431</v>
      </c>
      <c r="H1889">
        <f>VLOOKUP(A1889&amp;B1889,ticker_sector[],2,FALSE)</f>
        <v>15</v>
      </c>
      <c r="I1889">
        <f>VLOOKUP(C1889,year[],2,FALSE)</f>
        <v>7</v>
      </c>
      <c r="J1889">
        <f>VLOOKUP(E1889,showing[],2,FALSE)</f>
        <v>12</v>
      </c>
      <c r="K1889">
        <f>Сектора[[#This Row],[Значение]]</f>
        <v>230.26897476050431</v>
      </c>
      <c r="L1889" t="str">
        <f t="shared" si="29"/>
        <v>INSERT INTO msfo.statements (id_company, id_year, id_showing, value) VALUES (15,7,12,230,268974760504);</v>
      </c>
    </row>
    <row r="1890" spans="1:12">
      <c r="A1890" s="28" t="s">
        <v>49</v>
      </c>
      <c r="B1890" s="28" t="s">
        <v>34</v>
      </c>
      <c r="C1890" s="28">
        <v>2010</v>
      </c>
      <c r="D1890" s="28" t="s">
        <v>7</v>
      </c>
      <c r="E1890" s="28" t="s">
        <v>16</v>
      </c>
      <c r="F1890" s="28">
        <v>4683.692</v>
      </c>
      <c r="H1890">
        <f>VLOOKUP(A1890&amp;B1890,ticker_sector[],2,FALSE)</f>
        <v>15</v>
      </c>
      <c r="I1890">
        <f>VLOOKUP(C1890,year[],2,FALSE)</f>
        <v>0</v>
      </c>
      <c r="J1890">
        <f>VLOOKUP(E1890,showing[],2,FALSE)</f>
        <v>13</v>
      </c>
      <c r="K1890">
        <f>Сектора[[#This Row],[Значение]]</f>
        <v>4683.692</v>
      </c>
      <c r="L1890" t="str">
        <f t="shared" si="29"/>
        <v>INSERT INTO msfo.statements (id_company, id_year, id_showing, value) VALUES (15,0,13,4683,692);</v>
      </c>
    </row>
    <row r="1891" spans="1:12">
      <c r="A1891" s="28" t="s">
        <v>49</v>
      </c>
      <c r="B1891" s="28" t="s">
        <v>34</v>
      </c>
      <c r="C1891" s="28">
        <v>2011</v>
      </c>
      <c r="D1891" s="28" t="s">
        <v>7</v>
      </c>
      <c r="E1891" s="28" t="s">
        <v>16</v>
      </c>
      <c r="F1891" s="28">
        <v>3977.5119999999997</v>
      </c>
      <c r="H1891">
        <f>VLOOKUP(A1891&amp;B1891,ticker_sector[],2,FALSE)</f>
        <v>15</v>
      </c>
      <c r="I1891">
        <f>VLOOKUP(C1891,year[],2,FALSE)</f>
        <v>1</v>
      </c>
      <c r="J1891">
        <f>VLOOKUP(E1891,showing[],2,FALSE)</f>
        <v>13</v>
      </c>
      <c r="K1891">
        <f>Сектора[[#This Row],[Значение]]</f>
        <v>3977.5119999999997</v>
      </c>
      <c r="L1891" t="str">
        <f t="shared" si="29"/>
        <v>INSERT INTO msfo.statements (id_company, id_year, id_showing, value) VALUES (15,1,13,3977,512);</v>
      </c>
    </row>
    <row r="1892" spans="1:12">
      <c r="A1892" s="28" t="s">
        <v>49</v>
      </c>
      <c r="B1892" s="28" t="s">
        <v>34</v>
      </c>
      <c r="C1892" s="28">
        <v>2012</v>
      </c>
      <c r="D1892" s="28" t="s">
        <v>7</v>
      </c>
      <c r="E1892" s="28" t="s">
        <v>16</v>
      </c>
      <c r="F1892" s="28">
        <v>7544.547999999998</v>
      </c>
      <c r="H1892">
        <f>VLOOKUP(A1892&amp;B1892,ticker_sector[],2,FALSE)</f>
        <v>15</v>
      </c>
      <c r="I1892">
        <f>VLOOKUP(C1892,year[],2,FALSE)</f>
        <v>2</v>
      </c>
      <c r="J1892">
        <f>VLOOKUP(E1892,showing[],2,FALSE)</f>
        <v>13</v>
      </c>
      <c r="K1892">
        <f>Сектора[[#This Row],[Значение]]</f>
        <v>7544.547999999998</v>
      </c>
      <c r="L1892" t="str">
        <f t="shared" si="29"/>
        <v>INSERT INTO msfo.statements (id_company, id_year, id_showing, value) VALUES (15,2,13,7544,548);</v>
      </c>
    </row>
    <row r="1893" spans="1:12">
      <c r="A1893" s="28" t="s">
        <v>49</v>
      </c>
      <c r="B1893" s="28" t="s">
        <v>34</v>
      </c>
      <c r="C1893" s="28">
        <v>2013</v>
      </c>
      <c r="D1893" s="28" t="s">
        <v>7</v>
      </c>
      <c r="E1893" s="28" t="s">
        <v>16</v>
      </c>
      <c r="F1893" s="28">
        <v>11402.188999999998</v>
      </c>
      <c r="H1893">
        <f>VLOOKUP(A1893&amp;B1893,ticker_sector[],2,FALSE)</f>
        <v>15</v>
      </c>
      <c r="I1893">
        <f>VLOOKUP(C1893,year[],2,FALSE)</f>
        <v>3</v>
      </c>
      <c r="J1893">
        <f>VLOOKUP(E1893,showing[],2,FALSE)</f>
        <v>13</v>
      </c>
      <c r="K1893">
        <f>Сектора[[#This Row],[Значение]]</f>
        <v>11402.188999999998</v>
      </c>
      <c r="L1893" t="str">
        <f t="shared" si="29"/>
        <v>INSERT INTO msfo.statements (id_company, id_year, id_showing, value) VALUES (15,3,13,11402,189);</v>
      </c>
    </row>
    <row r="1894" spans="1:12">
      <c r="A1894" s="28" t="s">
        <v>49</v>
      </c>
      <c r="B1894" s="28" t="s">
        <v>34</v>
      </c>
      <c r="C1894" s="28">
        <v>2014</v>
      </c>
      <c r="D1894" s="28" t="s">
        <v>7</v>
      </c>
      <c r="E1894" s="28" t="s">
        <v>16</v>
      </c>
      <c r="F1894" s="28">
        <v>14334.188999999998</v>
      </c>
      <c r="H1894">
        <f>VLOOKUP(A1894&amp;B1894,ticker_sector[],2,FALSE)</f>
        <v>15</v>
      </c>
      <c r="I1894">
        <f>VLOOKUP(C1894,year[],2,FALSE)</f>
        <v>4</v>
      </c>
      <c r="J1894">
        <f>VLOOKUP(E1894,showing[],2,FALSE)</f>
        <v>13</v>
      </c>
      <c r="K1894">
        <f>Сектора[[#This Row],[Значение]]</f>
        <v>14334.188999999998</v>
      </c>
      <c r="L1894" t="str">
        <f t="shared" si="29"/>
        <v>INSERT INTO msfo.statements (id_company, id_year, id_showing, value) VALUES (15,4,13,14334,189);</v>
      </c>
    </row>
    <row r="1895" spans="1:12">
      <c r="A1895" s="28" t="s">
        <v>49</v>
      </c>
      <c r="B1895" s="28" t="s">
        <v>34</v>
      </c>
      <c r="C1895" s="28">
        <v>2015</v>
      </c>
      <c r="D1895" s="28" t="s">
        <v>7</v>
      </c>
      <c r="E1895" s="28" t="s">
        <v>16</v>
      </c>
      <c r="F1895" s="28">
        <v>18302.220999999998</v>
      </c>
      <c r="H1895">
        <f>VLOOKUP(A1895&amp;B1895,ticker_sector[],2,FALSE)</f>
        <v>15</v>
      </c>
      <c r="I1895">
        <f>VLOOKUP(C1895,year[],2,FALSE)</f>
        <v>5</v>
      </c>
      <c r="J1895">
        <f>VLOOKUP(E1895,showing[],2,FALSE)</f>
        <v>13</v>
      </c>
      <c r="K1895">
        <f>Сектора[[#This Row],[Значение]]</f>
        <v>18302.220999999998</v>
      </c>
      <c r="L1895" t="str">
        <f t="shared" si="29"/>
        <v>INSERT INTO msfo.statements (id_company, id_year, id_showing, value) VALUES (15,5,13,18302,221);</v>
      </c>
    </row>
    <row r="1896" spans="1:12">
      <c r="A1896" s="28" t="s">
        <v>49</v>
      </c>
      <c r="B1896" s="28" t="s">
        <v>34</v>
      </c>
      <c r="C1896" s="28">
        <v>2016</v>
      </c>
      <c r="D1896" s="28" t="s">
        <v>7</v>
      </c>
      <c r="E1896" s="28" t="s">
        <v>16</v>
      </c>
      <c r="F1896" s="28">
        <v>24386.574000000001</v>
      </c>
      <c r="H1896">
        <f>VLOOKUP(A1896&amp;B1896,ticker_sector[],2,FALSE)</f>
        <v>15</v>
      </c>
      <c r="I1896">
        <f>VLOOKUP(C1896,year[],2,FALSE)</f>
        <v>6</v>
      </c>
      <c r="J1896">
        <f>VLOOKUP(E1896,showing[],2,FALSE)</f>
        <v>13</v>
      </c>
      <c r="K1896">
        <f>Сектора[[#This Row],[Значение]]</f>
        <v>24386.574000000001</v>
      </c>
      <c r="L1896" t="str">
        <f t="shared" si="29"/>
        <v>INSERT INTO msfo.statements (id_company, id_year, id_showing, value) VALUES (15,6,13,24386,574);</v>
      </c>
    </row>
    <row r="1897" spans="1:12">
      <c r="A1897" s="28" t="s">
        <v>49</v>
      </c>
      <c r="B1897" s="28" t="s">
        <v>34</v>
      </c>
      <c r="C1897" s="28">
        <v>2017</v>
      </c>
      <c r="D1897" s="28" t="s">
        <v>7</v>
      </c>
      <c r="E1897" s="28" t="s">
        <v>16</v>
      </c>
      <c r="F1897" s="28">
        <v>24849.928</v>
      </c>
      <c r="H1897">
        <f>VLOOKUP(A1897&amp;B1897,ticker_sector[],2,FALSE)</f>
        <v>15</v>
      </c>
      <c r="I1897">
        <f>VLOOKUP(C1897,year[],2,FALSE)</f>
        <v>7</v>
      </c>
      <c r="J1897">
        <f>VLOOKUP(E1897,showing[],2,FALSE)</f>
        <v>13</v>
      </c>
      <c r="K1897">
        <f>Сектора[[#This Row],[Значение]]</f>
        <v>24849.928</v>
      </c>
      <c r="L1897" t="str">
        <f t="shared" si="29"/>
        <v>INSERT INTO msfo.statements (id_company, id_year, id_showing, value) VALUES (15,7,13,24849,928);</v>
      </c>
    </row>
    <row r="1898" spans="1:12">
      <c r="A1898" s="28" t="s">
        <v>49</v>
      </c>
      <c r="B1898" s="28" t="s">
        <v>34</v>
      </c>
      <c r="C1898" s="28">
        <v>2010</v>
      </c>
      <c r="D1898" s="28" t="s">
        <v>7</v>
      </c>
      <c r="E1898" s="28" t="s">
        <v>17</v>
      </c>
      <c r="F1898" s="28">
        <v>153.68006588596609</v>
      </c>
      <c r="H1898">
        <f>VLOOKUP(A1898&amp;B1898,ticker_sector[],2,FALSE)</f>
        <v>15</v>
      </c>
      <c r="I1898">
        <f>VLOOKUP(C1898,year[],2,FALSE)</f>
        <v>0</v>
      </c>
      <c r="J1898">
        <f>VLOOKUP(E1898,showing[],2,FALSE)</f>
        <v>14</v>
      </c>
      <c r="K1898">
        <f>Сектора[[#This Row],[Значение]]</f>
        <v>153.68006588596609</v>
      </c>
      <c r="L1898" t="str">
        <f t="shared" si="29"/>
        <v>INSERT INTO msfo.statements (id_company, id_year, id_showing, value) VALUES (15,0,14,153,680065885966);</v>
      </c>
    </row>
    <row r="1899" spans="1:12">
      <c r="A1899" s="28" t="s">
        <v>49</v>
      </c>
      <c r="B1899" s="28" t="s">
        <v>34</v>
      </c>
      <c r="C1899" s="28">
        <v>2011</v>
      </c>
      <c r="D1899" s="28" t="s">
        <v>7</v>
      </c>
      <c r="E1899" s="28" t="s">
        <v>17</v>
      </c>
      <c r="F1899" s="28">
        <v>123.5401803324005</v>
      </c>
      <c r="H1899">
        <f>VLOOKUP(A1899&amp;B1899,ticker_sector[],2,FALSE)</f>
        <v>15</v>
      </c>
      <c r="I1899">
        <f>VLOOKUP(C1899,year[],2,FALSE)</f>
        <v>1</v>
      </c>
      <c r="J1899">
        <f>VLOOKUP(E1899,showing[],2,FALSE)</f>
        <v>14</v>
      </c>
      <c r="K1899">
        <f>Сектора[[#This Row],[Значение]]</f>
        <v>123.5401803324005</v>
      </c>
      <c r="L1899" t="str">
        <f t="shared" si="29"/>
        <v>INSERT INTO msfo.statements (id_company, id_year, id_showing, value) VALUES (15,1,14,123,5401803324);</v>
      </c>
    </row>
    <row r="1900" spans="1:12">
      <c r="A1900" s="28" t="s">
        <v>49</v>
      </c>
      <c r="B1900" s="28" t="s">
        <v>34</v>
      </c>
      <c r="C1900" s="28">
        <v>2012</v>
      </c>
      <c r="D1900" s="28" t="s">
        <v>7</v>
      </c>
      <c r="E1900" s="28" t="s">
        <v>17</v>
      </c>
      <c r="F1900" s="28">
        <v>248.39898988236141</v>
      </c>
      <c r="H1900">
        <f>VLOOKUP(A1900&amp;B1900,ticker_sector[],2,FALSE)</f>
        <v>15</v>
      </c>
      <c r="I1900">
        <f>VLOOKUP(C1900,year[],2,FALSE)</f>
        <v>2</v>
      </c>
      <c r="J1900">
        <f>VLOOKUP(E1900,showing[],2,FALSE)</f>
        <v>14</v>
      </c>
      <c r="K1900">
        <f>Сектора[[#This Row],[Значение]]</f>
        <v>248.39898988236141</v>
      </c>
      <c r="L1900" t="str">
        <f t="shared" si="29"/>
        <v>INSERT INTO msfo.statements (id_company, id_year, id_showing, value) VALUES (15,2,14,248,398989882361);</v>
      </c>
    </row>
    <row r="1901" spans="1:12">
      <c r="A1901" s="28" t="s">
        <v>49</v>
      </c>
      <c r="B1901" s="28" t="s">
        <v>34</v>
      </c>
      <c r="C1901" s="28">
        <v>2013</v>
      </c>
      <c r="D1901" s="28" t="s">
        <v>7</v>
      </c>
      <c r="E1901" s="28" t="s">
        <v>17</v>
      </c>
      <c r="F1901" s="28">
        <v>348.37970375077907</v>
      </c>
      <c r="H1901">
        <f>VLOOKUP(A1901&amp;B1901,ticker_sector[],2,FALSE)</f>
        <v>15</v>
      </c>
      <c r="I1901">
        <f>VLOOKUP(C1901,year[],2,FALSE)</f>
        <v>3</v>
      </c>
      <c r="J1901">
        <f>VLOOKUP(E1901,showing[],2,FALSE)</f>
        <v>14</v>
      </c>
      <c r="K1901">
        <f>Сектора[[#This Row],[Значение]]</f>
        <v>348.37970375077907</v>
      </c>
      <c r="L1901" t="str">
        <f t="shared" si="29"/>
        <v>INSERT INTO msfo.statements (id_company, id_year, id_showing, value) VALUES (15,3,14,348,379703750779);</v>
      </c>
    </row>
    <row r="1902" spans="1:12">
      <c r="A1902" s="28" t="s">
        <v>49</v>
      </c>
      <c r="B1902" s="28" t="s">
        <v>34</v>
      </c>
      <c r="C1902" s="28">
        <v>2014</v>
      </c>
      <c r="D1902" s="28" t="s">
        <v>7</v>
      </c>
      <c r="E1902" s="28" t="s">
        <v>17</v>
      </c>
      <c r="F1902" s="28">
        <v>254.79197773132543</v>
      </c>
      <c r="H1902">
        <f>VLOOKUP(A1902&amp;B1902,ticker_sector[],2,FALSE)</f>
        <v>15</v>
      </c>
      <c r="I1902">
        <f>VLOOKUP(C1902,year[],2,FALSE)</f>
        <v>4</v>
      </c>
      <c r="J1902">
        <f>VLOOKUP(E1902,showing[],2,FALSE)</f>
        <v>14</v>
      </c>
      <c r="K1902">
        <f>Сектора[[#This Row],[Значение]]</f>
        <v>254.79197773132543</v>
      </c>
      <c r="L1902" t="str">
        <f t="shared" si="29"/>
        <v>INSERT INTO msfo.statements (id_company, id_year, id_showing, value) VALUES (15,4,14,254,791977731325);</v>
      </c>
    </row>
    <row r="1903" spans="1:12">
      <c r="A1903" s="28" t="s">
        <v>49</v>
      </c>
      <c r="B1903" s="28" t="s">
        <v>34</v>
      </c>
      <c r="C1903" s="28">
        <v>2015</v>
      </c>
      <c r="D1903" s="28" t="s">
        <v>7</v>
      </c>
      <c r="E1903" s="28" t="s">
        <v>17</v>
      </c>
      <c r="F1903" s="28">
        <v>251.11886634276718</v>
      </c>
      <c r="H1903">
        <f>VLOOKUP(A1903&amp;B1903,ticker_sector[],2,FALSE)</f>
        <v>15</v>
      </c>
      <c r="I1903">
        <f>VLOOKUP(C1903,year[],2,FALSE)</f>
        <v>5</v>
      </c>
      <c r="J1903">
        <f>VLOOKUP(E1903,showing[],2,FALSE)</f>
        <v>14</v>
      </c>
      <c r="K1903">
        <f>Сектора[[#This Row],[Значение]]</f>
        <v>251.11886634276718</v>
      </c>
      <c r="L1903" t="str">
        <f t="shared" si="29"/>
        <v>INSERT INTO msfo.statements (id_company, id_year, id_showing, value) VALUES (15,5,14,251,118866342767);</v>
      </c>
    </row>
    <row r="1904" spans="1:12">
      <c r="A1904" s="28" t="s">
        <v>49</v>
      </c>
      <c r="B1904" s="28" t="s">
        <v>34</v>
      </c>
      <c r="C1904" s="28">
        <v>2016</v>
      </c>
      <c r="D1904" s="28" t="s">
        <v>7</v>
      </c>
      <c r="E1904" s="28" t="s">
        <v>17</v>
      </c>
      <c r="F1904" s="28">
        <v>402.04121872367364</v>
      </c>
      <c r="H1904">
        <f>VLOOKUP(A1904&amp;B1904,ticker_sector[],2,FALSE)</f>
        <v>15</v>
      </c>
      <c r="I1904">
        <f>VLOOKUP(C1904,year[],2,FALSE)</f>
        <v>6</v>
      </c>
      <c r="J1904">
        <f>VLOOKUP(E1904,showing[],2,FALSE)</f>
        <v>14</v>
      </c>
      <c r="K1904">
        <f>Сектора[[#This Row],[Значение]]</f>
        <v>402.04121872367364</v>
      </c>
      <c r="L1904" t="str">
        <f t="shared" si="29"/>
        <v>INSERT INTO msfo.statements (id_company, id_year, id_showing, value) VALUES (15,6,14,402,041218723674);</v>
      </c>
    </row>
    <row r="1905" spans="1:12">
      <c r="A1905" s="28" t="s">
        <v>49</v>
      </c>
      <c r="B1905" s="28" t="s">
        <v>34</v>
      </c>
      <c r="C1905" s="28">
        <v>2017</v>
      </c>
      <c r="D1905" s="28" t="s">
        <v>7</v>
      </c>
      <c r="E1905" s="28" t="s">
        <v>17</v>
      </c>
      <c r="F1905" s="28">
        <v>431.42086312200303</v>
      </c>
      <c r="H1905">
        <f>VLOOKUP(A1905&amp;B1905,ticker_sector[],2,FALSE)</f>
        <v>15</v>
      </c>
      <c r="I1905">
        <f>VLOOKUP(C1905,year[],2,FALSE)</f>
        <v>7</v>
      </c>
      <c r="J1905">
        <f>VLOOKUP(E1905,showing[],2,FALSE)</f>
        <v>14</v>
      </c>
      <c r="K1905">
        <f>Сектора[[#This Row],[Значение]]</f>
        <v>431.42086312200303</v>
      </c>
      <c r="L1905" t="str">
        <f t="shared" si="29"/>
        <v>INSERT INTO msfo.statements (id_company, id_year, id_showing, value) VALUES (15,7,14,431,420863122003);</v>
      </c>
    </row>
    <row r="1906" spans="1:12">
      <c r="A1906" s="28" t="s">
        <v>49</v>
      </c>
      <c r="B1906" s="28" t="s">
        <v>34</v>
      </c>
      <c r="C1906" s="28">
        <v>2010</v>
      </c>
      <c r="D1906" s="28" t="s">
        <v>20</v>
      </c>
      <c r="E1906" s="28" t="s">
        <v>18</v>
      </c>
      <c r="F1906" s="28">
        <v>103.905</v>
      </c>
      <c r="H1906">
        <f>VLOOKUP(A1906&amp;B1906,ticker_sector[],2,FALSE)</f>
        <v>15</v>
      </c>
      <c r="I1906">
        <f>VLOOKUP(C1906,year[],2,FALSE)</f>
        <v>0</v>
      </c>
      <c r="J1906">
        <f>VLOOKUP(E1906,showing[],2,FALSE)</f>
        <v>15</v>
      </c>
      <c r="K1906">
        <f>Сектора[[#This Row],[Значение]]</f>
        <v>103.905</v>
      </c>
      <c r="L1906" t="str">
        <f t="shared" si="29"/>
        <v>INSERT INTO msfo.statements (id_company, id_year, id_showing, value) VALUES (15,0,15,103,905);</v>
      </c>
    </row>
    <row r="1907" spans="1:12">
      <c r="A1907" s="28" t="s">
        <v>49</v>
      </c>
      <c r="B1907" s="28" t="s">
        <v>34</v>
      </c>
      <c r="C1907" s="28">
        <v>2011</v>
      </c>
      <c r="D1907" s="28" t="s">
        <v>20</v>
      </c>
      <c r="E1907" s="28" t="s">
        <v>18</v>
      </c>
      <c r="F1907" s="28">
        <v>98.623786999999993</v>
      </c>
      <c r="H1907">
        <f>VLOOKUP(A1907&amp;B1907,ticker_sector[],2,FALSE)</f>
        <v>15</v>
      </c>
      <c r="I1907">
        <f>VLOOKUP(C1907,year[],2,FALSE)</f>
        <v>1</v>
      </c>
      <c r="J1907">
        <f>VLOOKUP(E1907,showing[],2,FALSE)</f>
        <v>15</v>
      </c>
      <c r="K1907">
        <f>Сектора[[#This Row],[Значение]]</f>
        <v>98.623786999999993</v>
      </c>
      <c r="L1907" t="str">
        <f t="shared" si="29"/>
        <v>INSERT INTO msfo.statements (id_company, id_year, id_showing, value) VALUES (15,1,15,98,623787);</v>
      </c>
    </row>
    <row r="1908" spans="1:12">
      <c r="A1908" s="28" t="s">
        <v>49</v>
      </c>
      <c r="B1908" s="28" t="s">
        <v>34</v>
      </c>
      <c r="C1908" s="28">
        <v>2012</v>
      </c>
      <c r="D1908" s="28" t="s">
        <v>20</v>
      </c>
      <c r="E1908" s="28" t="s">
        <v>18</v>
      </c>
      <c r="F1908" s="28">
        <v>85.211624</v>
      </c>
      <c r="H1908">
        <f>VLOOKUP(A1908&amp;B1908,ticker_sector[],2,FALSE)</f>
        <v>15</v>
      </c>
      <c r="I1908">
        <f>VLOOKUP(C1908,year[],2,FALSE)</f>
        <v>2</v>
      </c>
      <c r="J1908">
        <f>VLOOKUP(E1908,showing[],2,FALSE)</f>
        <v>15</v>
      </c>
      <c r="K1908">
        <f>Сектора[[#This Row],[Значение]]</f>
        <v>85.211624</v>
      </c>
      <c r="L1908" t="str">
        <f t="shared" si="29"/>
        <v>INSERT INTO msfo.statements (id_company, id_year, id_showing, value) VALUES (15,2,15,85,211624);</v>
      </c>
    </row>
    <row r="1909" spans="1:12">
      <c r="A1909" s="28" t="s">
        <v>49</v>
      </c>
      <c r="B1909" s="28" t="s">
        <v>34</v>
      </c>
      <c r="C1909" s="28">
        <v>2013</v>
      </c>
      <c r="D1909" s="28" t="s">
        <v>20</v>
      </c>
      <c r="E1909" s="28" t="s">
        <v>18</v>
      </c>
      <c r="F1909" s="28">
        <v>85.721824999999995</v>
      </c>
      <c r="H1909">
        <f>VLOOKUP(A1909&amp;B1909,ticker_sector[],2,FALSE)</f>
        <v>15</v>
      </c>
      <c r="I1909">
        <f>VLOOKUP(C1909,year[],2,FALSE)</f>
        <v>3</v>
      </c>
      <c r="J1909">
        <f>VLOOKUP(E1909,showing[],2,FALSE)</f>
        <v>15</v>
      </c>
      <c r="K1909">
        <f>Сектора[[#This Row],[Значение]]</f>
        <v>85.721824999999995</v>
      </c>
      <c r="L1909" t="str">
        <f t="shared" si="29"/>
        <v>INSERT INTO msfo.statements (id_company, id_year, id_showing, value) VALUES (15,3,15,85,721825);</v>
      </c>
    </row>
    <row r="1910" spans="1:12">
      <c r="A1910" s="28" t="s">
        <v>49</v>
      </c>
      <c r="B1910" s="28" t="s">
        <v>34</v>
      </c>
      <c r="C1910" s="28">
        <v>2014</v>
      </c>
      <c r="D1910" s="28" t="s">
        <v>20</v>
      </c>
      <c r="E1910" s="28" t="s">
        <v>18</v>
      </c>
      <c r="F1910" s="28">
        <v>86.053244000000007</v>
      </c>
      <c r="H1910">
        <f>VLOOKUP(A1910&amp;B1910,ticker_sector[],2,FALSE)</f>
        <v>15</v>
      </c>
      <c r="I1910">
        <f>VLOOKUP(C1910,year[],2,FALSE)</f>
        <v>4</v>
      </c>
      <c r="J1910">
        <f>VLOOKUP(E1910,showing[],2,FALSE)</f>
        <v>15</v>
      </c>
      <c r="K1910">
        <f>Сектора[[#This Row],[Значение]]</f>
        <v>86.053244000000007</v>
      </c>
      <c r="L1910" t="str">
        <f t="shared" si="29"/>
        <v>INSERT INTO msfo.statements (id_company, id_year, id_showing, value) VALUES (15,4,15,86,053244);</v>
      </c>
    </row>
    <row r="1911" spans="1:12">
      <c r="A1911" s="28" t="s">
        <v>49</v>
      </c>
      <c r="B1911" s="28" t="s">
        <v>34</v>
      </c>
      <c r="C1911" s="28">
        <v>2015</v>
      </c>
      <c r="D1911" s="28" t="s">
        <v>20</v>
      </c>
      <c r="E1911" s="28" t="s">
        <v>18</v>
      </c>
      <c r="F1911" s="28">
        <v>92.252707000000001</v>
      </c>
      <c r="H1911">
        <f>VLOOKUP(A1911&amp;B1911,ticker_sector[],2,FALSE)</f>
        <v>15</v>
      </c>
      <c r="I1911">
        <f>VLOOKUP(C1911,year[],2,FALSE)</f>
        <v>5</v>
      </c>
      <c r="J1911">
        <f>VLOOKUP(E1911,showing[],2,FALSE)</f>
        <v>15</v>
      </c>
      <c r="K1911">
        <f>Сектора[[#This Row],[Значение]]</f>
        <v>92.252707000000001</v>
      </c>
      <c r="L1911" t="str">
        <f t="shared" si="29"/>
        <v>INSERT INTO msfo.statements (id_company, id_year, id_showing, value) VALUES (15,5,15,92,252707);</v>
      </c>
    </row>
    <row r="1912" spans="1:12">
      <c r="A1912" s="28" t="s">
        <v>49</v>
      </c>
      <c r="B1912" s="28" t="s">
        <v>34</v>
      </c>
      <c r="C1912" s="28">
        <v>2016</v>
      </c>
      <c r="D1912" s="28" t="s">
        <v>20</v>
      </c>
      <c r="E1912" s="28" t="s">
        <v>18</v>
      </c>
      <c r="F1912" s="28">
        <v>97.318746000000004</v>
      </c>
      <c r="H1912">
        <f>VLOOKUP(A1912&amp;B1912,ticker_sector[],2,FALSE)</f>
        <v>15</v>
      </c>
      <c r="I1912">
        <f>VLOOKUP(C1912,year[],2,FALSE)</f>
        <v>6</v>
      </c>
      <c r="J1912">
        <f>VLOOKUP(E1912,showing[],2,FALSE)</f>
        <v>15</v>
      </c>
      <c r="K1912">
        <f>Сектора[[#This Row],[Значение]]</f>
        <v>97.318746000000004</v>
      </c>
      <c r="L1912" t="str">
        <f t="shared" si="29"/>
        <v>INSERT INTO msfo.statements (id_company, id_year, id_showing, value) VALUES (15,6,15,97,318746);</v>
      </c>
    </row>
    <row r="1913" spans="1:12">
      <c r="A1913" s="28" t="s">
        <v>49</v>
      </c>
      <c r="B1913" s="28" t="s">
        <v>34</v>
      </c>
      <c r="C1913" s="28">
        <v>2017</v>
      </c>
      <c r="D1913" s="28" t="s">
        <v>20</v>
      </c>
      <c r="E1913" s="28" t="s">
        <v>18</v>
      </c>
      <c r="F1913" s="28">
        <v>97.327427999999998</v>
      </c>
      <c r="H1913">
        <f>VLOOKUP(A1913&amp;B1913,ticker_sector[],2,FALSE)</f>
        <v>15</v>
      </c>
      <c r="I1913">
        <f>VLOOKUP(C1913,year[],2,FALSE)</f>
        <v>7</v>
      </c>
      <c r="J1913">
        <f>VLOOKUP(E1913,showing[],2,FALSE)</f>
        <v>15</v>
      </c>
      <c r="K1913">
        <f>Сектора[[#This Row],[Значение]]</f>
        <v>97.327427999999998</v>
      </c>
      <c r="L1913" t="str">
        <f t="shared" si="29"/>
        <v>INSERT INTO msfo.statements (id_company, id_year, id_showing, value) VALUES (15,7,15,97,327428);</v>
      </c>
    </row>
    <row r="1914" spans="1:12">
      <c r="A1914" s="28" t="s">
        <v>49</v>
      </c>
      <c r="B1914" s="28" t="s">
        <v>34</v>
      </c>
      <c r="C1914" s="28">
        <v>2010</v>
      </c>
      <c r="D1914" s="28" t="s">
        <v>20</v>
      </c>
      <c r="E1914" s="28" t="s">
        <v>19</v>
      </c>
      <c r="F1914" s="28">
        <v>350</v>
      </c>
      <c r="H1914">
        <f>VLOOKUP(A1914&amp;B1914,ticker_sector[],2,FALSE)</f>
        <v>15</v>
      </c>
      <c r="I1914">
        <f>VLOOKUP(C1914,year[],2,FALSE)</f>
        <v>0</v>
      </c>
      <c r="J1914">
        <f>VLOOKUP(E1914,showing[],2,FALSE)</f>
        <v>16</v>
      </c>
      <c r="K1914">
        <f>Сектора[[#This Row],[Значение]]</f>
        <v>350</v>
      </c>
      <c r="L1914" t="str">
        <f t="shared" si="29"/>
        <v>INSERT INTO msfo.statements (id_company, id_year, id_showing, value) VALUES (15,0,16,350);</v>
      </c>
    </row>
    <row r="1915" spans="1:12">
      <c r="A1915" s="28" t="s">
        <v>49</v>
      </c>
      <c r="B1915" s="28" t="s">
        <v>34</v>
      </c>
      <c r="C1915" s="28">
        <v>2011</v>
      </c>
      <c r="D1915" s="28" t="s">
        <v>20</v>
      </c>
      <c r="E1915" s="28" t="s">
        <v>19</v>
      </c>
      <c r="F1915" s="28">
        <v>350</v>
      </c>
      <c r="H1915">
        <f>VLOOKUP(A1915&amp;B1915,ticker_sector[],2,FALSE)</f>
        <v>15</v>
      </c>
      <c r="I1915">
        <f>VLOOKUP(C1915,year[],2,FALSE)</f>
        <v>1</v>
      </c>
      <c r="J1915">
        <f>VLOOKUP(E1915,showing[],2,FALSE)</f>
        <v>16</v>
      </c>
      <c r="K1915">
        <f>Сектора[[#This Row],[Значение]]</f>
        <v>350</v>
      </c>
      <c r="L1915" t="str">
        <f t="shared" si="29"/>
        <v>INSERT INTO msfo.statements (id_company, id_year, id_showing, value) VALUES (15,1,16,350);</v>
      </c>
    </row>
    <row r="1916" spans="1:12">
      <c r="A1916" s="28" t="s">
        <v>49</v>
      </c>
      <c r="B1916" s="28" t="s">
        <v>34</v>
      </c>
      <c r="C1916" s="28">
        <v>2012</v>
      </c>
      <c r="D1916" s="28" t="s">
        <v>20</v>
      </c>
      <c r="E1916" s="28" t="s">
        <v>19</v>
      </c>
      <c r="F1916" s="28">
        <v>350</v>
      </c>
      <c r="H1916">
        <f>VLOOKUP(A1916&amp;B1916,ticker_sector[],2,FALSE)</f>
        <v>15</v>
      </c>
      <c r="I1916">
        <f>VLOOKUP(C1916,year[],2,FALSE)</f>
        <v>2</v>
      </c>
      <c r="J1916">
        <f>VLOOKUP(E1916,showing[],2,FALSE)</f>
        <v>16</v>
      </c>
      <c r="K1916">
        <f>Сектора[[#This Row],[Значение]]</f>
        <v>350</v>
      </c>
      <c r="L1916" t="str">
        <f t="shared" si="29"/>
        <v>INSERT INTO msfo.statements (id_company, id_year, id_showing, value) VALUES (15,2,16,350);</v>
      </c>
    </row>
    <row r="1917" spans="1:12">
      <c r="A1917" s="28" t="s">
        <v>49</v>
      </c>
      <c r="B1917" s="28" t="s">
        <v>34</v>
      </c>
      <c r="C1917" s="28">
        <v>2013</v>
      </c>
      <c r="D1917" s="28" t="s">
        <v>20</v>
      </c>
      <c r="E1917" s="28" t="s">
        <v>19</v>
      </c>
      <c r="F1917" s="28">
        <v>350</v>
      </c>
      <c r="H1917">
        <f>VLOOKUP(A1917&amp;B1917,ticker_sector[],2,FALSE)</f>
        <v>15</v>
      </c>
      <c r="I1917">
        <f>VLOOKUP(C1917,year[],2,FALSE)</f>
        <v>3</v>
      </c>
      <c r="J1917">
        <f>VLOOKUP(E1917,showing[],2,FALSE)</f>
        <v>16</v>
      </c>
      <c r="K1917">
        <f>Сектора[[#This Row],[Значение]]</f>
        <v>350</v>
      </c>
      <c r="L1917" t="str">
        <f t="shared" si="29"/>
        <v>INSERT INTO msfo.statements (id_company, id_year, id_showing, value) VALUES (15,3,16,350);</v>
      </c>
    </row>
    <row r="1918" spans="1:12">
      <c r="A1918" s="28" t="s">
        <v>49</v>
      </c>
      <c r="B1918" s="28" t="s">
        <v>34</v>
      </c>
      <c r="C1918" s="28">
        <v>2014</v>
      </c>
      <c r="D1918" s="28" t="s">
        <v>20</v>
      </c>
      <c r="E1918" s="28" t="s">
        <v>19</v>
      </c>
      <c r="F1918" s="28">
        <v>364</v>
      </c>
      <c r="H1918">
        <f>VLOOKUP(A1918&amp;B1918,ticker_sector[],2,FALSE)</f>
        <v>15</v>
      </c>
      <c r="I1918">
        <f>VLOOKUP(C1918,year[],2,FALSE)</f>
        <v>4</v>
      </c>
      <c r="J1918">
        <f>VLOOKUP(E1918,showing[],2,FALSE)</f>
        <v>16</v>
      </c>
      <c r="K1918">
        <f>Сектора[[#This Row],[Значение]]</f>
        <v>364</v>
      </c>
      <c r="L1918" t="str">
        <f t="shared" si="29"/>
        <v>INSERT INTO msfo.statements (id_company, id_year, id_showing, value) VALUES (15,4,16,364);</v>
      </c>
    </row>
    <row r="1919" spans="1:12">
      <c r="A1919" s="28" t="s">
        <v>49</v>
      </c>
      <c r="B1919" s="28" t="s">
        <v>34</v>
      </c>
      <c r="C1919" s="28">
        <v>2015</v>
      </c>
      <c r="D1919" s="28" t="s">
        <v>20</v>
      </c>
      <c r="E1919" s="28" t="s">
        <v>19</v>
      </c>
      <c r="F1919" s="28">
        <v>498</v>
      </c>
      <c r="H1919">
        <f>VLOOKUP(A1919&amp;B1919,ticker_sector[],2,FALSE)</f>
        <v>15</v>
      </c>
      <c r="I1919">
        <f>VLOOKUP(C1919,year[],2,FALSE)</f>
        <v>5</v>
      </c>
      <c r="J1919">
        <f>VLOOKUP(E1919,showing[],2,FALSE)</f>
        <v>16</v>
      </c>
      <c r="K1919">
        <f>Сектора[[#This Row],[Значение]]</f>
        <v>498</v>
      </c>
      <c r="L1919" t="str">
        <f t="shared" si="29"/>
        <v>INSERT INTO msfo.statements (id_company, id_year, id_showing, value) VALUES (15,5,16,498);</v>
      </c>
    </row>
    <row r="1920" spans="1:12">
      <c r="A1920" s="28" t="s">
        <v>49</v>
      </c>
      <c r="B1920" s="28" t="s">
        <v>34</v>
      </c>
      <c r="C1920" s="28">
        <v>2016</v>
      </c>
      <c r="D1920" s="28" t="s">
        <v>20</v>
      </c>
      <c r="E1920" s="28" t="s">
        <v>19</v>
      </c>
      <c r="F1920" s="28">
        <v>492</v>
      </c>
      <c r="H1920">
        <f>VLOOKUP(A1920&amp;B1920,ticker_sector[],2,FALSE)</f>
        <v>15</v>
      </c>
      <c r="I1920">
        <f>VLOOKUP(C1920,year[],2,FALSE)</f>
        <v>6</v>
      </c>
      <c r="J1920">
        <f>VLOOKUP(E1920,showing[],2,FALSE)</f>
        <v>16</v>
      </c>
      <c r="K1920">
        <f>Сектора[[#This Row],[Значение]]</f>
        <v>492</v>
      </c>
      <c r="L1920" t="str">
        <f t="shared" si="29"/>
        <v>INSERT INTO msfo.statements (id_company, id_year, id_showing, value) VALUES (15,6,16,492);</v>
      </c>
    </row>
    <row r="1921" spans="1:12">
      <c r="A1921" s="28" t="s">
        <v>49</v>
      </c>
      <c r="B1921" s="28" t="s">
        <v>34</v>
      </c>
      <c r="C1921" s="28">
        <v>2017</v>
      </c>
      <c r="D1921" s="28" t="s">
        <v>20</v>
      </c>
      <c r="E1921" s="28" t="s">
        <v>19</v>
      </c>
      <c r="F1921" s="28">
        <v>336</v>
      </c>
      <c r="H1921">
        <f>VLOOKUP(A1921&amp;B1921,ticker_sector[],2,FALSE)</f>
        <v>15</v>
      </c>
      <c r="I1921">
        <f>VLOOKUP(C1921,year[],2,FALSE)</f>
        <v>7</v>
      </c>
      <c r="J1921">
        <f>VLOOKUP(E1921,showing[],2,FALSE)</f>
        <v>16</v>
      </c>
      <c r="K1921">
        <f>Сектора[[#This Row],[Значение]]</f>
        <v>336</v>
      </c>
      <c r="L1921" t="str">
        <f t="shared" si="29"/>
        <v>INSERT INTO msfo.statements (id_company, id_year, id_showing, value) VALUES (15,7,16,336);</v>
      </c>
    </row>
    <row r="1922" spans="1:12">
      <c r="A1922" s="28" t="s">
        <v>50</v>
      </c>
      <c r="B1922" s="28" t="s">
        <v>34</v>
      </c>
      <c r="C1922" s="28">
        <v>2010</v>
      </c>
      <c r="D1922" s="28" t="s">
        <v>1</v>
      </c>
      <c r="E1922" s="28" t="s">
        <v>2</v>
      </c>
      <c r="F1922" s="28">
        <v>82656.979551099997</v>
      </c>
      <c r="H1922">
        <f>VLOOKUP(A1922&amp;B1922,ticker_sector[],2,FALSE)</f>
        <v>16</v>
      </c>
      <c r="I1922">
        <f>VLOOKUP(C1922,year[],2,FALSE)</f>
        <v>0</v>
      </c>
      <c r="J1922">
        <f>VLOOKUP(E1922,showing[],2,FALSE)</f>
        <v>1</v>
      </c>
      <c r="K1922">
        <f>Сектора[[#This Row],[Значение]]</f>
        <v>82656.979551099997</v>
      </c>
      <c r="L1922" t="str">
        <f t="shared" si="29"/>
        <v>INSERT INTO msfo.statements (id_company, id_year, id_showing, value) VALUES (16,0,1,82656,9795511);</v>
      </c>
    </row>
    <row r="1923" spans="1:12">
      <c r="A1923" s="28" t="s">
        <v>50</v>
      </c>
      <c r="B1923" s="28" t="s">
        <v>34</v>
      </c>
      <c r="C1923" s="28">
        <v>2011</v>
      </c>
      <c r="D1923" s="28" t="s">
        <v>1</v>
      </c>
      <c r="E1923" s="28" t="s">
        <v>2</v>
      </c>
      <c r="F1923" s="28">
        <v>126107.64844210001</v>
      </c>
      <c r="H1923">
        <f>VLOOKUP(A1923&amp;B1923,ticker_sector[],2,FALSE)</f>
        <v>16</v>
      </c>
      <c r="I1923">
        <f>VLOOKUP(C1923,year[],2,FALSE)</f>
        <v>1</v>
      </c>
      <c r="J1923">
        <f>VLOOKUP(E1923,showing[],2,FALSE)</f>
        <v>1</v>
      </c>
      <c r="K1923">
        <f>Сектора[[#This Row],[Значение]]</f>
        <v>126107.64844210001</v>
      </c>
      <c r="L1923" t="str">
        <f t="shared" ref="L1923:L1986" si="30">"INSERT INTO msfo.statements (id_company, id_year, id_showing, value) VALUES ("&amp;H1923&amp; ","&amp;I1923&amp; ","&amp;J1923&amp; ","&amp;K1923&amp;");"</f>
        <v>INSERT INTO msfo.statements (id_company, id_year, id_showing, value) VALUES (16,1,1,126107,6484421);</v>
      </c>
    </row>
    <row r="1924" spans="1:12">
      <c r="A1924" s="28" t="s">
        <v>50</v>
      </c>
      <c r="B1924" s="28" t="s">
        <v>34</v>
      </c>
      <c r="C1924" s="28">
        <v>2012</v>
      </c>
      <c r="D1924" s="28" t="s">
        <v>1</v>
      </c>
      <c r="E1924" s="28" t="s">
        <v>2</v>
      </c>
      <c r="F1924" s="28">
        <v>162701.25399999999</v>
      </c>
      <c r="H1924">
        <f>VLOOKUP(A1924&amp;B1924,ticker_sector[],2,FALSE)</f>
        <v>16</v>
      </c>
      <c r="I1924">
        <f>VLOOKUP(C1924,year[],2,FALSE)</f>
        <v>2</v>
      </c>
      <c r="J1924">
        <f>VLOOKUP(E1924,showing[],2,FALSE)</f>
        <v>1</v>
      </c>
      <c r="K1924">
        <f>Сектора[[#This Row],[Значение]]</f>
        <v>162701.25399999999</v>
      </c>
      <c r="L1924" t="str">
        <f t="shared" si="30"/>
        <v>INSERT INTO msfo.statements (id_company, id_year, id_showing, value) VALUES (16,2,1,162701,254);</v>
      </c>
    </row>
    <row r="1925" spans="1:12">
      <c r="A1925" s="28" t="s">
        <v>50</v>
      </c>
      <c r="B1925" s="28" t="s">
        <v>34</v>
      </c>
      <c r="C1925" s="28">
        <v>2013</v>
      </c>
      <c r="D1925" s="28" t="s">
        <v>1</v>
      </c>
      <c r="E1925" s="28" t="s">
        <v>2</v>
      </c>
      <c r="F1925" s="28">
        <v>200920.65299999999</v>
      </c>
      <c r="H1925">
        <f>VLOOKUP(A1925&amp;B1925,ticker_sector[],2,FALSE)</f>
        <v>16</v>
      </c>
      <c r="I1925">
        <f>VLOOKUP(C1925,year[],2,FALSE)</f>
        <v>3</v>
      </c>
      <c r="J1925">
        <f>VLOOKUP(E1925,showing[],2,FALSE)</f>
        <v>1</v>
      </c>
      <c r="K1925">
        <f>Сектора[[#This Row],[Значение]]</f>
        <v>200920.65299999999</v>
      </c>
      <c r="L1925" t="str">
        <f t="shared" si="30"/>
        <v>INSERT INTO msfo.statements (id_company, id_year, id_showing, value) VALUES (16,3,1,200920,653);</v>
      </c>
    </row>
    <row r="1926" spans="1:12">
      <c r="A1926" s="28" t="s">
        <v>50</v>
      </c>
      <c r="B1926" s="28" t="s">
        <v>34</v>
      </c>
      <c r="C1926" s="28">
        <v>2014</v>
      </c>
      <c r="D1926" s="28" t="s">
        <v>1</v>
      </c>
      <c r="E1926" s="28" t="s">
        <v>2</v>
      </c>
      <c r="F1926" s="28">
        <v>239012.61600000001</v>
      </c>
      <c r="H1926">
        <f>VLOOKUP(A1926&amp;B1926,ticker_sector[],2,FALSE)</f>
        <v>16</v>
      </c>
      <c r="I1926">
        <f>VLOOKUP(C1926,year[],2,FALSE)</f>
        <v>4</v>
      </c>
      <c r="J1926">
        <f>VLOOKUP(E1926,showing[],2,FALSE)</f>
        <v>1</v>
      </c>
      <c r="K1926">
        <f>Сектора[[#This Row],[Значение]]</f>
        <v>239012.61600000001</v>
      </c>
      <c r="L1926" t="str">
        <f t="shared" si="30"/>
        <v>INSERT INTO msfo.statements (id_company, id_year, id_showing, value) VALUES (16,4,1,239012,616);</v>
      </c>
    </row>
    <row r="1927" spans="1:12">
      <c r="A1927" s="28" t="s">
        <v>50</v>
      </c>
      <c r="B1927" s="28" t="s">
        <v>34</v>
      </c>
      <c r="C1927" s="28">
        <v>2015</v>
      </c>
      <c r="D1927" s="28" t="s">
        <v>1</v>
      </c>
      <c r="E1927" s="28" t="s">
        <v>2</v>
      </c>
      <c r="F1927" s="28">
        <v>272376.72399999999</v>
      </c>
      <c r="H1927">
        <f>VLOOKUP(A1927&amp;B1927,ticker_sector[],2,FALSE)</f>
        <v>16</v>
      </c>
      <c r="I1927">
        <f>VLOOKUP(C1927,year[],2,FALSE)</f>
        <v>5</v>
      </c>
      <c r="J1927">
        <f>VLOOKUP(E1927,showing[],2,FALSE)</f>
        <v>1</v>
      </c>
      <c r="K1927">
        <f>Сектора[[#This Row],[Значение]]</f>
        <v>272376.72399999999</v>
      </c>
      <c r="L1927" t="str">
        <f t="shared" si="30"/>
        <v>INSERT INTO msfo.statements (id_company, id_year, id_showing, value) VALUES (16,5,1,272376,724);</v>
      </c>
    </row>
    <row r="1928" spans="1:12">
      <c r="A1928" s="28" t="s">
        <v>50</v>
      </c>
      <c r="B1928" s="28" t="s">
        <v>34</v>
      </c>
      <c r="C1928" s="28">
        <v>2016</v>
      </c>
      <c r="D1928" s="28" t="s">
        <v>1</v>
      </c>
      <c r="E1928" s="28" t="s">
        <v>2</v>
      </c>
      <c r="F1928" s="28">
        <v>296025.929</v>
      </c>
      <c r="H1928">
        <f>VLOOKUP(A1928&amp;B1928,ticker_sector[],2,FALSE)</f>
        <v>16</v>
      </c>
      <c r="I1928">
        <f>VLOOKUP(C1928,year[],2,FALSE)</f>
        <v>6</v>
      </c>
      <c r="J1928">
        <f>VLOOKUP(E1928,showing[],2,FALSE)</f>
        <v>1</v>
      </c>
      <c r="K1928">
        <f>Сектора[[#This Row],[Значение]]</f>
        <v>296025.929</v>
      </c>
      <c r="L1928" t="str">
        <f t="shared" si="30"/>
        <v>INSERT INTO msfo.statements (id_company, id_year, id_showing, value) VALUES (16,6,1,296025,929);</v>
      </c>
    </row>
    <row r="1929" spans="1:12">
      <c r="A1929" s="28" t="s">
        <v>50</v>
      </c>
      <c r="B1929" s="28" t="s">
        <v>34</v>
      </c>
      <c r="C1929" s="28">
        <v>2017</v>
      </c>
      <c r="D1929" s="28" t="s">
        <v>1</v>
      </c>
      <c r="E1929" s="28" t="s">
        <v>2</v>
      </c>
      <c r="F1929" s="28">
        <v>336786.02299999999</v>
      </c>
      <c r="H1929">
        <f>VLOOKUP(A1929&amp;B1929,ticker_sector[],2,FALSE)</f>
        <v>16</v>
      </c>
      <c r="I1929">
        <f>VLOOKUP(C1929,year[],2,FALSE)</f>
        <v>7</v>
      </c>
      <c r="J1929">
        <f>VLOOKUP(E1929,showing[],2,FALSE)</f>
        <v>1</v>
      </c>
      <c r="K1929">
        <f>Сектора[[#This Row],[Значение]]</f>
        <v>336786.02299999999</v>
      </c>
      <c r="L1929" t="str">
        <f t="shared" si="30"/>
        <v>INSERT INTO msfo.statements (id_company, id_year, id_showing, value) VALUES (16,7,1,336786,023);</v>
      </c>
    </row>
    <row r="1930" spans="1:12">
      <c r="A1930" s="28" t="s">
        <v>50</v>
      </c>
      <c r="B1930" s="28" t="s">
        <v>34</v>
      </c>
      <c r="C1930" s="28">
        <v>2010</v>
      </c>
      <c r="D1930" s="28" t="s">
        <v>1</v>
      </c>
      <c r="E1930" s="28" t="s">
        <v>3</v>
      </c>
      <c r="F1930" s="28">
        <v>29771.816918499997</v>
      </c>
      <c r="H1930">
        <f>VLOOKUP(A1930&amp;B1930,ticker_sector[],2,FALSE)</f>
        <v>16</v>
      </c>
      <c r="I1930">
        <f>VLOOKUP(C1930,year[],2,FALSE)</f>
        <v>0</v>
      </c>
      <c r="J1930">
        <f>VLOOKUP(E1930,showing[],2,FALSE)</f>
        <v>2</v>
      </c>
      <c r="K1930">
        <f>Сектора[[#This Row],[Значение]]</f>
        <v>29771.816918499997</v>
      </c>
      <c r="L1930" t="str">
        <f t="shared" si="30"/>
        <v>INSERT INTO msfo.statements (id_company, id_year, id_showing, value) VALUES (16,0,2,29771,8169185);</v>
      </c>
    </row>
    <row r="1931" spans="1:12">
      <c r="A1931" s="28" t="s">
        <v>50</v>
      </c>
      <c r="B1931" s="28" t="s">
        <v>34</v>
      </c>
      <c r="C1931" s="28">
        <v>2011</v>
      </c>
      <c r="D1931" s="28" t="s">
        <v>1</v>
      </c>
      <c r="E1931" s="28" t="s">
        <v>3</v>
      </c>
      <c r="F1931" s="28">
        <v>49274.070499599999</v>
      </c>
      <c r="H1931">
        <f>VLOOKUP(A1931&amp;B1931,ticker_sector[],2,FALSE)</f>
        <v>16</v>
      </c>
      <c r="I1931">
        <f>VLOOKUP(C1931,year[],2,FALSE)</f>
        <v>1</v>
      </c>
      <c r="J1931">
        <f>VLOOKUP(E1931,showing[],2,FALSE)</f>
        <v>2</v>
      </c>
      <c r="K1931">
        <f>Сектора[[#This Row],[Значение]]</f>
        <v>49274.070499599999</v>
      </c>
      <c r="L1931" t="str">
        <f t="shared" si="30"/>
        <v>INSERT INTO msfo.statements (id_company, id_year, id_showing, value) VALUES (16,1,2,49274,0704996);</v>
      </c>
    </row>
    <row r="1932" spans="1:12">
      <c r="A1932" s="28" t="s">
        <v>50</v>
      </c>
      <c r="B1932" s="28" t="s">
        <v>34</v>
      </c>
      <c r="C1932" s="28">
        <v>2012</v>
      </c>
      <c r="D1932" s="28" t="s">
        <v>1</v>
      </c>
      <c r="E1932" s="28" t="s">
        <v>3</v>
      </c>
      <c r="F1932" s="28">
        <v>57827.000999999997</v>
      </c>
      <c r="H1932">
        <f>VLOOKUP(A1932&amp;B1932,ticker_sector[],2,FALSE)</f>
        <v>16</v>
      </c>
      <c r="I1932">
        <f>VLOOKUP(C1932,year[],2,FALSE)</f>
        <v>2</v>
      </c>
      <c r="J1932">
        <f>VLOOKUP(E1932,showing[],2,FALSE)</f>
        <v>2</v>
      </c>
      <c r="K1932">
        <f>Сектора[[#This Row],[Значение]]</f>
        <v>57827.000999999997</v>
      </c>
      <c r="L1932" t="str">
        <f t="shared" si="30"/>
        <v>INSERT INTO msfo.statements (id_company, id_year, id_showing, value) VALUES (16,2,2,57827,001);</v>
      </c>
    </row>
    <row r="1933" spans="1:12">
      <c r="A1933" s="28" t="s">
        <v>50</v>
      </c>
      <c r="B1933" s="28" t="s">
        <v>34</v>
      </c>
      <c r="C1933" s="28">
        <v>2013</v>
      </c>
      <c r="D1933" s="28" t="s">
        <v>1</v>
      </c>
      <c r="E1933" s="28" t="s">
        <v>3</v>
      </c>
      <c r="F1933" s="28">
        <v>67259.896999999997</v>
      </c>
      <c r="H1933">
        <f>VLOOKUP(A1933&amp;B1933,ticker_sector[],2,FALSE)</f>
        <v>16</v>
      </c>
      <c r="I1933">
        <f>VLOOKUP(C1933,year[],2,FALSE)</f>
        <v>3</v>
      </c>
      <c r="J1933">
        <f>VLOOKUP(E1933,showing[],2,FALSE)</f>
        <v>2</v>
      </c>
      <c r="K1933">
        <f>Сектора[[#This Row],[Значение]]</f>
        <v>67259.896999999997</v>
      </c>
      <c r="L1933" t="str">
        <f t="shared" si="30"/>
        <v>INSERT INTO msfo.statements (id_company, id_year, id_showing, value) VALUES (16,3,2,67259,897);</v>
      </c>
    </row>
    <row r="1934" spans="1:12">
      <c r="A1934" s="28" t="s">
        <v>50</v>
      </c>
      <c r="B1934" s="28" t="s">
        <v>34</v>
      </c>
      <c r="C1934" s="28">
        <v>2014</v>
      </c>
      <c r="D1934" s="28" t="s">
        <v>1</v>
      </c>
      <c r="E1934" s="28" t="s">
        <v>3</v>
      </c>
      <c r="F1934" s="28">
        <v>105748.717</v>
      </c>
      <c r="H1934">
        <f>VLOOKUP(A1934&amp;B1934,ticker_sector[],2,FALSE)</f>
        <v>16</v>
      </c>
      <c r="I1934">
        <f>VLOOKUP(C1934,year[],2,FALSE)</f>
        <v>4</v>
      </c>
      <c r="J1934">
        <f>VLOOKUP(E1934,showing[],2,FALSE)</f>
        <v>2</v>
      </c>
      <c r="K1934">
        <f>Сектора[[#This Row],[Значение]]</f>
        <v>105748.717</v>
      </c>
      <c r="L1934" t="str">
        <f t="shared" si="30"/>
        <v>INSERT INTO msfo.statements (id_company, id_year, id_showing, value) VALUES (16,4,2,105748,717);</v>
      </c>
    </row>
    <row r="1935" spans="1:12">
      <c r="A1935" s="28" t="s">
        <v>50</v>
      </c>
      <c r="B1935" s="28" t="s">
        <v>34</v>
      </c>
      <c r="C1935" s="28">
        <v>2015</v>
      </c>
      <c r="D1935" s="28" t="s">
        <v>1</v>
      </c>
      <c r="E1935" s="28" t="s">
        <v>3</v>
      </c>
      <c r="F1935" s="28">
        <v>131816.24900000001</v>
      </c>
      <c r="H1935">
        <f>VLOOKUP(A1935&amp;B1935,ticker_sector[],2,FALSE)</f>
        <v>16</v>
      </c>
      <c r="I1935">
        <f>VLOOKUP(C1935,year[],2,FALSE)</f>
        <v>5</v>
      </c>
      <c r="J1935">
        <f>VLOOKUP(E1935,showing[],2,FALSE)</f>
        <v>2</v>
      </c>
      <c r="K1935">
        <f>Сектора[[#This Row],[Значение]]</f>
        <v>131816.24900000001</v>
      </c>
      <c r="L1935" t="str">
        <f t="shared" si="30"/>
        <v>INSERT INTO msfo.statements (id_company, id_year, id_showing, value) VALUES (16,5,2,131816,249);</v>
      </c>
    </row>
    <row r="1936" spans="1:12">
      <c r="A1936" s="28" t="s">
        <v>50</v>
      </c>
      <c r="B1936" s="28" t="s">
        <v>34</v>
      </c>
      <c r="C1936" s="28">
        <v>2016</v>
      </c>
      <c r="D1936" s="28" t="s">
        <v>1</v>
      </c>
      <c r="E1936" s="28" t="s">
        <v>3</v>
      </c>
      <c r="F1936" s="28">
        <v>158889.557</v>
      </c>
      <c r="H1936">
        <f>VLOOKUP(A1936&amp;B1936,ticker_sector[],2,FALSE)</f>
        <v>16</v>
      </c>
      <c r="I1936">
        <f>VLOOKUP(C1936,year[],2,FALSE)</f>
        <v>6</v>
      </c>
      <c r="J1936">
        <f>VLOOKUP(E1936,showing[],2,FALSE)</f>
        <v>2</v>
      </c>
      <c r="K1936">
        <f>Сектора[[#This Row],[Значение]]</f>
        <v>158889.557</v>
      </c>
      <c r="L1936" t="str">
        <f t="shared" si="30"/>
        <v>INSERT INTO msfo.statements (id_company, id_year, id_showing, value) VALUES (16,6,2,158889,557);</v>
      </c>
    </row>
    <row r="1937" spans="1:12">
      <c r="A1937" s="28" t="s">
        <v>50</v>
      </c>
      <c r="B1937" s="28" t="s">
        <v>34</v>
      </c>
      <c r="C1937" s="28">
        <v>2017</v>
      </c>
      <c r="D1937" s="28" t="s">
        <v>1</v>
      </c>
      <c r="E1937" s="28" t="s">
        <v>3</v>
      </c>
      <c r="F1937" s="28">
        <v>189539.22399999999</v>
      </c>
      <c r="H1937">
        <f>VLOOKUP(A1937&amp;B1937,ticker_sector[],2,FALSE)</f>
        <v>16</v>
      </c>
      <c r="I1937">
        <f>VLOOKUP(C1937,year[],2,FALSE)</f>
        <v>7</v>
      </c>
      <c r="J1937">
        <f>VLOOKUP(E1937,showing[],2,FALSE)</f>
        <v>2</v>
      </c>
      <c r="K1937">
        <f>Сектора[[#This Row],[Значение]]</f>
        <v>189539.22399999999</v>
      </c>
      <c r="L1937" t="str">
        <f t="shared" si="30"/>
        <v>INSERT INTO msfo.statements (id_company, id_year, id_showing, value) VALUES (16,7,2,189539,224);</v>
      </c>
    </row>
    <row r="1938" spans="1:12">
      <c r="A1938" s="28" t="s">
        <v>50</v>
      </c>
      <c r="B1938" s="28" t="s">
        <v>34</v>
      </c>
      <c r="C1938" s="28">
        <v>2010</v>
      </c>
      <c r="D1938" s="28" t="s">
        <v>1</v>
      </c>
      <c r="E1938" s="28" t="s">
        <v>5</v>
      </c>
      <c r="F1938" s="28">
        <v>112428.7964696</v>
      </c>
      <c r="H1938">
        <f>VLOOKUP(A1938&amp;B1938,ticker_sector[],2,FALSE)</f>
        <v>16</v>
      </c>
      <c r="I1938">
        <f>VLOOKUP(C1938,year[],2,FALSE)</f>
        <v>0</v>
      </c>
      <c r="J1938">
        <f>VLOOKUP(E1938,showing[],2,FALSE)</f>
        <v>3</v>
      </c>
      <c r="K1938">
        <f>Сектора[[#This Row],[Значение]]</f>
        <v>112428.7964696</v>
      </c>
      <c r="L1938" t="str">
        <f t="shared" si="30"/>
        <v>INSERT INTO msfo.statements (id_company, id_year, id_showing, value) VALUES (16,0,3,112428,7964696);</v>
      </c>
    </row>
    <row r="1939" spans="1:12">
      <c r="A1939" s="28" t="s">
        <v>50</v>
      </c>
      <c r="B1939" s="28" t="s">
        <v>34</v>
      </c>
      <c r="C1939" s="28">
        <v>2011</v>
      </c>
      <c r="D1939" s="28" t="s">
        <v>1</v>
      </c>
      <c r="E1939" s="28" t="s">
        <v>5</v>
      </c>
      <c r="F1939" s="28">
        <v>175381.7189417</v>
      </c>
      <c r="H1939">
        <f>VLOOKUP(A1939&amp;B1939,ticker_sector[],2,FALSE)</f>
        <v>16</v>
      </c>
      <c r="I1939">
        <f>VLOOKUP(C1939,year[],2,FALSE)</f>
        <v>1</v>
      </c>
      <c r="J1939">
        <f>VLOOKUP(E1939,showing[],2,FALSE)</f>
        <v>3</v>
      </c>
      <c r="K1939">
        <f>Сектора[[#This Row],[Значение]]</f>
        <v>175381.7189417</v>
      </c>
      <c r="L1939" t="str">
        <f t="shared" si="30"/>
        <v>INSERT INTO msfo.statements (id_company, id_year, id_showing, value) VALUES (16,1,3,175381,7189417);</v>
      </c>
    </row>
    <row r="1940" spans="1:12">
      <c r="A1940" s="28" t="s">
        <v>50</v>
      </c>
      <c r="B1940" s="28" t="s">
        <v>34</v>
      </c>
      <c r="C1940" s="28">
        <v>2012</v>
      </c>
      <c r="D1940" s="28" t="s">
        <v>1</v>
      </c>
      <c r="E1940" s="28" t="s">
        <v>5</v>
      </c>
      <c r="F1940" s="28">
        <v>220528.25499999998</v>
      </c>
      <c r="H1940">
        <f>VLOOKUP(A1940&amp;B1940,ticker_sector[],2,FALSE)</f>
        <v>16</v>
      </c>
      <c r="I1940">
        <f>VLOOKUP(C1940,year[],2,FALSE)</f>
        <v>2</v>
      </c>
      <c r="J1940">
        <f>VLOOKUP(E1940,showing[],2,FALSE)</f>
        <v>3</v>
      </c>
      <c r="K1940">
        <f>Сектора[[#This Row],[Значение]]</f>
        <v>220528.25499999998</v>
      </c>
      <c r="L1940" t="str">
        <f t="shared" si="30"/>
        <v>INSERT INTO msfo.statements (id_company, id_year, id_showing, value) VALUES (16,2,3,220528,255);</v>
      </c>
    </row>
    <row r="1941" spans="1:12">
      <c r="A1941" s="28" t="s">
        <v>50</v>
      </c>
      <c r="B1941" s="28" t="s">
        <v>34</v>
      </c>
      <c r="C1941" s="28">
        <v>2013</v>
      </c>
      <c r="D1941" s="28" t="s">
        <v>1</v>
      </c>
      <c r="E1941" s="28" t="s">
        <v>5</v>
      </c>
      <c r="F1941" s="28">
        <v>268180.55</v>
      </c>
      <c r="H1941">
        <f>VLOOKUP(A1941&amp;B1941,ticker_sector[],2,FALSE)</f>
        <v>16</v>
      </c>
      <c r="I1941">
        <f>VLOOKUP(C1941,year[],2,FALSE)</f>
        <v>3</v>
      </c>
      <c r="J1941">
        <f>VLOOKUP(E1941,showing[],2,FALSE)</f>
        <v>3</v>
      </c>
      <c r="K1941">
        <f>Сектора[[#This Row],[Значение]]</f>
        <v>268180.55</v>
      </c>
      <c r="L1941" t="str">
        <f t="shared" si="30"/>
        <v>INSERT INTO msfo.statements (id_company, id_year, id_showing, value) VALUES (16,3,3,268180,55);</v>
      </c>
    </row>
    <row r="1942" spans="1:12">
      <c r="A1942" s="28" t="s">
        <v>50</v>
      </c>
      <c r="B1942" s="28" t="s">
        <v>34</v>
      </c>
      <c r="C1942" s="28">
        <v>2014</v>
      </c>
      <c r="D1942" s="28" t="s">
        <v>1</v>
      </c>
      <c r="E1942" s="28" t="s">
        <v>5</v>
      </c>
      <c r="F1942" s="28">
        <v>344761.33299999998</v>
      </c>
      <c r="H1942">
        <f>VLOOKUP(A1942&amp;B1942,ticker_sector[],2,FALSE)</f>
        <v>16</v>
      </c>
      <c r="I1942">
        <f>VLOOKUP(C1942,year[],2,FALSE)</f>
        <v>4</v>
      </c>
      <c r="J1942">
        <f>VLOOKUP(E1942,showing[],2,FALSE)</f>
        <v>3</v>
      </c>
      <c r="K1942">
        <f>Сектора[[#This Row],[Значение]]</f>
        <v>344761.33299999998</v>
      </c>
      <c r="L1942" t="str">
        <f t="shared" si="30"/>
        <v>INSERT INTO msfo.statements (id_company, id_year, id_showing, value) VALUES (16,4,3,344761,333);</v>
      </c>
    </row>
    <row r="1943" spans="1:12">
      <c r="A1943" s="28" t="s">
        <v>50</v>
      </c>
      <c r="B1943" s="28" t="s">
        <v>34</v>
      </c>
      <c r="C1943" s="28">
        <v>2015</v>
      </c>
      <c r="D1943" s="28" t="s">
        <v>1</v>
      </c>
      <c r="E1943" s="28" t="s">
        <v>5</v>
      </c>
      <c r="F1943" s="28">
        <v>404192.973</v>
      </c>
      <c r="H1943">
        <f>VLOOKUP(A1943&amp;B1943,ticker_sector[],2,FALSE)</f>
        <v>16</v>
      </c>
      <c r="I1943">
        <f>VLOOKUP(C1943,year[],2,FALSE)</f>
        <v>5</v>
      </c>
      <c r="J1943">
        <f>VLOOKUP(E1943,showing[],2,FALSE)</f>
        <v>3</v>
      </c>
      <c r="K1943">
        <f>Сектора[[#This Row],[Значение]]</f>
        <v>404192.973</v>
      </c>
      <c r="L1943" t="str">
        <f t="shared" si="30"/>
        <v>INSERT INTO msfo.statements (id_company, id_year, id_showing, value) VALUES (16,5,3,404192,973);</v>
      </c>
    </row>
    <row r="1944" spans="1:12">
      <c r="A1944" s="28" t="s">
        <v>50</v>
      </c>
      <c r="B1944" s="28" t="s">
        <v>34</v>
      </c>
      <c r="C1944" s="28">
        <v>2016</v>
      </c>
      <c r="D1944" s="28" t="s">
        <v>1</v>
      </c>
      <c r="E1944" s="28" t="s">
        <v>5</v>
      </c>
      <c r="F1944" s="28">
        <v>454915.48600000003</v>
      </c>
      <c r="H1944">
        <f>VLOOKUP(A1944&amp;B1944,ticker_sector[],2,FALSE)</f>
        <v>16</v>
      </c>
      <c r="I1944">
        <f>VLOOKUP(C1944,year[],2,FALSE)</f>
        <v>6</v>
      </c>
      <c r="J1944">
        <f>VLOOKUP(E1944,showing[],2,FALSE)</f>
        <v>3</v>
      </c>
      <c r="K1944">
        <f>Сектора[[#This Row],[Значение]]</f>
        <v>454915.48600000003</v>
      </c>
      <c r="L1944" t="str">
        <f t="shared" si="30"/>
        <v>INSERT INTO msfo.statements (id_company, id_year, id_showing, value) VALUES (16,6,3,454915,486);</v>
      </c>
    </row>
    <row r="1945" spans="1:12">
      <c r="A1945" s="28" t="s">
        <v>50</v>
      </c>
      <c r="B1945" s="28" t="s">
        <v>34</v>
      </c>
      <c r="C1945" s="28">
        <v>2017</v>
      </c>
      <c r="D1945" s="28" t="s">
        <v>1</v>
      </c>
      <c r="E1945" s="28" t="s">
        <v>5</v>
      </c>
      <c r="F1945" s="28">
        <v>526325.24699999997</v>
      </c>
      <c r="H1945">
        <f>VLOOKUP(A1945&amp;B1945,ticker_sector[],2,FALSE)</f>
        <v>16</v>
      </c>
      <c r="I1945">
        <f>VLOOKUP(C1945,year[],2,FALSE)</f>
        <v>7</v>
      </c>
      <c r="J1945">
        <f>VLOOKUP(E1945,showing[],2,FALSE)</f>
        <v>3</v>
      </c>
      <c r="K1945">
        <f>Сектора[[#This Row],[Значение]]</f>
        <v>526325.24699999997</v>
      </c>
      <c r="L1945" t="str">
        <f t="shared" si="30"/>
        <v>INSERT INTO msfo.statements (id_company, id_year, id_showing, value) VALUES (16,7,3,526325,247);</v>
      </c>
    </row>
    <row r="1946" spans="1:12">
      <c r="A1946" s="28" t="s">
        <v>50</v>
      </c>
      <c r="B1946" s="28" t="s">
        <v>34</v>
      </c>
      <c r="C1946" s="28">
        <v>2010</v>
      </c>
      <c r="D1946" s="28" t="s">
        <v>1</v>
      </c>
      <c r="E1946" s="28" t="s">
        <v>6</v>
      </c>
      <c r="F1946" s="28">
        <v>52501.275600199995</v>
      </c>
      <c r="H1946">
        <f>VLOOKUP(A1946&amp;B1946,ticker_sector[],2,FALSE)</f>
        <v>16</v>
      </c>
      <c r="I1946">
        <f>VLOOKUP(C1946,year[],2,FALSE)</f>
        <v>0</v>
      </c>
      <c r="J1946">
        <f>VLOOKUP(E1946,showing[],2,FALSE)</f>
        <v>4</v>
      </c>
      <c r="K1946">
        <f>Сектора[[#This Row],[Значение]]</f>
        <v>52501.275600199995</v>
      </c>
      <c r="L1946" t="str">
        <f t="shared" si="30"/>
        <v>INSERT INTO msfo.statements (id_company, id_year, id_showing, value) VALUES (16,0,4,52501,2756002);</v>
      </c>
    </row>
    <row r="1947" spans="1:12">
      <c r="A1947" s="28" t="s">
        <v>50</v>
      </c>
      <c r="B1947" s="28" t="s">
        <v>34</v>
      </c>
      <c r="C1947" s="28">
        <v>2011</v>
      </c>
      <c r="D1947" s="28" t="s">
        <v>1</v>
      </c>
      <c r="E1947" s="28" t="s">
        <v>6</v>
      </c>
      <c r="F1947" s="28">
        <v>78695.671582100011</v>
      </c>
      <c r="H1947">
        <f>VLOOKUP(A1947&amp;B1947,ticker_sector[],2,FALSE)</f>
        <v>16</v>
      </c>
      <c r="I1947">
        <f>VLOOKUP(C1947,year[],2,FALSE)</f>
        <v>1</v>
      </c>
      <c r="J1947">
        <f>VLOOKUP(E1947,showing[],2,FALSE)</f>
        <v>4</v>
      </c>
      <c r="K1947">
        <f>Сектора[[#This Row],[Значение]]</f>
        <v>78695.671582100011</v>
      </c>
      <c r="L1947" t="str">
        <f t="shared" si="30"/>
        <v>INSERT INTO msfo.statements (id_company, id_year, id_showing, value) VALUES (16,1,4,78695,6715821);</v>
      </c>
    </row>
    <row r="1948" spans="1:12">
      <c r="A1948" s="28" t="s">
        <v>50</v>
      </c>
      <c r="B1948" s="28" t="s">
        <v>34</v>
      </c>
      <c r="C1948" s="28">
        <v>2012</v>
      </c>
      <c r="D1948" s="28" t="s">
        <v>1</v>
      </c>
      <c r="E1948" s="28" t="s">
        <v>6</v>
      </c>
      <c r="F1948" s="28">
        <v>99235.714000000007</v>
      </c>
      <c r="H1948">
        <f>VLOOKUP(A1948&amp;B1948,ticker_sector[],2,FALSE)</f>
        <v>16</v>
      </c>
      <c r="I1948">
        <f>VLOOKUP(C1948,year[],2,FALSE)</f>
        <v>2</v>
      </c>
      <c r="J1948">
        <f>VLOOKUP(E1948,showing[],2,FALSE)</f>
        <v>4</v>
      </c>
      <c r="K1948">
        <f>Сектора[[#This Row],[Значение]]</f>
        <v>99235.714000000007</v>
      </c>
      <c r="L1948" t="str">
        <f t="shared" si="30"/>
        <v>INSERT INTO msfo.statements (id_company, id_year, id_showing, value) VALUES (16,2,4,99235,714);</v>
      </c>
    </row>
    <row r="1949" spans="1:12">
      <c r="A1949" s="28" t="s">
        <v>50</v>
      </c>
      <c r="B1949" s="28" t="s">
        <v>34</v>
      </c>
      <c r="C1949" s="28">
        <v>2013</v>
      </c>
      <c r="D1949" s="28" t="s">
        <v>1</v>
      </c>
      <c r="E1949" s="28" t="s">
        <v>6</v>
      </c>
      <c r="F1949" s="28">
        <v>126162.13499999999</v>
      </c>
      <c r="H1949">
        <f>VLOOKUP(A1949&amp;B1949,ticker_sector[],2,FALSE)</f>
        <v>16</v>
      </c>
      <c r="I1949">
        <f>VLOOKUP(C1949,year[],2,FALSE)</f>
        <v>3</v>
      </c>
      <c r="J1949">
        <f>VLOOKUP(E1949,showing[],2,FALSE)</f>
        <v>4</v>
      </c>
      <c r="K1949">
        <f>Сектора[[#This Row],[Значение]]</f>
        <v>126162.13499999999</v>
      </c>
      <c r="L1949" t="str">
        <f t="shared" si="30"/>
        <v>INSERT INTO msfo.statements (id_company, id_year, id_showing, value) VALUES (16,3,4,126162,135);</v>
      </c>
    </row>
    <row r="1950" spans="1:12">
      <c r="A1950" s="28" t="s">
        <v>50</v>
      </c>
      <c r="B1950" s="28" t="s">
        <v>34</v>
      </c>
      <c r="C1950" s="28">
        <v>2014</v>
      </c>
      <c r="D1950" s="28" t="s">
        <v>1</v>
      </c>
      <c r="E1950" s="28" t="s">
        <v>6</v>
      </c>
      <c r="F1950" s="28">
        <v>143651.62</v>
      </c>
      <c r="H1950">
        <f>VLOOKUP(A1950&amp;B1950,ticker_sector[],2,FALSE)</f>
        <v>16</v>
      </c>
      <c r="I1950">
        <f>VLOOKUP(C1950,year[],2,FALSE)</f>
        <v>4</v>
      </c>
      <c r="J1950">
        <f>VLOOKUP(E1950,showing[],2,FALSE)</f>
        <v>4</v>
      </c>
      <c r="K1950">
        <f>Сектора[[#This Row],[Значение]]</f>
        <v>143651.62</v>
      </c>
      <c r="L1950" t="str">
        <f t="shared" si="30"/>
        <v>INSERT INTO msfo.statements (id_company, id_year, id_showing, value) VALUES (16,4,4,143651,62);</v>
      </c>
    </row>
    <row r="1951" spans="1:12">
      <c r="A1951" s="28" t="s">
        <v>50</v>
      </c>
      <c r="B1951" s="28" t="s">
        <v>34</v>
      </c>
      <c r="C1951" s="28">
        <v>2015</v>
      </c>
      <c r="D1951" s="28" t="s">
        <v>1</v>
      </c>
      <c r="E1951" s="28" t="s">
        <v>6</v>
      </c>
      <c r="F1951" s="28">
        <v>165140.59599999999</v>
      </c>
      <c r="H1951">
        <f>VLOOKUP(A1951&amp;B1951,ticker_sector[],2,FALSE)</f>
        <v>16</v>
      </c>
      <c r="I1951">
        <f>VLOOKUP(C1951,year[],2,FALSE)</f>
        <v>5</v>
      </c>
      <c r="J1951">
        <f>VLOOKUP(E1951,showing[],2,FALSE)</f>
        <v>4</v>
      </c>
      <c r="K1951">
        <f>Сектора[[#This Row],[Значение]]</f>
        <v>165140.59599999999</v>
      </c>
      <c r="L1951" t="str">
        <f t="shared" si="30"/>
        <v>INSERT INTO msfo.statements (id_company, id_year, id_showing, value) VALUES (16,5,4,165140,596);</v>
      </c>
    </row>
    <row r="1952" spans="1:12">
      <c r="A1952" s="28" t="s">
        <v>50</v>
      </c>
      <c r="B1952" s="28" t="s">
        <v>34</v>
      </c>
      <c r="C1952" s="28">
        <v>2016</v>
      </c>
      <c r="D1952" s="28" t="s">
        <v>1</v>
      </c>
      <c r="E1952" s="28" t="s">
        <v>6</v>
      </c>
      <c r="F1952" s="28">
        <v>196076.96799999999</v>
      </c>
      <c r="H1952">
        <f>VLOOKUP(A1952&amp;B1952,ticker_sector[],2,FALSE)</f>
        <v>16</v>
      </c>
      <c r="I1952">
        <f>VLOOKUP(C1952,year[],2,FALSE)</f>
        <v>6</v>
      </c>
      <c r="J1952">
        <f>VLOOKUP(E1952,showing[],2,FALSE)</f>
        <v>4</v>
      </c>
      <c r="K1952">
        <f>Сектора[[#This Row],[Значение]]</f>
        <v>196076.96799999999</v>
      </c>
      <c r="L1952" t="str">
        <f t="shared" si="30"/>
        <v>INSERT INTO msfo.statements (id_company, id_year, id_showing, value) VALUES (16,6,4,196076,968);</v>
      </c>
    </row>
    <row r="1953" spans="1:12">
      <c r="A1953" s="28" t="s">
        <v>50</v>
      </c>
      <c r="B1953" s="28" t="s">
        <v>34</v>
      </c>
      <c r="C1953" s="28">
        <v>2017</v>
      </c>
      <c r="D1953" s="28" t="s">
        <v>1</v>
      </c>
      <c r="E1953" s="28" t="s">
        <v>6</v>
      </c>
      <c r="F1953" s="28">
        <v>259307.43900000001</v>
      </c>
      <c r="H1953">
        <f>VLOOKUP(A1953&amp;B1953,ticker_sector[],2,FALSE)</f>
        <v>16</v>
      </c>
      <c r="I1953">
        <f>VLOOKUP(C1953,year[],2,FALSE)</f>
        <v>7</v>
      </c>
      <c r="J1953">
        <f>VLOOKUP(E1953,showing[],2,FALSE)</f>
        <v>4</v>
      </c>
      <c r="K1953">
        <f>Сектора[[#This Row],[Значение]]</f>
        <v>259307.43900000001</v>
      </c>
      <c r="L1953" t="str">
        <f t="shared" si="30"/>
        <v>INSERT INTO msfo.statements (id_company, id_year, id_showing, value) VALUES (16,7,4,259307,439);</v>
      </c>
    </row>
    <row r="1954" spans="1:12">
      <c r="A1954" s="28" t="s">
        <v>50</v>
      </c>
      <c r="B1954" s="28" t="s">
        <v>34</v>
      </c>
      <c r="C1954" s="28">
        <v>2010</v>
      </c>
      <c r="D1954" s="28" t="s">
        <v>1</v>
      </c>
      <c r="E1954" s="28" t="s">
        <v>8</v>
      </c>
      <c r="F1954" s="28">
        <v>26718.183923000001</v>
      </c>
      <c r="H1954">
        <f>VLOOKUP(A1954&amp;B1954,ticker_sector[],2,FALSE)</f>
        <v>16</v>
      </c>
      <c r="I1954">
        <f>VLOOKUP(C1954,year[],2,FALSE)</f>
        <v>0</v>
      </c>
      <c r="J1954">
        <f>VLOOKUP(E1954,showing[],2,FALSE)</f>
        <v>5</v>
      </c>
      <c r="K1954">
        <f>Сектора[[#This Row],[Значение]]</f>
        <v>26718.183923000001</v>
      </c>
      <c r="L1954" t="str">
        <f t="shared" si="30"/>
        <v>INSERT INTO msfo.statements (id_company, id_year, id_showing, value) VALUES (16,0,5,26718,183923);</v>
      </c>
    </row>
    <row r="1955" spans="1:12">
      <c r="A1955" s="28" t="s">
        <v>50</v>
      </c>
      <c r="B1955" s="28" t="s">
        <v>34</v>
      </c>
      <c r="C1955" s="28">
        <v>2011</v>
      </c>
      <c r="D1955" s="28" t="s">
        <v>1</v>
      </c>
      <c r="E1955" s="28" t="s">
        <v>8</v>
      </c>
      <c r="F1955" s="28">
        <v>50017.639429099996</v>
      </c>
      <c r="H1955">
        <f>VLOOKUP(A1955&amp;B1955,ticker_sector[],2,FALSE)</f>
        <v>16</v>
      </c>
      <c r="I1955">
        <f>VLOOKUP(C1955,year[],2,FALSE)</f>
        <v>1</v>
      </c>
      <c r="J1955">
        <f>VLOOKUP(E1955,showing[],2,FALSE)</f>
        <v>5</v>
      </c>
      <c r="K1955">
        <f>Сектора[[#This Row],[Значение]]</f>
        <v>50017.639429099996</v>
      </c>
      <c r="L1955" t="str">
        <f t="shared" si="30"/>
        <v>INSERT INTO msfo.statements (id_company, id_year, id_showing, value) VALUES (16,1,5,50017,6394291);</v>
      </c>
    </row>
    <row r="1956" spans="1:12">
      <c r="A1956" s="28" t="s">
        <v>50</v>
      </c>
      <c r="B1956" s="28" t="s">
        <v>34</v>
      </c>
      <c r="C1956" s="28">
        <v>2012</v>
      </c>
      <c r="D1956" s="28" t="s">
        <v>1</v>
      </c>
      <c r="E1956" s="28" t="s">
        <v>8</v>
      </c>
      <c r="F1956" s="28">
        <v>44405.813999999998</v>
      </c>
      <c r="H1956">
        <f>VLOOKUP(A1956&amp;B1956,ticker_sector[],2,FALSE)</f>
        <v>16</v>
      </c>
      <c r="I1956">
        <f>VLOOKUP(C1956,year[],2,FALSE)</f>
        <v>2</v>
      </c>
      <c r="J1956">
        <f>VLOOKUP(E1956,showing[],2,FALSE)</f>
        <v>5</v>
      </c>
      <c r="K1956">
        <f>Сектора[[#This Row],[Значение]]</f>
        <v>44405.813999999998</v>
      </c>
      <c r="L1956" t="str">
        <f t="shared" si="30"/>
        <v>INSERT INTO msfo.statements (id_company, id_year, id_showing, value) VALUES (16,2,5,44405,814);</v>
      </c>
    </row>
    <row r="1957" spans="1:12">
      <c r="A1957" s="28" t="s">
        <v>50</v>
      </c>
      <c r="B1957" s="28" t="s">
        <v>34</v>
      </c>
      <c r="C1957" s="28">
        <v>2013</v>
      </c>
      <c r="D1957" s="28" t="s">
        <v>1</v>
      </c>
      <c r="E1957" s="28" t="s">
        <v>8</v>
      </c>
      <c r="F1957" s="28">
        <v>45903.824000000001</v>
      </c>
      <c r="H1957">
        <f>VLOOKUP(A1957&amp;B1957,ticker_sector[],2,FALSE)</f>
        <v>16</v>
      </c>
      <c r="I1957">
        <f>VLOOKUP(C1957,year[],2,FALSE)</f>
        <v>3</v>
      </c>
      <c r="J1957">
        <f>VLOOKUP(E1957,showing[],2,FALSE)</f>
        <v>5</v>
      </c>
      <c r="K1957">
        <f>Сектора[[#This Row],[Значение]]</f>
        <v>45903.824000000001</v>
      </c>
      <c r="L1957" t="str">
        <f t="shared" si="30"/>
        <v>INSERT INTO msfo.statements (id_company, id_year, id_showing, value) VALUES (16,3,5,45903,824);</v>
      </c>
    </row>
    <row r="1958" spans="1:12">
      <c r="A1958" s="28" t="s">
        <v>50</v>
      </c>
      <c r="B1958" s="28" t="s">
        <v>34</v>
      </c>
      <c r="C1958" s="28">
        <v>2014</v>
      </c>
      <c r="D1958" s="28" t="s">
        <v>1</v>
      </c>
      <c r="E1958" s="28" t="s">
        <v>8</v>
      </c>
      <c r="F1958" s="28">
        <v>55027.843000000001</v>
      </c>
      <c r="H1958">
        <f>VLOOKUP(A1958&amp;B1958,ticker_sector[],2,FALSE)</f>
        <v>16</v>
      </c>
      <c r="I1958">
        <f>VLOOKUP(C1958,year[],2,FALSE)</f>
        <v>4</v>
      </c>
      <c r="J1958">
        <f>VLOOKUP(E1958,showing[],2,FALSE)</f>
        <v>5</v>
      </c>
      <c r="K1958">
        <f>Сектора[[#This Row],[Значение]]</f>
        <v>55027.843000000001</v>
      </c>
      <c r="L1958" t="str">
        <f t="shared" si="30"/>
        <v>INSERT INTO msfo.statements (id_company, id_year, id_showing, value) VALUES (16,4,5,55027,843);</v>
      </c>
    </row>
    <row r="1959" spans="1:12">
      <c r="A1959" s="28" t="s">
        <v>50</v>
      </c>
      <c r="B1959" s="28" t="s">
        <v>34</v>
      </c>
      <c r="C1959" s="28">
        <v>2015</v>
      </c>
      <c r="D1959" s="28" t="s">
        <v>1</v>
      </c>
      <c r="E1959" s="28" t="s">
        <v>8</v>
      </c>
      <c r="F1959" s="28">
        <v>72409.782000000007</v>
      </c>
      <c r="H1959">
        <f>VLOOKUP(A1959&amp;B1959,ticker_sector[],2,FALSE)</f>
        <v>16</v>
      </c>
      <c r="I1959">
        <f>VLOOKUP(C1959,year[],2,FALSE)</f>
        <v>5</v>
      </c>
      <c r="J1959">
        <f>VLOOKUP(E1959,showing[],2,FALSE)</f>
        <v>5</v>
      </c>
      <c r="K1959">
        <f>Сектора[[#This Row],[Значение]]</f>
        <v>72409.782000000007</v>
      </c>
      <c r="L1959" t="str">
        <f t="shared" si="30"/>
        <v>INSERT INTO msfo.statements (id_company, id_year, id_showing, value) VALUES (16,5,5,72409,782);</v>
      </c>
    </row>
    <row r="1960" spans="1:12">
      <c r="A1960" s="28" t="s">
        <v>50</v>
      </c>
      <c r="B1960" s="28" t="s">
        <v>34</v>
      </c>
      <c r="C1960" s="28">
        <v>2016</v>
      </c>
      <c r="D1960" s="28" t="s">
        <v>1</v>
      </c>
      <c r="E1960" s="28" t="s">
        <v>8</v>
      </c>
      <c r="F1960" s="28">
        <v>93125.551999999996</v>
      </c>
      <c r="H1960">
        <f>VLOOKUP(A1960&amp;B1960,ticker_sector[],2,FALSE)</f>
        <v>16</v>
      </c>
      <c r="I1960">
        <f>VLOOKUP(C1960,year[],2,FALSE)</f>
        <v>6</v>
      </c>
      <c r="J1960">
        <f>VLOOKUP(E1960,showing[],2,FALSE)</f>
        <v>5</v>
      </c>
      <c r="K1960">
        <f>Сектора[[#This Row],[Значение]]</f>
        <v>93125.551999999996</v>
      </c>
      <c r="L1960" t="str">
        <f t="shared" si="30"/>
        <v>INSERT INTO msfo.statements (id_company, id_year, id_showing, value) VALUES (16,6,5,93125,552);</v>
      </c>
    </row>
    <row r="1961" spans="1:12">
      <c r="A1961" s="28" t="s">
        <v>50</v>
      </c>
      <c r="B1961" s="28" t="s">
        <v>34</v>
      </c>
      <c r="C1961" s="28">
        <v>2017</v>
      </c>
      <c r="D1961" s="28" t="s">
        <v>1</v>
      </c>
      <c r="E1961" s="28" t="s">
        <v>8</v>
      </c>
      <c r="F1961" s="28">
        <v>108960.41800000001</v>
      </c>
      <c r="H1961">
        <f>VLOOKUP(A1961&amp;B1961,ticker_sector[],2,FALSE)</f>
        <v>16</v>
      </c>
      <c r="I1961">
        <f>VLOOKUP(C1961,year[],2,FALSE)</f>
        <v>7</v>
      </c>
      <c r="J1961">
        <f>VLOOKUP(E1961,showing[],2,FALSE)</f>
        <v>5</v>
      </c>
      <c r="K1961">
        <f>Сектора[[#This Row],[Значение]]</f>
        <v>108960.41800000001</v>
      </c>
      <c r="L1961" t="str">
        <f t="shared" si="30"/>
        <v>INSERT INTO msfo.statements (id_company, id_year, id_showing, value) VALUES (16,7,5,108960,418);</v>
      </c>
    </row>
    <row r="1962" spans="1:12">
      <c r="A1962" s="28" t="s">
        <v>50</v>
      </c>
      <c r="B1962" s="28" t="s">
        <v>34</v>
      </c>
      <c r="C1962" s="28">
        <v>2010</v>
      </c>
      <c r="D1962" s="28" t="s">
        <v>1</v>
      </c>
      <c r="E1962" s="28" t="s">
        <v>9</v>
      </c>
      <c r="F1962" s="28">
        <v>33209.336946399999</v>
      </c>
      <c r="H1962">
        <f>VLOOKUP(A1962&amp;B1962,ticker_sector[],2,FALSE)</f>
        <v>16</v>
      </c>
      <c r="I1962">
        <f>VLOOKUP(C1962,year[],2,FALSE)</f>
        <v>0</v>
      </c>
      <c r="J1962">
        <f>VLOOKUP(E1962,showing[],2,FALSE)</f>
        <v>6</v>
      </c>
      <c r="K1962">
        <f>Сектора[[#This Row],[Значение]]</f>
        <v>33209.336946399999</v>
      </c>
      <c r="L1962" t="str">
        <f t="shared" si="30"/>
        <v>INSERT INTO msfo.statements (id_company, id_year, id_showing, value) VALUES (16,0,6,33209,3369464);</v>
      </c>
    </row>
    <row r="1963" spans="1:12">
      <c r="A1963" s="28" t="s">
        <v>50</v>
      </c>
      <c r="B1963" s="28" t="s">
        <v>34</v>
      </c>
      <c r="C1963" s="28">
        <v>2011</v>
      </c>
      <c r="D1963" s="28" t="s">
        <v>1</v>
      </c>
      <c r="E1963" s="28" t="s">
        <v>9</v>
      </c>
      <c r="F1963" s="28">
        <v>46668.407930499998</v>
      </c>
      <c r="H1963">
        <f>VLOOKUP(A1963&amp;B1963,ticker_sector[],2,FALSE)</f>
        <v>16</v>
      </c>
      <c r="I1963">
        <f>VLOOKUP(C1963,year[],2,FALSE)</f>
        <v>1</v>
      </c>
      <c r="J1963">
        <f>VLOOKUP(E1963,showing[],2,FALSE)</f>
        <v>6</v>
      </c>
      <c r="K1963">
        <f>Сектора[[#This Row],[Значение]]</f>
        <v>46668.407930499998</v>
      </c>
      <c r="L1963" t="str">
        <f t="shared" si="30"/>
        <v>INSERT INTO msfo.statements (id_company, id_year, id_showing, value) VALUES (16,1,6,46668,4079305);</v>
      </c>
    </row>
    <row r="1964" spans="1:12">
      <c r="A1964" s="28" t="s">
        <v>50</v>
      </c>
      <c r="B1964" s="28" t="s">
        <v>34</v>
      </c>
      <c r="C1964" s="28">
        <v>2012</v>
      </c>
      <c r="D1964" s="28" t="s">
        <v>1</v>
      </c>
      <c r="E1964" s="28" t="s">
        <v>9</v>
      </c>
      <c r="F1964" s="28">
        <v>76886.726999999999</v>
      </c>
      <c r="H1964">
        <f>VLOOKUP(A1964&amp;B1964,ticker_sector[],2,FALSE)</f>
        <v>16</v>
      </c>
      <c r="I1964">
        <f>VLOOKUP(C1964,year[],2,FALSE)</f>
        <v>2</v>
      </c>
      <c r="J1964">
        <f>VLOOKUP(E1964,showing[],2,FALSE)</f>
        <v>6</v>
      </c>
      <c r="K1964">
        <f>Сектора[[#This Row],[Значение]]</f>
        <v>76886.726999999999</v>
      </c>
      <c r="L1964" t="str">
        <f t="shared" si="30"/>
        <v>INSERT INTO msfo.statements (id_company, id_year, id_showing, value) VALUES (16,2,6,76886,727);</v>
      </c>
    </row>
    <row r="1965" spans="1:12">
      <c r="A1965" s="28" t="s">
        <v>50</v>
      </c>
      <c r="B1965" s="28" t="s">
        <v>34</v>
      </c>
      <c r="C1965" s="28">
        <v>2013</v>
      </c>
      <c r="D1965" s="28" t="s">
        <v>1</v>
      </c>
      <c r="E1965" s="28" t="s">
        <v>9</v>
      </c>
      <c r="F1965" s="28">
        <v>96114.591</v>
      </c>
      <c r="H1965">
        <f>VLOOKUP(A1965&amp;B1965,ticker_sector[],2,FALSE)</f>
        <v>16</v>
      </c>
      <c r="I1965">
        <f>VLOOKUP(C1965,year[],2,FALSE)</f>
        <v>3</v>
      </c>
      <c r="J1965">
        <f>VLOOKUP(E1965,showing[],2,FALSE)</f>
        <v>6</v>
      </c>
      <c r="K1965">
        <f>Сектора[[#This Row],[Значение]]</f>
        <v>96114.591</v>
      </c>
      <c r="L1965" t="str">
        <f t="shared" si="30"/>
        <v>INSERT INTO msfo.statements (id_company, id_year, id_showing, value) VALUES (16,3,6,96114,591);</v>
      </c>
    </row>
    <row r="1966" spans="1:12">
      <c r="A1966" s="28" t="s">
        <v>50</v>
      </c>
      <c r="B1966" s="28" t="s">
        <v>34</v>
      </c>
      <c r="C1966" s="28">
        <v>2014</v>
      </c>
      <c r="D1966" s="28" t="s">
        <v>1</v>
      </c>
      <c r="E1966" s="28" t="s">
        <v>9</v>
      </c>
      <c r="F1966" s="28">
        <v>146081.87</v>
      </c>
      <c r="H1966">
        <f>VLOOKUP(A1966&amp;B1966,ticker_sector[],2,FALSE)</f>
        <v>16</v>
      </c>
      <c r="I1966">
        <f>VLOOKUP(C1966,year[],2,FALSE)</f>
        <v>4</v>
      </c>
      <c r="J1966">
        <f>VLOOKUP(E1966,showing[],2,FALSE)</f>
        <v>6</v>
      </c>
      <c r="K1966">
        <f>Сектора[[#This Row],[Значение]]</f>
        <v>146081.87</v>
      </c>
      <c r="L1966" t="str">
        <f t="shared" si="30"/>
        <v>INSERT INTO msfo.statements (id_company, id_year, id_showing, value) VALUES (16,4,6,146081,87);</v>
      </c>
    </row>
    <row r="1967" spans="1:12">
      <c r="A1967" s="28" t="s">
        <v>50</v>
      </c>
      <c r="B1967" s="28" t="s">
        <v>34</v>
      </c>
      <c r="C1967" s="28">
        <v>2015</v>
      </c>
      <c r="D1967" s="28" t="s">
        <v>1</v>
      </c>
      <c r="E1967" s="28" t="s">
        <v>9</v>
      </c>
      <c r="F1967" s="28">
        <v>166642.595</v>
      </c>
      <c r="H1967">
        <f>VLOOKUP(A1967&amp;B1967,ticker_sector[],2,FALSE)</f>
        <v>16</v>
      </c>
      <c r="I1967">
        <f>VLOOKUP(C1967,year[],2,FALSE)</f>
        <v>5</v>
      </c>
      <c r="J1967">
        <f>VLOOKUP(E1967,showing[],2,FALSE)</f>
        <v>6</v>
      </c>
      <c r="K1967">
        <f>Сектора[[#This Row],[Значение]]</f>
        <v>166642.595</v>
      </c>
      <c r="L1967" t="str">
        <f t="shared" si="30"/>
        <v>INSERT INTO msfo.statements (id_company, id_year, id_showing, value) VALUES (16,5,6,166642,595);</v>
      </c>
    </row>
    <row r="1968" spans="1:12">
      <c r="A1968" s="28" t="s">
        <v>50</v>
      </c>
      <c r="B1968" s="28" t="s">
        <v>34</v>
      </c>
      <c r="C1968" s="28">
        <v>2016</v>
      </c>
      <c r="D1968" s="28" t="s">
        <v>1</v>
      </c>
      <c r="E1968" s="28" t="s">
        <v>9</v>
      </c>
      <c r="F1968" s="28">
        <v>165712.96599999999</v>
      </c>
      <c r="H1968">
        <f>VLOOKUP(A1968&amp;B1968,ticker_sector[],2,FALSE)</f>
        <v>16</v>
      </c>
      <c r="I1968">
        <f>VLOOKUP(C1968,year[],2,FALSE)</f>
        <v>6</v>
      </c>
      <c r="J1968">
        <f>VLOOKUP(E1968,showing[],2,FALSE)</f>
        <v>6</v>
      </c>
      <c r="K1968">
        <f>Сектора[[#This Row],[Значение]]</f>
        <v>165712.96599999999</v>
      </c>
      <c r="L1968" t="str">
        <f t="shared" si="30"/>
        <v>INSERT INTO msfo.statements (id_company, id_year, id_showing, value) VALUES (16,6,6,165712,966);</v>
      </c>
    </row>
    <row r="1969" spans="1:12">
      <c r="A1969" s="28" t="s">
        <v>50</v>
      </c>
      <c r="B1969" s="28" t="s">
        <v>34</v>
      </c>
      <c r="C1969" s="28">
        <v>2017</v>
      </c>
      <c r="D1969" s="28" t="s">
        <v>1</v>
      </c>
      <c r="E1969" s="28" t="s">
        <v>9</v>
      </c>
      <c r="F1969" s="28">
        <v>158057.39000000001</v>
      </c>
      <c r="H1969">
        <f>VLOOKUP(A1969&amp;B1969,ticker_sector[],2,FALSE)</f>
        <v>16</v>
      </c>
      <c r="I1969">
        <f>VLOOKUP(C1969,year[],2,FALSE)</f>
        <v>7</v>
      </c>
      <c r="J1969">
        <f>VLOOKUP(E1969,showing[],2,FALSE)</f>
        <v>6</v>
      </c>
      <c r="K1969">
        <f>Сектора[[#This Row],[Значение]]</f>
        <v>158057.39000000001</v>
      </c>
      <c r="L1969" t="str">
        <f t="shared" si="30"/>
        <v>INSERT INTO msfo.statements (id_company, id_year, id_showing, value) VALUES (16,7,6,158057,39);</v>
      </c>
    </row>
    <row r="1970" spans="1:12">
      <c r="A1970" s="28" t="s">
        <v>50</v>
      </c>
      <c r="B1970" s="28" t="s">
        <v>34</v>
      </c>
      <c r="C1970" s="28">
        <v>2010</v>
      </c>
      <c r="D1970" s="28" t="s">
        <v>1</v>
      </c>
      <c r="E1970" s="28" t="s">
        <v>10</v>
      </c>
      <c r="F1970" s="28">
        <v>112428.7964696</v>
      </c>
      <c r="H1970">
        <f>VLOOKUP(A1970&amp;B1970,ticker_sector[],2,FALSE)</f>
        <v>16</v>
      </c>
      <c r="I1970">
        <f>VLOOKUP(C1970,year[],2,FALSE)</f>
        <v>0</v>
      </c>
      <c r="J1970">
        <f>VLOOKUP(E1970,showing[],2,FALSE)</f>
        <v>7</v>
      </c>
      <c r="K1970">
        <f>Сектора[[#This Row],[Значение]]</f>
        <v>112428.7964696</v>
      </c>
      <c r="L1970" t="str">
        <f t="shared" si="30"/>
        <v>INSERT INTO msfo.statements (id_company, id_year, id_showing, value) VALUES (16,0,7,112428,7964696);</v>
      </c>
    </row>
    <row r="1971" spans="1:12">
      <c r="A1971" s="28" t="s">
        <v>50</v>
      </c>
      <c r="B1971" s="28" t="s">
        <v>34</v>
      </c>
      <c r="C1971" s="28">
        <v>2011</v>
      </c>
      <c r="D1971" s="28" t="s">
        <v>1</v>
      </c>
      <c r="E1971" s="28" t="s">
        <v>10</v>
      </c>
      <c r="F1971" s="28">
        <v>175381.7189417</v>
      </c>
      <c r="H1971">
        <f>VLOOKUP(A1971&amp;B1971,ticker_sector[],2,FALSE)</f>
        <v>16</v>
      </c>
      <c r="I1971">
        <f>VLOOKUP(C1971,year[],2,FALSE)</f>
        <v>1</v>
      </c>
      <c r="J1971">
        <f>VLOOKUP(E1971,showing[],2,FALSE)</f>
        <v>7</v>
      </c>
      <c r="K1971">
        <f>Сектора[[#This Row],[Значение]]</f>
        <v>175381.7189417</v>
      </c>
      <c r="L1971" t="str">
        <f t="shared" si="30"/>
        <v>INSERT INTO msfo.statements (id_company, id_year, id_showing, value) VALUES (16,1,7,175381,7189417);</v>
      </c>
    </row>
    <row r="1972" spans="1:12">
      <c r="A1972" s="28" t="s">
        <v>50</v>
      </c>
      <c r="B1972" s="28" t="s">
        <v>34</v>
      </c>
      <c r="C1972" s="28">
        <v>2012</v>
      </c>
      <c r="D1972" s="28" t="s">
        <v>1</v>
      </c>
      <c r="E1972" s="28" t="s">
        <v>10</v>
      </c>
      <c r="F1972" s="28">
        <v>220528.255</v>
      </c>
      <c r="H1972">
        <f>VLOOKUP(A1972&amp;B1972,ticker_sector[],2,FALSE)</f>
        <v>16</v>
      </c>
      <c r="I1972">
        <f>VLOOKUP(C1972,year[],2,FALSE)</f>
        <v>2</v>
      </c>
      <c r="J1972">
        <f>VLOOKUP(E1972,showing[],2,FALSE)</f>
        <v>7</v>
      </c>
      <c r="K1972">
        <f>Сектора[[#This Row],[Значение]]</f>
        <v>220528.255</v>
      </c>
      <c r="L1972" t="str">
        <f t="shared" si="30"/>
        <v>INSERT INTO msfo.statements (id_company, id_year, id_showing, value) VALUES (16,2,7,220528,255);</v>
      </c>
    </row>
    <row r="1973" spans="1:12">
      <c r="A1973" s="28" t="s">
        <v>50</v>
      </c>
      <c r="B1973" s="28" t="s">
        <v>34</v>
      </c>
      <c r="C1973" s="28">
        <v>2013</v>
      </c>
      <c r="D1973" s="28" t="s">
        <v>1</v>
      </c>
      <c r="E1973" s="28" t="s">
        <v>10</v>
      </c>
      <c r="F1973" s="28">
        <v>268180.55</v>
      </c>
      <c r="H1973">
        <f>VLOOKUP(A1973&amp;B1973,ticker_sector[],2,FALSE)</f>
        <v>16</v>
      </c>
      <c r="I1973">
        <f>VLOOKUP(C1973,year[],2,FALSE)</f>
        <v>3</v>
      </c>
      <c r="J1973">
        <f>VLOOKUP(E1973,showing[],2,FALSE)</f>
        <v>7</v>
      </c>
      <c r="K1973">
        <f>Сектора[[#This Row],[Значение]]</f>
        <v>268180.55</v>
      </c>
      <c r="L1973" t="str">
        <f t="shared" si="30"/>
        <v>INSERT INTO msfo.statements (id_company, id_year, id_showing, value) VALUES (16,3,7,268180,55);</v>
      </c>
    </row>
    <row r="1974" spans="1:12">
      <c r="A1974" s="28" t="s">
        <v>50</v>
      </c>
      <c r="B1974" s="28" t="s">
        <v>34</v>
      </c>
      <c r="C1974" s="28">
        <v>2014</v>
      </c>
      <c r="D1974" s="28" t="s">
        <v>1</v>
      </c>
      <c r="E1974" s="28" t="s">
        <v>10</v>
      </c>
      <c r="F1974" s="28">
        <v>344761.33299999998</v>
      </c>
      <c r="H1974">
        <f>VLOOKUP(A1974&amp;B1974,ticker_sector[],2,FALSE)</f>
        <v>16</v>
      </c>
      <c r="I1974">
        <f>VLOOKUP(C1974,year[],2,FALSE)</f>
        <v>4</v>
      </c>
      <c r="J1974">
        <f>VLOOKUP(E1974,showing[],2,FALSE)</f>
        <v>7</v>
      </c>
      <c r="K1974">
        <f>Сектора[[#This Row],[Значение]]</f>
        <v>344761.33299999998</v>
      </c>
      <c r="L1974" t="str">
        <f t="shared" si="30"/>
        <v>INSERT INTO msfo.statements (id_company, id_year, id_showing, value) VALUES (16,4,7,344761,333);</v>
      </c>
    </row>
    <row r="1975" spans="1:12">
      <c r="A1975" s="28" t="s">
        <v>50</v>
      </c>
      <c r="B1975" s="28" t="s">
        <v>34</v>
      </c>
      <c r="C1975" s="28">
        <v>2015</v>
      </c>
      <c r="D1975" s="28" t="s">
        <v>1</v>
      </c>
      <c r="E1975" s="28" t="s">
        <v>10</v>
      </c>
      <c r="F1975" s="28">
        <v>404192.973</v>
      </c>
      <c r="H1975">
        <f>VLOOKUP(A1975&amp;B1975,ticker_sector[],2,FALSE)</f>
        <v>16</v>
      </c>
      <c r="I1975">
        <f>VLOOKUP(C1975,year[],2,FALSE)</f>
        <v>5</v>
      </c>
      <c r="J1975">
        <f>VLOOKUP(E1975,showing[],2,FALSE)</f>
        <v>7</v>
      </c>
      <c r="K1975">
        <f>Сектора[[#This Row],[Значение]]</f>
        <v>404192.973</v>
      </c>
      <c r="L1975" t="str">
        <f t="shared" si="30"/>
        <v>INSERT INTO msfo.statements (id_company, id_year, id_showing, value) VALUES (16,5,7,404192,973);</v>
      </c>
    </row>
    <row r="1976" spans="1:12">
      <c r="A1976" s="28" t="s">
        <v>50</v>
      </c>
      <c r="B1976" s="28" t="s">
        <v>34</v>
      </c>
      <c r="C1976" s="28">
        <v>2016</v>
      </c>
      <c r="D1976" s="28" t="s">
        <v>1</v>
      </c>
      <c r="E1976" s="28" t="s">
        <v>10</v>
      </c>
      <c r="F1976" s="28">
        <v>454915.48599999998</v>
      </c>
      <c r="H1976">
        <f>VLOOKUP(A1976&amp;B1976,ticker_sector[],2,FALSE)</f>
        <v>16</v>
      </c>
      <c r="I1976">
        <f>VLOOKUP(C1976,year[],2,FALSE)</f>
        <v>6</v>
      </c>
      <c r="J1976">
        <f>VLOOKUP(E1976,showing[],2,FALSE)</f>
        <v>7</v>
      </c>
      <c r="K1976">
        <f>Сектора[[#This Row],[Значение]]</f>
        <v>454915.48599999998</v>
      </c>
      <c r="L1976" t="str">
        <f t="shared" si="30"/>
        <v>INSERT INTO msfo.statements (id_company, id_year, id_showing, value) VALUES (16,6,7,454915,486);</v>
      </c>
    </row>
    <row r="1977" spans="1:12">
      <c r="A1977" s="28" t="s">
        <v>50</v>
      </c>
      <c r="B1977" s="28" t="s">
        <v>34</v>
      </c>
      <c r="C1977" s="28">
        <v>2017</v>
      </c>
      <c r="D1977" s="28" t="s">
        <v>1</v>
      </c>
      <c r="E1977" s="28" t="s">
        <v>10</v>
      </c>
      <c r="F1977" s="28">
        <v>526325.24699999997</v>
      </c>
      <c r="H1977">
        <f>VLOOKUP(A1977&amp;B1977,ticker_sector[],2,FALSE)</f>
        <v>16</v>
      </c>
      <c r="I1977">
        <f>VLOOKUP(C1977,year[],2,FALSE)</f>
        <v>7</v>
      </c>
      <c r="J1977">
        <f>VLOOKUP(E1977,showing[],2,FALSE)</f>
        <v>7</v>
      </c>
      <c r="K1977">
        <f>Сектора[[#This Row],[Значение]]</f>
        <v>526325.24699999997</v>
      </c>
      <c r="L1977" t="str">
        <f t="shared" si="30"/>
        <v>INSERT INTO msfo.statements (id_company, id_year, id_showing, value) VALUES (16,7,7,526325,247);</v>
      </c>
    </row>
    <row r="1978" spans="1:12">
      <c r="A1978" s="28" t="s">
        <v>50</v>
      </c>
      <c r="B1978" s="28" t="s">
        <v>34</v>
      </c>
      <c r="C1978" s="28">
        <v>2010</v>
      </c>
      <c r="D1978" s="28" t="s">
        <v>1</v>
      </c>
      <c r="E1978" s="28" t="s">
        <v>11</v>
      </c>
      <c r="F1978" s="28">
        <v>0.53302643763160806</v>
      </c>
      <c r="H1978">
        <f>VLOOKUP(A1978&amp;B1978,ticker_sector[],2,FALSE)</f>
        <v>16</v>
      </c>
      <c r="I1978">
        <f>VLOOKUP(C1978,year[],2,FALSE)</f>
        <v>0</v>
      </c>
      <c r="J1978">
        <f>VLOOKUP(E1978,showing[],2,FALSE)</f>
        <v>8</v>
      </c>
      <c r="K1978">
        <f>Сектора[[#This Row],[Значение]]</f>
        <v>0.53302643763160806</v>
      </c>
      <c r="L1978" t="str">
        <f t="shared" si="30"/>
        <v>INSERT INTO msfo.statements (id_company, id_year, id_showing, value) VALUES (16,0,8,0,533026437631608);</v>
      </c>
    </row>
    <row r="1979" spans="1:12">
      <c r="A1979" s="28" t="s">
        <v>50</v>
      </c>
      <c r="B1979" s="28" t="s">
        <v>34</v>
      </c>
      <c r="C1979" s="28">
        <v>2011</v>
      </c>
      <c r="D1979" s="28" t="s">
        <v>1</v>
      </c>
      <c r="E1979" s="28" t="s">
        <v>11</v>
      </c>
      <c r="F1979" s="28">
        <v>0.55128919902843554</v>
      </c>
      <c r="H1979">
        <f>VLOOKUP(A1979&amp;B1979,ticker_sector[],2,FALSE)</f>
        <v>16</v>
      </c>
      <c r="I1979">
        <f>VLOOKUP(C1979,year[],2,FALSE)</f>
        <v>1</v>
      </c>
      <c r="J1979">
        <f>VLOOKUP(E1979,showing[],2,FALSE)</f>
        <v>8</v>
      </c>
      <c r="K1979">
        <f>Сектора[[#This Row],[Значение]]</f>
        <v>0.55128919902843554</v>
      </c>
      <c r="L1979" t="str">
        <f t="shared" si="30"/>
        <v>INSERT INTO msfo.statements (id_company, id_year, id_showing, value) VALUES (16,1,8,0,551289199028436);</v>
      </c>
    </row>
    <row r="1980" spans="1:12">
      <c r="A1980" s="28" t="s">
        <v>50</v>
      </c>
      <c r="B1980" s="28" t="s">
        <v>34</v>
      </c>
      <c r="C1980" s="28">
        <v>2012</v>
      </c>
      <c r="D1980" s="28" t="s">
        <v>1</v>
      </c>
      <c r="E1980" s="28" t="s">
        <v>11</v>
      </c>
      <c r="F1980" s="28">
        <v>0.55000907253358533</v>
      </c>
      <c r="H1980">
        <f>VLOOKUP(A1980&amp;B1980,ticker_sector[],2,FALSE)</f>
        <v>16</v>
      </c>
      <c r="I1980">
        <f>VLOOKUP(C1980,year[],2,FALSE)</f>
        <v>2</v>
      </c>
      <c r="J1980">
        <f>VLOOKUP(E1980,showing[],2,FALSE)</f>
        <v>8</v>
      </c>
      <c r="K1980">
        <f>Сектора[[#This Row],[Значение]]</f>
        <v>0.55000907253358533</v>
      </c>
      <c r="L1980" t="str">
        <f t="shared" si="30"/>
        <v>INSERT INTO msfo.statements (id_company, id_year, id_showing, value) VALUES (16,2,8,0,550009072533585);</v>
      </c>
    </row>
    <row r="1981" spans="1:12">
      <c r="A1981" s="28" t="s">
        <v>50</v>
      </c>
      <c r="B1981" s="28" t="s">
        <v>34</v>
      </c>
      <c r="C1981" s="28">
        <v>2013</v>
      </c>
      <c r="D1981" s="28" t="s">
        <v>1</v>
      </c>
      <c r="E1981" s="28" t="s">
        <v>11</v>
      </c>
      <c r="F1981" s="28">
        <v>0.52956269572867987</v>
      </c>
      <c r="H1981">
        <f>VLOOKUP(A1981&amp;B1981,ticker_sector[],2,FALSE)</f>
        <v>16</v>
      </c>
      <c r="I1981">
        <f>VLOOKUP(C1981,year[],2,FALSE)</f>
        <v>3</v>
      </c>
      <c r="J1981">
        <f>VLOOKUP(E1981,showing[],2,FALSE)</f>
        <v>8</v>
      </c>
      <c r="K1981">
        <f>Сектора[[#This Row],[Значение]]</f>
        <v>0.52956269572867987</v>
      </c>
      <c r="L1981" t="str">
        <f t="shared" si="30"/>
        <v>INSERT INTO msfo.statements (id_company, id_year, id_showing, value) VALUES (16,3,8,0,52956269572868);</v>
      </c>
    </row>
    <row r="1982" spans="1:12">
      <c r="A1982" s="28" t="s">
        <v>50</v>
      </c>
      <c r="B1982" s="28" t="s">
        <v>34</v>
      </c>
      <c r="C1982" s="28">
        <v>2014</v>
      </c>
      <c r="D1982" s="28" t="s">
        <v>1</v>
      </c>
      <c r="E1982" s="28" t="s">
        <v>11</v>
      </c>
      <c r="F1982" s="28">
        <v>0.58333024544837808</v>
      </c>
      <c r="H1982">
        <f>VLOOKUP(A1982&amp;B1982,ticker_sector[],2,FALSE)</f>
        <v>16</v>
      </c>
      <c r="I1982">
        <f>VLOOKUP(C1982,year[],2,FALSE)</f>
        <v>4</v>
      </c>
      <c r="J1982">
        <f>VLOOKUP(E1982,showing[],2,FALSE)</f>
        <v>8</v>
      </c>
      <c r="K1982">
        <f>Сектора[[#This Row],[Значение]]</f>
        <v>0.58333024544837808</v>
      </c>
      <c r="L1982" t="str">
        <f t="shared" si="30"/>
        <v>INSERT INTO msfo.statements (id_company, id_year, id_showing, value) VALUES (16,4,8,0,583330245448378);</v>
      </c>
    </row>
    <row r="1983" spans="1:12">
      <c r="A1983" s="28" t="s">
        <v>50</v>
      </c>
      <c r="B1983" s="28" t="s">
        <v>34</v>
      </c>
      <c r="C1983" s="28">
        <v>2015</v>
      </c>
      <c r="D1983" s="28" t="s">
        <v>1</v>
      </c>
      <c r="E1983" s="28" t="s">
        <v>11</v>
      </c>
      <c r="F1983" s="28">
        <v>0.59143130377974185</v>
      </c>
      <c r="H1983">
        <f>VLOOKUP(A1983&amp;B1983,ticker_sector[],2,FALSE)</f>
        <v>16</v>
      </c>
      <c r="I1983">
        <f>VLOOKUP(C1983,year[],2,FALSE)</f>
        <v>5</v>
      </c>
      <c r="J1983">
        <f>VLOOKUP(E1983,showing[],2,FALSE)</f>
        <v>8</v>
      </c>
      <c r="K1983">
        <f>Сектора[[#This Row],[Значение]]</f>
        <v>0.59143130377974185</v>
      </c>
      <c r="L1983" t="str">
        <f t="shared" si="30"/>
        <v>INSERT INTO msfo.statements (id_company, id_year, id_showing, value) VALUES (16,5,8,0,591431303779742);</v>
      </c>
    </row>
    <row r="1984" spans="1:12">
      <c r="A1984" s="28" t="s">
        <v>50</v>
      </c>
      <c r="B1984" s="28" t="s">
        <v>34</v>
      </c>
      <c r="C1984" s="28">
        <v>2016</v>
      </c>
      <c r="D1984" s="28" t="s">
        <v>1</v>
      </c>
      <c r="E1984" s="28" t="s">
        <v>11</v>
      </c>
      <c r="F1984" s="28">
        <v>0.56898154924539102</v>
      </c>
      <c r="H1984">
        <f>VLOOKUP(A1984&amp;B1984,ticker_sector[],2,FALSE)</f>
        <v>16</v>
      </c>
      <c r="I1984">
        <f>VLOOKUP(C1984,year[],2,FALSE)</f>
        <v>6</v>
      </c>
      <c r="J1984">
        <f>VLOOKUP(E1984,showing[],2,FALSE)</f>
        <v>8</v>
      </c>
      <c r="K1984">
        <f>Сектора[[#This Row],[Значение]]</f>
        <v>0.56898154924539102</v>
      </c>
      <c r="L1984" t="str">
        <f t="shared" si="30"/>
        <v>INSERT INTO msfo.statements (id_company, id_year, id_showing, value) VALUES (16,6,8,0,568981549245391);</v>
      </c>
    </row>
    <row r="1985" spans="1:12">
      <c r="A1985" s="28" t="s">
        <v>50</v>
      </c>
      <c r="B1985" s="28" t="s">
        <v>34</v>
      </c>
      <c r="C1985" s="28">
        <v>2017</v>
      </c>
      <c r="D1985" s="28" t="s">
        <v>1</v>
      </c>
      <c r="E1985" s="28" t="s">
        <v>11</v>
      </c>
      <c r="F1985" s="28">
        <v>0.50732471892992814</v>
      </c>
      <c r="H1985">
        <f>VLOOKUP(A1985&amp;B1985,ticker_sector[],2,FALSE)</f>
        <v>16</v>
      </c>
      <c r="I1985">
        <f>VLOOKUP(C1985,year[],2,FALSE)</f>
        <v>7</v>
      </c>
      <c r="J1985">
        <f>VLOOKUP(E1985,showing[],2,FALSE)</f>
        <v>8</v>
      </c>
      <c r="K1985">
        <f>Сектора[[#This Row],[Значение]]</f>
        <v>0.50732471892992814</v>
      </c>
      <c r="L1985" t="str">
        <f t="shared" si="30"/>
        <v>INSERT INTO msfo.statements (id_company, id_year, id_showing, value) VALUES (16,7,8,0,507324718929928);</v>
      </c>
    </row>
    <row r="1986" spans="1:12">
      <c r="A1986" s="28" t="s">
        <v>50</v>
      </c>
      <c r="B1986" s="28" t="s">
        <v>34</v>
      </c>
      <c r="C1986" s="28">
        <v>2010</v>
      </c>
      <c r="D1986" s="28" t="s">
        <v>4</v>
      </c>
      <c r="E1986" s="28" t="s">
        <v>12</v>
      </c>
      <c r="F1986" s="28">
        <v>237031.1639676</v>
      </c>
      <c r="H1986">
        <f>VLOOKUP(A1986&amp;B1986,ticker_sector[],2,FALSE)</f>
        <v>16</v>
      </c>
      <c r="I1986">
        <f>VLOOKUP(C1986,year[],2,FALSE)</f>
        <v>0</v>
      </c>
      <c r="J1986">
        <f>VLOOKUP(E1986,showing[],2,FALSE)</f>
        <v>9</v>
      </c>
      <c r="K1986">
        <f>Сектора[[#This Row],[Значение]]</f>
        <v>237031.1639676</v>
      </c>
      <c r="L1986" t="str">
        <f t="shared" si="30"/>
        <v>INSERT INTO msfo.statements (id_company, id_year, id_showing, value) VALUES (16,0,9,237031,1639676);</v>
      </c>
    </row>
    <row r="1987" spans="1:12">
      <c r="A1987" s="28" t="s">
        <v>50</v>
      </c>
      <c r="B1987" s="28" t="s">
        <v>34</v>
      </c>
      <c r="C1987" s="28">
        <v>2011</v>
      </c>
      <c r="D1987" s="28" t="s">
        <v>4</v>
      </c>
      <c r="E1987" s="28" t="s">
        <v>12</v>
      </c>
      <c r="F1987" s="28">
        <v>367784.45348209998</v>
      </c>
      <c r="H1987">
        <f>VLOOKUP(A1987&amp;B1987,ticker_sector[],2,FALSE)</f>
        <v>16</v>
      </c>
      <c r="I1987">
        <f>VLOOKUP(C1987,year[],2,FALSE)</f>
        <v>1</v>
      </c>
      <c r="J1987">
        <f>VLOOKUP(E1987,showing[],2,FALSE)</f>
        <v>9</v>
      </c>
      <c r="K1987">
        <f>Сектора[[#This Row],[Значение]]</f>
        <v>367784.45348209998</v>
      </c>
      <c r="L1987" t="str">
        <f t="shared" ref="L1987:L2050" si="31">"INSERT INTO msfo.statements (id_company, id_year, id_showing, value) VALUES ("&amp;H1987&amp; ","&amp;I1987&amp; ","&amp;J1987&amp; ","&amp;K1987&amp;");"</f>
        <v>INSERT INTO msfo.statements (id_company, id_year, id_showing, value) VALUES (16,1,9,367784,4534821);</v>
      </c>
    </row>
    <row r="1988" spans="1:12">
      <c r="A1988" s="28" t="s">
        <v>50</v>
      </c>
      <c r="B1988" s="28" t="s">
        <v>34</v>
      </c>
      <c r="C1988" s="28">
        <v>2012</v>
      </c>
      <c r="D1988" s="28" t="s">
        <v>4</v>
      </c>
      <c r="E1988" s="28" t="s">
        <v>12</v>
      </c>
      <c r="F1988" s="28">
        <v>448661.12699999998</v>
      </c>
      <c r="H1988">
        <f>VLOOKUP(A1988&amp;B1988,ticker_sector[],2,FALSE)</f>
        <v>16</v>
      </c>
      <c r="I1988">
        <f>VLOOKUP(C1988,year[],2,FALSE)</f>
        <v>2</v>
      </c>
      <c r="J1988">
        <f>VLOOKUP(E1988,showing[],2,FALSE)</f>
        <v>9</v>
      </c>
      <c r="K1988">
        <f>Сектора[[#This Row],[Значение]]</f>
        <v>448661.12699999998</v>
      </c>
      <c r="L1988" t="str">
        <f t="shared" si="31"/>
        <v>INSERT INTO msfo.statements (id_company, id_year, id_showing, value) VALUES (16,2,9,448661,127);</v>
      </c>
    </row>
    <row r="1989" spans="1:12">
      <c r="A1989" s="28" t="s">
        <v>50</v>
      </c>
      <c r="B1989" s="28" t="s">
        <v>34</v>
      </c>
      <c r="C1989" s="28">
        <v>2013</v>
      </c>
      <c r="D1989" s="28" t="s">
        <v>4</v>
      </c>
      <c r="E1989" s="28" t="s">
        <v>12</v>
      </c>
      <c r="F1989" s="28">
        <v>579694.88</v>
      </c>
      <c r="H1989">
        <f>VLOOKUP(A1989&amp;B1989,ticker_sector[],2,FALSE)</f>
        <v>16</v>
      </c>
      <c r="I1989">
        <f>VLOOKUP(C1989,year[],2,FALSE)</f>
        <v>3</v>
      </c>
      <c r="J1989">
        <f>VLOOKUP(E1989,showing[],2,FALSE)</f>
        <v>9</v>
      </c>
      <c r="K1989">
        <f>Сектора[[#This Row],[Значение]]</f>
        <v>579694.88</v>
      </c>
      <c r="L1989" t="str">
        <f t="shared" si="31"/>
        <v>INSERT INTO msfo.statements (id_company, id_year, id_showing, value) VALUES (16,3,9,579694,88);</v>
      </c>
    </row>
    <row r="1990" spans="1:12">
      <c r="A1990" s="28" t="s">
        <v>50</v>
      </c>
      <c r="B1990" s="28" t="s">
        <v>34</v>
      </c>
      <c r="C1990" s="28">
        <v>2014</v>
      </c>
      <c r="D1990" s="28" t="s">
        <v>4</v>
      </c>
      <c r="E1990" s="28" t="s">
        <v>12</v>
      </c>
      <c r="F1990" s="28">
        <v>763527.25199999998</v>
      </c>
      <c r="H1990">
        <f>VLOOKUP(A1990&amp;B1990,ticker_sector[],2,FALSE)</f>
        <v>16</v>
      </c>
      <c r="I1990">
        <f>VLOOKUP(C1990,year[],2,FALSE)</f>
        <v>4</v>
      </c>
      <c r="J1990">
        <f>VLOOKUP(E1990,showing[],2,FALSE)</f>
        <v>9</v>
      </c>
      <c r="K1990">
        <f>Сектора[[#This Row],[Значение]]</f>
        <v>763527.25199999998</v>
      </c>
      <c r="L1990" t="str">
        <f t="shared" si="31"/>
        <v>INSERT INTO msfo.statements (id_company, id_year, id_showing, value) VALUES (16,4,9,763527,252);</v>
      </c>
    </row>
    <row r="1991" spans="1:12">
      <c r="A1991" s="28" t="s">
        <v>50</v>
      </c>
      <c r="B1991" s="28" t="s">
        <v>34</v>
      </c>
      <c r="C1991" s="28">
        <v>2015</v>
      </c>
      <c r="D1991" s="28" t="s">
        <v>4</v>
      </c>
      <c r="E1991" s="28" t="s">
        <v>12</v>
      </c>
      <c r="F1991" s="28">
        <v>950613.33600000001</v>
      </c>
      <c r="H1991">
        <f>VLOOKUP(A1991&amp;B1991,ticker_sector[],2,FALSE)</f>
        <v>16</v>
      </c>
      <c r="I1991">
        <f>VLOOKUP(C1991,year[],2,FALSE)</f>
        <v>5</v>
      </c>
      <c r="J1991">
        <f>VLOOKUP(E1991,showing[],2,FALSE)</f>
        <v>9</v>
      </c>
      <c r="K1991">
        <f>Сектора[[#This Row],[Значение]]</f>
        <v>950613.33600000001</v>
      </c>
      <c r="L1991" t="str">
        <f t="shared" si="31"/>
        <v>INSERT INTO msfo.statements (id_company, id_year, id_showing, value) VALUES (16,5,9,950613,336);</v>
      </c>
    </row>
    <row r="1992" spans="1:12">
      <c r="A1992" s="28" t="s">
        <v>50</v>
      </c>
      <c r="B1992" s="28" t="s">
        <v>34</v>
      </c>
      <c r="C1992" s="28">
        <v>2016</v>
      </c>
      <c r="D1992" s="28" t="s">
        <v>4</v>
      </c>
      <c r="E1992" s="28" t="s">
        <v>12</v>
      </c>
      <c r="F1992" s="28">
        <v>1074811.554</v>
      </c>
      <c r="H1992">
        <f>VLOOKUP(A1992&amp;B1992,ticker_sector[],2,FALSE)</f>
        <v>16</v>
      </c>
      <c r="I1992">
        <f>VLOOKUP(C1992,year[],2,FALSE)</f>
        <v>6</v>
      </c>
      <c r="J1992">
        <f>VLOOKUP(E1992,showing[],2,FALSE)</f>
        <v>9</v>
      </c>
      <c r="K1992">
        <f>Сектора[[#This Row],[Значение]]</f>
        <v>1074811.554</v>
      </c>
      <c r="L1992" t="str">
        <f t="shared" si="31"/>
        <v>INSERT INTO msfo.statements (id_company, id_year, id_showing, value) VALUES (16,6,9,1074811,554);</v>
      </c>
    </row>
    <row r="1993" spans="1:12">
      <c r="A1993" s="28" t="s">
        <v>50</v>
      </c>
      <c r="B1993" s="28" t="s">
        <v>34</v>
      </c>
      <c r="C1993" s="28">
        <v>2017</v>
      </c>
      <c r="D1993" s="28" t="s">
        <v>4</v>
      </c>
      <c r="E1993" s="28" t="s">
        <v>12</v>
      </c>
      <c r="F1993" s="28">
        <v>1143314.405</v>
      </c>
      <c r="H1993">
        <f>VLOOKUP(A1993&amp;B1993,ticker_sector[],2,FALSE)</f>
        <v>16</v>
      </c>
      <c r="I1993">
        <f>VLOOKUP(C1993,year[],2,FALSE)</f>
        <v>7</v>
      </c>
      <c r="J1993">
        <f>VLOOKUP(E1993,showing[],2,FALSE)</f>
        <v>9</v>
      </c>
      <c r="K1993">
        <f>Сектора[[#This Row],[Значение]]</f>
        <v>1143314.405</v>
      </c>
      <c r="L1993" t="str">
        <f t="shared" si="31"/>
        <v>INSERT INTO msfo.statements (id_company, id_year, id_showing, value) VALUES (16,7,9,1143314,405);</v>
      </c>
    </row>
    <row r="1994" spans="1:12">
      <c r="A1994" s="28" t="s">
        <v>50</v>
      </c>
      <c r="B1994" s="28" t="s">
        <v>34</v>
      </c>
      <c r="C1994" s="28">
        <v>2010</v>
      </c>
      <c r="D1994" s="28" t="s">
        <v>4</v>
      </c>
      <c r="E1994" s="28" t="s">
        <v>13</v>
      </c>
      <c r="F1994" s="28">
        <v>10170.019622400001</v>
      </c>
      <c r="H1994">
        <f>VLOOKUP(A1994&amp;B1994,ticker_sector[],2,FALSE)</f>
        <v>16</v>
      </c>
      <c r="I1994">
        <f>VLOOKUP(C1994,year[],2,FALSE)</f>
        <v>0</v>
      </c>
      <c r="J1994">
        <f>VLOOKUP(E1994,showing[],2,FALSE)</f>
        <v>10</v>
      </c>
      <c r="K1994">
        <f>Сектора[[#This Row],[Значение]]</f>
        <v>10170.019622400001</v>
      </c>
      <c r="L1994" t="str">
        <f t="shared" si="31"/>
        <v>INSERT INTO msfo.statements (id_company, id_year, id_showing, value) VALUES (16,0,10,10170,0196224);</v>
      </c>
    </row>
    <row r="1995" spans="1:12">
      <c r="A1995" s="28" t="s">
        <v>50</v>
      </c>
      <c r="B1995" s="28" t="s">
        <v>34</v>
      </c>
      <c r="C1995" s="28">
        <v>2011</v>
      </c>
      <c r="D1995" s="28" t="s">
        <v>4</v>
      </c>
      <c r="E1995" s="28" t="s">
        <v>13</v>
      </c>
      <c r="F1995" s="28">
        <v>13479.734363600001</v>
      </c>
      <c r="H1995">
        <f>VLOOKUP(A1995&amp;B1995,ticker_sector[],2,FALSE)</f>
        <v>16</v>
      </c>
      <c r="I1995">
        <f>VLOOKUP(C1995,year[],2,FALSE)</f>
        <v>1</v>
      </c>
      <c r="J1995">
        <f>VLOOKUP(E1995,showing[],2,FALSE)</f>
        <v>10</v>
      </c>
      <c r="K1995">
        <f>Сектора[[#This Row],[Значение]]</f>
        <v>13479.734363600001</v>
      </c>
      <c r="L1995" t="str">
        <f t="shared" si="31"/>
        <v>INSERT INTO msfo.statements (id_company, id_year, id_showing, value) VALUES (16,1,10,13479,7343636);</v>
      </c>
    </row>
    <row r="1996" spans="1:12">
      <c r="A1996" s="28" t="s">
        <v>50</v>
      </c>
      <c r="B1996" s="28" t="s">
        <v>34</v>
      </c>
      <c r="C1996" s="28">
        <v>2012</v>
      </c>
      <c r="D1996" s="28" t="s">
        <v>4</v>
      </c>
      <c r="E1996" s="28" t="s">
        <v>13</v>
      </c>
      <c r="F1996" s="28">
        <v>25117.281999999999</v>
      </c>
      <c r="H1996">
        <f>VLOOKUP(A1996&amp;B1996,ticker_sector[],2,FALSE)</f>
        <v>16</v>
      </c>
      <c r="I1996">
        <f>VLOOKUP(C1996,year[],2,FALSE)</f>
        <v>2</v>
      </c>
      <c r="J1996">
        <f>VLOOKUP(E1996,showing[],2,FALSE)</f>
        <v>10</v>
      </c>
      <c r="K1996">
        <f>Сектора[[#This Row],[Значение]]</f>
        <v>25117.281999999999</v>
      </c>
      <c r="L1996" t="str">
        <f t="shared" si="31"/>
        <v>INSERT INTO msfo.statements (id_company, id_year, id_showing, value) VALUES (16,2,10,25117,282);</v>
      </c>
    </row>
    <row r="1997" spans="1:12">
      <c r="A1997" s="28" t="s">
        <v>50</v>
      </c>
      <c r="B1997" s="28" t="s">
        <v>34</v>
      </c>
      <c r="C1997" s="28">
        <v>2013</v>
      </c>
      <c r="D1997" s="28" t="s">
        <v>4</v>
      </c>
      <c r="E1997" s="28" t="s">
        <v>13</v>
      </c>
      <c r="F1997" s="28">
        <v>35620.375</v>
      </c>
      <c r="H1997">
        <f>VLOOKUP(A1997&amp;B1997,ticker_sector[],2,FALSE)</f>
        <v>16</v>
      </c>
      <c r="I1997">
        <f>VLOOKUP(C1997,year[],2,FALSE)</f>
        <v>3</v>
      </c>
      <c r="J1997">
        <f>VLOOKUP(E1997,showing[],2,FALSE)</f>
        <v>10</v>
      </c>
      <c r="K1997">
        <f>Сектора[[#This Row],[Значение]]</f>
        <v>35620.375</v>
      </c>
      <c r="L1997" t="str">
        <f t="shared" si="31"/>
        <v>INSERT INTO msfo.statements (id_company, id_year, id_showing, value) VALUES (16,3,10,35620,375);</v>
      </c>
    </row>
    <row r="1998" spans="1:12">
      <c r="A1998" s="28" t="s">
        <v>50</v>
      </c>
      <c r="B1998" s="28" t="s">
        <v>34</v>
      </c>
      <c r="C1998" s="28">
        <v>2014</v>
      </c>
      <c r="D1998" s="28" t="s">
        <v>4</v>
      </c>
      <c r="E1998" s="28" t="s">
        <v>13</v>
      </c>
      <c r="F1998" s="28">
        <v>47685.843999999997</v>
      </c>
      <c r="H1998">
        <f>VLOOKUP(A1998&amp;B1998,ticker_sector[],2,FALSE)</f>
        <v>16</v>
      </c>
      <c r="I1998">
        <f>VLOOKUP(C1998,year[],2,FALSE)</f>
        <v>4</v>
      </c>
      <c r="J1998">
        <f>VLOOKUP(E1998,showing[],2,FALSE)</f>
        <v>10</v>
      </c>
      <c r="K1998">
        <f>Сектора[[#This Row],[Значение]]</f>
        <v>47685.843999999997</v>
      </c>
      <c r="L1998" t="str">
        <f t="shared" si="31"/>
        <v>INSERT INTO msfo.statements (id_company, id_year, id_showing, value) VALUES (16,4,10,47685,844);</v>
      </c>
    </row>
    <row r="1999" spans="1:12">
      <c r="A1999" s="28" t="s">
        <v>50</v>
      </c>
      <c r="B1999" s="28" t="s">
        <v>34</v>
      </c>
      <c r="C1999" s="28">
        <v>2015</v>
      </c>
      <c r="D1999" s="28" t="s">
        <v>4</v>
      </c>
      <c r="E1999" s="28" t="s">
        <v>13</v>
      </c>
      <c r="F1999" s="28">
        <v>59061.2</v>
      </c>
      <c r="H1999">
        <f>VLOOKUP(A1999&amp;B1999,ticker_sector[],2,FALSE)</f>
        <v>16</v>
      </c>
      <c r="I1999">
        <f>VLOOKUP(C1999,year[],2,FALSE)</f>
        <v>5</v>
      </c>
      <c r="J1999">
        <f>VLOOKUP(E1999,showing[],2,FALSE)</f>
        <v>10</v>
      </c>
      <c r="K1999">
        <f>Сектора[[#This Row],[Значение]]</f>
        <v>59061.2</v>
      </c>
      <c r="L1999" t="str">
        <f t="shared" si="31"/>
        <v>INSERT INTO msfo.statements (id_company, id_year, id_showing, value) VALUES (16,5,10,59061,2);</v>
      </c>
    </row>
    <row r="2000" spans="1:12">
      <c r="A2000" s="28" t="s">
        <v>50</v>
      </c>
      <c r="B2000" s="28" t="s">
        <v>34</v>
      </c>
      <c r="C2000" s="28">
        <v>2016</v>
      </c>
      <c r="D2000" s="28" t="s">
        <v>4</v>
      </c>
      <c r="E2000" s="28" t="s">
        <v>13</v>
      </c>
      <c r="F2000" s="28">
        <v>54408.993999999999</v>
      </c>
      <c r="H2000">
        <f>VLOOKUP(A2000&amp;B2000,ticker_sector[],2,FALSE)</f>
        <v>16</v>
      </c>
      <c r="I2000">
        <f>VLOOKUP(C2000,year[],2,FALSE)</f>
        <v>6</v>
      </c>
      <c r="J2000">
        <f>VLOOKUP(E2000,showing[],2,FALSE)</f>
        <v>10</v>
      </c>
      <c r="K2000">
        <f>Сектора[[#This Row],[Значение]]</f>
        <v>54408.993999999999</v>
      </c>
      <c r="L2000" t="str">
        <f t="shared" si="31"/>
        <v>INSERT INTO msfo.statements (id_company, id_year, id_showing, value) VALUES (16,6,10,54408,994);</v>
      </c>
    </row>
    <row r="2001" spans="1:12">
      <c r="A2001" s="28" t="s">
        <v>50</v>
      </c>
      <c r="B2001" s="28" t="s">
        <v>34</v>
      </c>
      <c r="C2001" s="28">
        <v>2017</v>
      </c>
      <c r="D2001" s="28" t="s">
        <v>4</v>
      </c>
      <c r="E2001" s="28" t="s">
        <v>13</v>
      </c>
      <c r="F2001" s="28">
        <v>35538.972000000002</v>
      </c>
      <c r="H2001">
        <f>VLOOKUP(A2001&amp;B2001,ticker_sector[],2,FALSE)</f>
        <v>16</v>
      </c>
      <c r="I2001">
        <f>VLOOKUP(C2001,year[],2,FALSE)</f>
        <v>7</v>
      </c>
      <c r="J2001">
        <f>VLOOKUP(E2001,showing[],2,FALSE)</f>
        <v>10</v>
      </c>
      <c r="K2001">
        <f>Сектора[[#This Row],[Значение]]</f>
        <v>35538.972000000002</v>
      </c>
      <c r="L2001" t="str">
        <f t="shared" si="31"/>
        <v>INSERT INTO msfo.statements (id_company, id_year, id_showing, value) VALUES (16,7,10,35538,972);</v>
      </c>
    </row>
    <row r="2002" spans="1:12">
      <c r="A2002" s="28" t="s">
        <v>50</v>
      </c>
      <c r="B2002" s="28" t="s">
        <v>34</v>
      </c>
      <c r="C2002" s="28">
        <v>2010</v>
      </c>
      <c r="D2002" s="28" t="s">
        <v>4</v>
      </c>
      <c r="E2002" s="28" t="s">
        <v>14</v>
      </c>
      <c r="F2002" s="28">
        <v>7777.4040000000005</v>
      </c>
      <c r="H2002">
        <f>VLOOKUP(A2002&amp;B2002,ticker_sector[],2,FALSE)</f>
        <v>16</v>
      </c>
      <c r="I2002">
        <f>VLOOKUP(C2002,year[],2,FALSE)</f>
        <v>0</v>
      </c>
      <c r="J2002">
        <f>VLOOKUP(E2002,showing[],2,FALSE)</f>
        <v>11</v>
      </c>
      <c r="K2002">
        <f>Сектора[[#This Row],[Значение]]</f>
        <v>7777.4040000000005</v>
      </c>
      <c r="L2002" t="str">
        <f t="shared" si="31"/>
        <v>INSERT INTO msfo.statements (id_company, id_year, id_showing, value) VALUES (16,0,11,7777,404);</v>
      </c>
    </row>
    <row r="2003" spans="1:12">
      <c r="A2003" s="28" t="s">
        <v>50</v>
      </c>
      <c r="B2003" s="28" t="s">
        <v>34</v>
      </c>
      <c r="C2003" s="28">
        <v>2011</v>
      </c>
      <c r="D2003" s="28" t="s">
        <v>4</v>
      </c>
      <c r="E2003" s="28" t="s">
        <v>14</v>
      </c>
      <c r="F2003" s="28">
        <v>11423.260999999999</v>
      </c>
      <c r="H2003">
        <f>VLOOKUP(A2003&amp;B2003,ticker_sector[],2,FALSE)</f>
        <v>16</v>
      </c>
      <c r="I2003">
        <f>VLOOKUP(C2003,year[],2,FALSE)</f>
        <v>1</v>
      </c>
      <c r="J2003">
        <f>VLOOKUP(E2003,showing[],2,FALSE)</f>
        <v>11</v>
      </c>
      <c r="K2003">
        <f>Сектора[[#This Row],[Значение]]</f>
        <v>11423.260999999999</v>
      </c>
      <c r="L2003" t="str">
        <f t="shared" si="31"/>
        <v>INSERT INTO msfo.statements (id_company, id_year, id_showing, value) VALUES (16,1,11,11423,261);</v>
      </c>
    </row>
    <row r="2004" spans="1:12">
      <c r="A2004" s="28" t="s">
        <v>50</v>
      </c>
      <c r="B2004" s="28" t="s">
        <v>34</v>
      </c>
      <c r="C2004" s="28">
        <v>2012</v>
      </c>
      <c r="D2004" s="28" t="s">
        <v>4</v>
      </c>
      <c r="E2004" s="28" t="s">
        <v>14</v>
      </c>
      <c r="F2004" s="28">
        <v>14771.855218666764</v>
      </c>
      <c r="H2004">
        <f>VLOOKUP(A2004&amp;B2004,ticker_sector[],2,FALSE)</f>
        <v>16</v>
      </c>
      <c r="I2004">
        <f>VLOOKUP(C2004,year[],2,FALSE)</f>
        <v>2</v>
      </c>
      <c r="J2004">
        <f>VLOOKUP(E2004,showing[],2,FALSE)</f>
        <v>11</v>
      </c>
      <c r="K2004">
        <f>Сектора[[#This Row],[Значение]]</f>
        <v>14771.855218666764</v>
      </c>
      <c r="L2004" t="str">
        <f t="shared" si="31"/>
        <v>INSERT INTO msfo.statements (id_company, id_year, id_showing, value) VALUES (16,2,11,14771,8552186668);</v>
      </c>
    </row>
    <row r="2005" spans="1:12">
      <c r="A2005" s="28" t="s">
        <v>50</v>
      </c>
      <c r="B2005" s="28" t="s">
        <v>34</v>
      </c>
      <c r="C2005" s="28">
        <v>2013</v>
      </c>
      <c r="D2005" s="28" t="s">
        <v>4</v>
      </c>
      <c r="E2005" s="28" t="s">
        <v>14</v>
      </c>
      <c r="F2005" s="28">
        <v>17711.856079586425</v>
      </c>
      <c r="H2005">
        <f>VLOOKUP(A2005&amp;B2005,ticker_sector[],2,FALSE)</f>
        <v>16</v>
      </c>
      <c r="I2005">
        <f>VLOOKUP(C2005,year[],2,FALSE)</f>
        <v>3</v>
      </c>
      <c r="J2005">
        <f>VLOOKUP(E2005,showing[],2,FALSE)</f>
        <v>11</v>
      </c>
      <c r="K2005">
        <f>Сектора[[#This Row],[Значение]]</f>
        <v>17711.856079586425</v>
      </c>
      <c r="L2005" t="str">
        <f t="shared" si="31"/>
        <v>INSERT INTO msfo.statements (id_company, id_year, id_showing, value) VALUES (16,3,11,17711,8560795864);</v>
      </c>
    </row>
    <row r="2006" spans="1:12">
      <c r="A2006" s="28" t="s">
        <v>50</v>
      </c>
      <c r="B2006" s="28" t="s">
        <v>34</v>
      </c>
      <c r="C2006" s="28">
        <v>2014</v>
      </c>
      <c r="D2006" s="28" t="s">
        <v>4</v>
      </c>
      <c r="E2006" s="28" t="s">
        <v>14</v>
      </c>
      <c r="F2006" s="28">
        <v>13571.791092530182</v>
      </c>
      <c r="H2006">
        <f>VLOOKUP(A2006&amp;B2006,ticker_sector[],2,FALSE)</f>
        <v>16</v>
      </c>
      <c r="I2006">
        <f>VLOOKUP(C2006,year[],2,FALSE)</f>
        <v>4</v>
      </c>
      <c r="J2006">
        <f>VLOOKUP(E2006,showing[],2,FALSE)</f>
        <v>11</v>
      </c>
      <c r="K2006">
        <f>Сектора[[#This Row],[Значение]]</f>
        <v>13571.791092530182</v>
      </c>
      <c r="L2006" t="str">
        <f t="shared" si="31"/>
        <v>INSERT INTO msfo.statements (id_company, id_year, id_showing, value) VALUES (16,4,11,13571,7910925302);</v>
      </c>
    </row>
    <row r="2007" spans="1:12">
      <c r="A2007" s="28" t="s">
        <v>50</v>
      </c>
      <c r="B2007" s="28" t="s">
        <v>34</v>
      </c>
      <c r="C2007" s="28">
        <v>2015</v>
      </c>
      <c r="D2007" s="28" t="s">
        <v>4</v>
      </c>
      <c r="E2007" s="28" t="s">
        <v>14</v>
      </c>
      <c r="F2007" s="28">
        <v>13043.058723126338</v>
      </c>
      <c r="H2007">
        <f>VLOOKUP(A2007&amp;B2007,ticker_sector[],2,FALSE)</f>
        <v>16</v>
      </c>
      <c r="I2007">
        <f>VLOOKUP(C2007,year[],2,FALSE)</f>
        <v>5</v>
      </c>
      <c r="J2007">
        <f>VLOOKUP(E2007,showing[],2,FALSE)</f>
        <v>11</v>
      </c>
      <c r="K2007">
        <f>Сектора[[#This Row],[Значение]]</f>
        <v>13043.058723126338</v>
      </c>
      <c r="L2007" t="str">
        <f t="shared" si="31"/>
        <v>INSERT INTO msfo.statements (id_company, id_year, id_showing, value) VALUES (16,5,11,13043,0587231263);</v>
      </c>
    </row>
    <row r="2008" spans="1:12">
      <c r="A2008" s="28" t="s">
        <v>50</v>
      </c>
      <c r="B2008" s="28" t="s">
        <v>34</v>
      </c>
      <c r="C2008" s="28">
        <v>2016</v>
      </c>
      <c r="D2008" s="28" t="s">
        <v>4</v>
      </c>
      <c r="E2008" s="28" t="s">
        <v>14</v>
      </c>
      <c r="F2008" s="28">
        <v>17719.526616098086</v>
      </c>
      <c r="H2008">
        <f>VLOOKUP(A2008&amp;B2008,ticker_sector[],2,FALSE)</f>
        <v>16</v>
      </c>
      <c r="I2008">
        <f>VLOOKUP(C2008,year[],2,FALSE)</f>
        <v>6</v>
      </c>
      <c r="J2008">
        <f>VLOOKUP(E2008,showing[],2,FALSE)</f>
        <v>11</v>
      </c>
      <c r="K2008">
        <f>Сектора[[#This Row],[Значение]]</f>
        <v>17719.526616098086</v>
      </c>
      <c r="L2008" t="str">
        <f t="shared" si="31"/>
        <v>INSERT INTO msfo.statements (id_company, id_year, id_showing, value) VALUES (16,6,11,17719,5266160981);</v>
      </c>
    </row>
    <row r="2009" spans="1:12">
      <c r="A2009" s="28" t="s">
        <v>50</v>
      </c>
      <c r="B2009" s="28" t="s">
        <v>34</v>
      </c>
      <c r="C2009" s="28">
        <v>2017</v>
      </c>
      <c r="D2009" s="28" t="s">
        <v>4</v>
      </c>
      <c r="E2009" s="28" t="s">
        <v>14</v>
      </c>
      <c r="F2009" s="28">
        <v>19849.139499515626</v>
      </c>
      <c r="H2009">
        <f>VLOOKUP(A2009&amp;B2009,ticker_sector[],2,FALSE)</f>
        <v>16</v>
      </c>
      <c r="I2009">
        <f>VLOOKUP(C2009,year[],2,FALSE)</f>
        <v>7</v>
      </c>
      <c r="J2009">
        <f>VLOOKUP(E2009,showing[],2,FALSE)</f>
        <v>11</v>
      </c>
      <c r="K2009">
        <f>Сектора[[#This Row],[Значение]]</f>
        <v>19849.139499515626</v>
      </c>
      <c r="L2009" t="str">
        <f t="shared" si="31"/>
        <v>INSERT INTO msfo.statements (id_company, id_year, id_showing, value) VALUES (16,7,11,19849,1394995156);</v>
      </c>
    </row>
    <row r="2010" spans="1:12">
      <c r="A2010" s="28" t="s">
        <v>50</v>
      </c>
      <c r="B2010" s="28" t="s">
        <v>34</v>
      </c>
      <c r="C2010" s="28">
        <v>2010</v>
      </c>
      <c r="D2010" s="28" t="s">
        <v>4</v>
      </c>
      <c r="E2010" s="28" t="s">
        <v>15</v>
      </c>
      <c r="F2010" s="28">
        <v>333.69600000000003</v>
      </c>
      <c r="H2010">
        <f>VLOOKUP(A2010&amp;B2010,ticker_sector[],2,FALSE)</f>
        <v>16</v>
      </c>
      <c r="I2010">
        <f>VLOOKUP(C2010,year[],2,FALSE)</f>
        <v>0</v>
      </c>
      <c r="J2010">
        <f>VLOOKUP(E2010,showing[],2,FALSE)</f>
        <v>12</v>
      </c>
      <c r="K2010">
        <f>Сектора[[#This Row],[Значение]]</f>
        <v>333.69600000000003</v>
      </c>
      <c r="L2010" t="str">
        <f t="shared" si="31"/>
        <v>INSERT INTO msfo.statements (id_company, id_year, id_showing, value) VALUES (16,0,12,333,696);</v>
      </c>
    </row>
    <row r="2011" spans="1:12">
      <c r="A2011" s="28" t="s">
        <v>50</v>
      </c>
      <c r="B2011" s="28" t="s">
        <v>34</v>
      </c>
      <c r="C2011" s="28">
        <v>2011</v>
      </c>
      <c r="D2011" s="28" t="s">
        <v>4</v>
      </c>
      <c r="E2011" s="28" t="s">
        <v>15</v>
      </c>
      <c r="F2011" s="28">
        <v>418.67599999999999</v>
      </c>
      <c r="H2011">
        <f>VLOOKUP(A2011&amp;B2011,ticker_sector[],2,FALSE)</f>
        <v>16</v>
      </c>
      <c r="I2011">
        <f>VLOOKUP(C2011,year[],2,FALSE)</f>
        <v>1</v>
      </c>
      <c r="J2011">
        <f>VLOOKUP(E2011,showing[],2,FALSE)</f>
        <v>12</v>
      </c>
      <c r="K2011">
        <f>Сектора[[#This Row],[Значение]]</f>
        <v>418.67599999999999</v>
      </c>
      <c r="L2011" t="str">
        <f t="shared" si="31"/>
        <v>INSERT INTO msfo.statements (id_company, id_year, id_showing, value) VALUES (16,1,12,418,676);</v>
      </c>
    </row>
    <row r="2012" spans="1:12">
      <c r="A2012" s="28" t="s">
        <v>50</v>
      </c>
      <c r="B2012" s="28" t="s">
        <v>34</v>
      </c>
      <c r="C2012" s="28">
        <v>2012</v>
      </c>
      <c r="D2012" s="28" t="s">
        <v>4</v>
      </c>
      <c r="E2012" s="28" t="s">
        <v>15</v>
      </c>
      <c r="F2012" s="28">
        <v>826.96902152261737</v>
      </c>
      <c r="H2012">
        <f>VLOOKUP(A2012&amp;B2012,ticker_sector[],2,FALSE)</f>
        <v>16</v>
      </c>
      <c r="I2012">
        <f>VLOOKUP(C2012,year[],2,FALSE)</f>
        <v>2</v>
      </c>
      <c r="J2012">
        <f>VLOOKUP(E2012,showing[],2,FALSE)</f>
        <v>12</v>
      </c>
      <c r="K2012">
        <f>Сектора[[#This Row],[Значение]]</f>
        <v>826.96902152261737</v>
      </c>
      <c r="L2012" t="str">
        <f t="shared" si="31"/>
        <v>INSERT INTO msfo.statements (id_company, id_year, id_showing, value) VALUES (16,2,12,826,969021522617);</v>
      </c>
    </row>
    <row r="2013" spans="1:12">
      <c r="A2013" s="28" t="s">
        <v>50</v>
      </c>
      <c r="B2013" s="28" t="s">
        <v>34</v>
      </c>
      <c r="C2013" s="28">
        <v>2013</v>
      </c>
      <c r="D2013" s="28" t="s">
        <v>4</v>
      </c>
      <c r="E2013" s="28" t="s">
        <v>15</v>
      </c>
      <c r="F2013" s="28">
        <v>1088.3362563093508</v>
      </c>
      <c r="H2013">
        <f>VLOOKUP(A2013&amp;B2013,ticker_sector[],2,FALSE)</f>
        <v>16</v>
      </c>
      <c r="I2013">
        <f>VLOOKUP(C2013,year[],2,FALSE)</f>
        <v>3</v>
      </c>
      <c r="J2013">
        <f>VLOOKUP(E2013,showing[],2,FALSE)</f>
        <v>12</v>
      </c>
      <c r="K2013">
        <f>Сектора[[#This Row],[Значение]]</f>
        <v>1088.3362563093508</v>
      </c>
      <c r="L2013" t="str">
        <f t="shared" si="31"/>
        <v>INSERT INTO msfo.statements (id_company, id_year, id_showing, value) VALUES (16,3,12,1088,33625630935);</v>
      </c>
    </row>
    <row r="2014" spans="1:12">
      <c r="A2014" s="28" t="s">
        <v>50</v>
      </c>
      <c r="B2014" s="28" t="s">
        <v>34</v>
      </c>
      <c r="C2014" s="28">
        <v>2014</v>
      </c>
      <c r="D2014" s="28" t="s">
        <v>4</v>
      </c>
      <c r="E2014" s="28" t="s">
        <v>15</v>
      </c>
      <c r="F2014" s="28">
        <v>847.62175959501155</v>
      </c>
      <c r="H2014">
        <f>VLOOKUP(A2014&amp;B2014,ticker_sector[],2,FALSE)</f>
        <v>16</v>
      </c>
      <c r="I2014">
        <f>VLOOKUP(C2014,year[],2,FALSE)</f>
        <v>4</v>
      </c>
      <c r="J2014">
        <f>VLOOKUP(E2014,showing[],2,FALSE)</f>
        <v>12</v>
      </c>
      <c r="K2014">
        <f>Сектора[[#This Row],[Значение]]</f>
        <v>847.62175959501155</v>
      </c>
      <c r="L2014" t="str">
        <f t="shared" si="31"/>
        <v>INSERT INTO msfo.statements (id_company, id_year, id_showing, value) VALUES (16,4,12,847,621759595012);</v>
      </c>
    </row>
    <row r="2015" spans="1:12">
      <c r="A2015" s="28" t="s">
        <v>50</v>
      </c>
      <c r="B2015" s="28" t="s">
        <v>34</v>
      </c>
      <c r="C2015" s="28">
        <v>2015</v>
      </c>
      <c r="D2015" s="28" t="s">
        <v>4</v>
      </c>
      <c r="E2015" s="28" t="s">
        <v>15</v>
      </c>
      <c r="F2015" s="28">
        <v>810.35966011138441</v>
      </c>
      <c r="H2015">
        <f>VLOOKUP(A2015&amp;B2015,ticker_sector[],2,FALSE)</f>
        <v>16</v>
      </c>
      <c r="I2015">
        <f>VLOOKUP(C2015,year[],2,FALSE)</f>
        <v>5</v>
      </c>
      <c r="J2015">
        <f>VLOOKUP(E2015,showing[],2,FALSE)</f>
        <v>12</v>
      </c>
      <c r="K2015">
        <f>Сектора[[#This Row],[Значение]]</f>
        <v>810.35966011138441</v>
      </c>
      <c r="L2015" t="str">
        <f t="shared" si="31"/>
        <v>INSERT INTO msfo.statements (id_company, id_year, id_showing, value) VALUES (16,5,12,810,359660111384);</v>
      </c>
    </row>
    <row r="2016" spans="1:12">
      <c r="A2016" s="28" t="s">
        <v>50</v>
      </c>
      <c r="B2016" s="28" t="s">
        <v>34</v>
      </c>
      <c r="C2016" s="28">
        <v>2016</v>
      </c>
      <c r="D2016" s="28" t="s">
        <v>4</v>
      </c>
      <c r="E2016" s="28" t="s">
        <v>15</v>
      </c>
      <c r="F2016" s="28">
        <v>896.99595594235768</v>
      </c>
      <c r="H2016">
        <f>VLOOKUP(A2016&amp;B2016,ticker_sector[],2,FALSE)</f>
        <v>16</v>
      </c>
      <c r="I2016">
        <f>VLOOKUP(C2016,year[],2,FALSE)</f>
        <v>6</v>
      </c>
      <c r="J2016">
        <f>VLOOKUP(E2016,showing[],2,FALSE)</f>
        <v>12</v>
      </c>
      <c r="K2016">
        <f>Сектора[[#This Row],[Значение]]</f>
        <v>896.99595594235768</v>
      </c>
      <c r="L2016" t="str">
        <f t="shared" si="31"/>
        <v>INSERT INTO msfo.statements (id_company, id_year, id_showing, value) VALUES (16,6,12,896,995955942358);</v>
      </c>
    </row>
    <row r="2017" spans="1:12">
      <c r="A2017" s="28" t="s">
        <v>50</v>
      </c>
      <c r="B2017" s="28" t="s">
        <v>34</v>
      </c>
      <c r="C2017" s="28">
        <v>2017</v>
      </c>
      <c r="D2017" s="28" t="s">
        <v>4</v>
      </c>
      <c r="E2017" s="28" t="s">
        <v>15</v>
      </c>
      <c r="F2017" s="28">
        <v>616.99389932673841</v>
      </c>
      <c r="H2017">
        <f>VLOOKUP(A2017&amp;B2017,ticker_sector[],2,FALSE)</f>
        <v>16</v>
      </c>
      <c r="I2017">
        <f>VLOOKUP(C2017,year[],2,FALSE)</f>
        <v>7</v>
      </c>
      <c r="J2017">
        <f>VLOOKUP(E2017,showing[],2,FALSE)</f>
        <v>12</v>
      </c>
      <c r="K2017">
        <f>Сектора[[#This Row],[Значение]]</f>
        <v>616.99389932673841</v>
      </c>
      <c r="L2017" t="str">
        <f t="shared" si="31"/>
        <v>INSERT INTO msfo.statements (id_company, id_year, id_showing, value) VALUES (16,7,12,616,993899326738);</v>
      </c>
    </row>
    <row r="2018" spans="1:12">
      <c r="A2018" s="28" t="s">
        <v>50</v>
      </c>
      <c r="B2018" s="28" t="s">
        <v>34</v>
      </c>
      <c r="C2018" s="28">
        <v>2010</v>
      </c>
      <c r="D2018" s="28" t="s">
        <v>7</v>
      </c>
      <c r="E2018" s="28" t="s">
        <v>16</v>
      </c>
      <c r="F2018" s="28">
        <v>15734.248209199999</v>
      </c>
      <c r="H2018">
        <f>VLOOKUP(A2018&amp;B2018,ticker_sector[],2,FALSE)</f>
        <v>16</v>
      </c>
      <c r="I2018">
        <f>VLOOKUP(C2018,year[],2,FALSE)</f>
        <v>0</v>
      </c>
      <c r="J2018">
        <f>VLOOKUP(E2018,showing[],2,FALSE)</f>
        <v>13</v>
      </c>
      <c r="K2018">
        <f>Сектора[[#This Row],[Значение]]</f>
        <v>15734.248209199999</v>
      </c>
      <c r="L2018" t="str">
        <f t="shared" si="31"/>
        <v>INSERT INTO msfo.statements (id_company, id_year, id_showing, value) VALUES (16,0,13,15734,2482092);</v>
      </c>
    </row>
    <row r="2019" spans="1:12">
      <c r="A2019" s="28" t="s">
        <v>50</v>
      </c>
      <c r="B2019" s="28" t="s">
        <v>34</v>
      </c>
      <c r="C2019" s="28">
        <v>2011</v>
      </c>
      <c r="D2019" s="28" t="s">
        <v>7</v>
      </c>
      <c r="E2019" s="28" t="s">
        <v>16</v>
      </c>
      <c r="F2019" s="28">
        <v>24698.626389099998</v>
      </c>
      <c r="H2019">
        <f>VLOOKUP(A2019&amp;B2019,ticker_sector[],2,FALSE)</f>
        <v>16</v>
      </c>
      <c r="I2019">
        <f>VLOOKUP(C2019,year[],2,FALSE)</f>
        <v>1</v>
      </c>
      <c r="J2019">
        <f>VLOOKUP(E2019,showing[],2,FALSE)</f>
        <v>13</v>
      </c>
      <c r="K2019">
        <f>Сектора[[#This Row],[Значение]]</f>
        <v>24698.626389099998</v>
      </c>
      <c r="L2019" t="str">
        <f t="shared" si="31"/>
        <v>INSERT INTO msfo.statements (id_company, id_year, id_showing, value) VALUES (16,1,13,24698,6263891);</v>
      </c>
    </row>
    <row r="2020" spans="1:12">
      <c r="A2020" s="28" t="s">
        <v>50</v>
      </c>
      <c r="B2020" s="28" t="s">
        <v>34</v>
      </c>
      <c r="C2020" s="28">
        <v>2012</v>
      </c>
      <c r="D2020" s="28" t="s">
        <v>7</v>
      </c>
      <c r="E2020" s="28" t="s">
        <v>16</v>
      </c>
      <c r="F2020" s="28">
        <v>37566.267000000007</v>
      </c>
      <c r="H2020">
        <f>VLOOKUP(A2020&amp;B2020,ticker_sector[],2,FALSE)</f>
        <v>16</v>
      </c>
      <c r="I2020">
        <f>VLOOKUP(C2020,year[],2,FALSE)</f>
        <v>2</v>
      </c>
      <c r="J2020">
        <f>VLOOKUP(E2020,showing[],2,FALSE)</f>
        <v>13</v>
      </c>
      <c r="K2020">
        <f>Сектора[[#This Row],[Значение]]</f>
        <v>37566.267000000007</v>
      </c>
      <c r="L2020" t="str">
        <f t="shared" si="31"/>
        <v>INSERT INTO msfo.statements (id_company, id_year, id_showing, value) VALUES (16,2,13,37566,267);</v>
      </c>
    </row>
    <row r="2021" spans="1:12">
      <c r="A2021" s="28" t="s">
        <v>50</v>
      </c>
      <c r="B2021" s="28" t="s">
        <v>34</v>
      </c>
      <c r="C2021" s="28">
        <v>2013</v>
      </c>
      <c r="D2021" s="28" t="s">
        <v>7</v>
      </c>
      <c r="E2021" s="28" t="s">
        <v>16</v>
      </c>
      <c r="F2021" s="28">
        <v>52787.495999999992</v>
      </c>
      <c r="H2021">
        <f>VLOOKUP(A2021&amp;B2021,ticker_sector[],2,FALSE)</f>
        <v>16</v>
      </c>
      <c r="I2021">
        <f>VLOOKUP(C2021,year[],2,FALSE)</f>
        <v>3</v>
      </c>
      <c r="J2021">
        <f>VLOOKUP(E2021,showing[],2,FALSE)</f>
        <v>13</v>
      </c>
      <c r="K2021">
        <f>Сектора[[#This Row],[Значение]]</f>
        <v>52787.495999999992</v>
      </c>
      <c r="L2021" t="str">
        <f t="shared" si="31"/>
        <v>INSERT INTO msfo.statements (id_company, id_year, id_showing, value) VALUES (16,3,13,52787,496);</v>
      </c>
    </row>
    <row r="2022" spans="1:12">
      <c r="A2022" s="28" t="s">
        <v>50</v>
      </c>
      <c r="B2022" s="28" t="s">
        <v>34</v>
      </c>
      <c r="C2022" s="28">
        <v>2014</v>
      </c>
      <c r="D2022" s="28" t="s">
        <v>7</v>
      </c>
      <c r="E2022" s="28" t="s">
        <v>16</v>
      </c>
      <c r="F2022" s="28">
        <v>70041.528000000006</v>
      </c>
      <c r="H2022">
        <f>VLOOKUP(A2022&amp;B2022,ticker_sector[],2,FALSE)</f>
        <v>16</v>
      </c>
      <c r="I2022">
        <f>VLOOKUP(C2022,year[],2,FALSE)</f>
        <v>4</v>
      </c>
      <c r="J2022">
        <f>VLOOKUP(E2022,showing[],2,FALSE)</f>
        <v>13</v>
      </c>
      <c r="K2022">
        <f>Сектора[[#This Row],[Значение]]</f>
        <v>70041.528000000006</v>
      </c>
      <c r="L2022" t="str">
        <f t="shared" si="31"/>
        <v>INSERT INTO msfo.statements (id_company, id_year, id_showing, value) VALUES (16,4,13,70041,528);</v>
      </c>
    </row>
    <row r="2023" spans="1:12">
      <c r="A2023" s="28" t="s">
        <v>50</v>
      </c>
      <c r="B2023" s="28" t="s">
        <v>34</v>
      </c>
      <c r="C2023" s="28">
        <v>2015</v>
      </c>
      <c r="D2023" s="28" t="s">
        <v>7</v>
      </c>
      <c r="E2023" s="28" t="s">
        <v>16</v>
      </c>
      <c r="F2023" s="28">
        <v>87629.535000000003</v>
      </c>
      <c r="H2023">
        <f>VLOOKUP(A2023&amp;B2023,ticker_sector[],2,FALSE)</f>
        <v>16</v>
      </c>
      <c r="I2023">
        <f>VLOOKUP(C2023,year[],2,FALSE)</f>
        <v>5</v>
      </c>
      <c r="J2023">
        <f>VLOOKUP(E2023,showing[],2,FALSE)</f>
        <v>13</v>
      </c>
      <c r="K2023">
        <f>Сектора[[#This Row],[Значение]]</f>
        <v>87629.535000000003</v>
      </c>
      <c r="L2023" t="str">
        <f t="shared" si="31"/>
        <v>INSERT INTO msfo.statements (id_company, id_year, id_showing, value) VALUES (16,5,13,87629,535);</v>
      </c>
    </row>
    <row r="2024" spans="1:12">
      <c r="A2024" s="28" t="s">
        <v>50</v>
      </c>
      <c r="B2024" s="28" t="s">
        <v>34</v>
      </c>
      <c r="C2024" s="28">
        <v>2016</v>
      </c>
      <c r="D2024" s="28" t="s">
        <v>7</v>
      </c>
      <c r="E2024" s="28" t="s">
        <v>16</v>
      </c>
      <c r="F2024" s="28">
        <v>81167.548999999999</v>
      </c>
      <c r="H2024">
        <f>VLOOKUP(A2024&amp;B2024,ticker_sector[],2,FALSE)</f>
        <v>16</v>
      </c>
      <c r="I2024">
        <f>VLOOKUP(C2024,year[],2,FALSE)</f>
        <v>6</v>
      </c>
      <c r="J2024">
        <f>VLOOKUP(E2024,showing[],2,FALSE)</f>
        <v>13</v>
      </c>
      <c r="K2024">
        <f>Сектора[[#This Row],[Значение]]</f>
        <v>81167.548999999999</v>
      </c>
      <c r="L2024" t="str">
        <f t="shared" si="31"/>
        <v>INSERT INTO msfo.statements (id_company, id_year, id_showing, value) VALUES (16,6,13,81167,549);</v>
      </c>
    </row>
    <row r="2025" spans="1:12">
      <c r="A2025" s="28" t="s">
        <v>50</v>
      </c>
      <c r="B2025" s="28" t="s">
        <v>34</v>
      </c>
      <c r="C2025" s="28">
        <v>2017</v>
      </c>
      <c r="D2025" s="28" t="s">
        <v>7</v>
      </c>
      <c r="E2025" s="28" t="s">
        <v>16</v>
      </c>
      <c r="F2025" s="28">
        <v>74394.13900000001</v>
      </c>
      <c r="H2025">
        <f>VLOOKUP(A2025&amp;B2025,ticker_sector[],2,FALSE)</f>
        <v>16</v>
      </c>
      <c r="I2025">
        <f>VLOOKUP(C2025,year[],2,FALSE)</f>
        <v>7</v>
      </c>
      <c r="J2025">
        <f>VLOOKUP(E2025,showing[],2,FALSE)</f>
        <v>13</v>
      </c>
      <c r="K2025">
        <f>Сектора[[#This Row],[Значение]]</f>
        <v>74394.13900000001</v>
      </c>
      <c r="L2025" t="str">
        <f t="shared" si="31"/>
        <v>INSERT INTO msfo.statements (id_company, id_year, id_showing, value) VALUES (16,7,13,74394,139);</v>
      </c>
    </row>
    <row r="2026" spans="1:12">
      <c r="A2026" s="28" t="s">
        <v>50</v>
      </c>
      <c r="B2026" s="28" t="s">
        <v>34</v>
      </c>
      <c r="C2026" s="28">
        <v>2010</v>
      </c>
      <c r="D2026" s="28" t="s">
        <v>7</v>
      </c>
      <c r="E2026" s="28" t="s">
        <v>17</v>
      </c>
      <c r="F2026" s="28">
        <v>516.26799999999992</v>
      </c>
      <c r="H2026">
        <f>VLOOKUP(A2026&amp;B2026,ticker_sector[],2,FALSE)</f>
        <v>16</v>
      </c>
      <c r="I2026">
        <f>VLOOKUP(C2026,year[],2,FALSE)</f>
        <v>0</v>
      </c>
      <c r="J2026">
        <f>VLOOKUP(E2026,showing[],2,FALSE)</f>
        <v>14</v>
      </c>
      <c r="K2026">
        <f>Сектора[[#This Row],[Значение]]</f>
        <v>516.26799999999992</v>
      </c>
      <c r="L2026" t="str">
        <f t="shared" si="31"/>
        <v>INSERT INTO msfo.statements (id_company, id_year, id_showing, value) VALUES (16,0,14,516,268);</v>
      </c>
    </row>
    <row r="2027" spans="1:12">
      <c r="A2027" s="28" t="s">
        <v>50</v>
      </c>
      <c r="B2027" s="28" t="s">
        <v>34</v>
      </c>
      <c r="C2027" s="28">
        <v>2011</v>
      </c>
      <c r="D2027" s="28" t="s">
        <v>7</v>
      </c>
      <c r="E2027" s="28" t="s">
        <v>17</v>
      </c>
      <c r="F2027" s="28">
        <v>767.13099999999986</v>
      </c>
      <c r="H2027">
        <f>VLOOKUP(A2027&amp;B2027,ticker_sector[],2,FALSE)</f>
        <v>16</v>
      </c>
      <c r="I2027">
        <f>VLOOKUP(C2027,year[],2,FALSE)</f>
        <v>1</v>
      </c>
      <c r="J2027">
        <f>VLOOKUP(E2027,showing[],2,FALSE)</f>
        <v>14</v>
      </c>
      <c r="K2027">
        <f>Сектора[[#This Row],[Значение]]</f>
        <v>767.13099999999986</v>
      </c>
      <c r="L2027" t="str">
        <f t="shared" si="31"/>
        <v>INSERT INTO msfo.statements (id_company, id_year, id_showing, value) VALUES (16,1,14,767,131);</v>
      </c>
    </row>
    <row r="2028" spans="1:12">
      <c r="A2028" s="28" t="s">
        <v>50</v>
      </c>
      <c r="B2028" s="28" t="s">
        <v>34</v>
      </c>
      <c r="C2028" s="28">
        <v>2012</v>
      </c>
      <c r="D2028" s="28" t="s">
        <v>7</v>
      </c>
      <c r="E2028" s="28" t="s">
        <v>17</v>
      </c>
      <c r="F2028" s="28">
        <v>1236.8431848337491</v>
      </c>
      <c r="H2028">
        <f>VLOOKUP(A2028&amp;B2028,ticker_sector[],2,FALSE)</f>
        <v>16</v>
      </c>
      <c r="I2028">
        <f>VLOOKUP(C2028,year[],2,FALSE)</f>
        <v>2</v>
      </c>
      <c r="J2028">
        <f>VLOOKUP(E2028,showing[],2,FALSE)</f>
        <v>14</v>
      </c>
      <c r="K2028">
        <f>Сектора[[#This Row],[Значение]]</f>
        <v>1236.8431848337491</v>
      </c>
      <c r="L2028" t="str">
        <f t="shared" si="31"/>
        <v>INSERT INTO msfo.statements (id_company, id_year, id_showing, value) VALUES (16,2,14,1236,84318483375);</v>
      </c>
    </row>
    <row r="2029" spans="1:12">
      <c r="A2029" s="28" t="s">
        <v>50</v>
      </c>
      <c r="B2029" s="28" t="s">
        <v>34</v>
      </c>
      <c r="C2029" s="28">
        <v>2013</v>
      </c>
      <c r="D2029" s="28" t="s">
        <v>7</v>
      </c>
      <c r="E2029" s="28" t="s">
        <v>17</v>
      </c>
      <c r="F2029" s="28">
        <v>1612.8562873519668</v>
      </c>
      <c r="H2029">
        <f>VLOOKUP(A2029&amp;B2029,ticker_sector[],2,FALSE)</f>
        <v>16</v>
      </c>
      <c r="I2029">
        <f>VLOOKUP(C2029,year[],2,FALSE)</f>
        <v>3</v>
      </c>
      <c r="J2029">
        <f>VLOOKUP(E2029,showing[],2,FALSE)</f>
        <v>14</v>
      </c>
      <c r="K2029">
        <f>Сектора[[#This Row],[Значение]]</f>
        <v>1612.8562873519668</v>
      </c>
      <c r="L2029" t="str">
        <f t="shared" si="31"/>
        <v>INSERT INTO msfo.statements (id_company, id_year, id_showing, value) VALUES (16,3,14,1612,85628735197);</v>
      </c>
    </row>
    <row r="2030" spans="1:12">
      <c r="A2030" s="28" t="s">
        <v>50</v>
      </c>
      <c r="B2030" s="28" t="s">
        <v>34</v>
      </c>
      <c r="C2030" s="28">
        <v>2014</v>
      </c>
      <c r="D2030" s="28" t="s">
        <v>7</v>
      </c>
      <c r="E2030" s="28" t="s">
        <v>17</v>
      </c>
      <c r="F2030" s="28">
        <v>1244.9968004777954</v>
      </c>
      <c r="H2030">
        <f>VLOOKUP(A2030&amp;B2030,ticker_sector[],2,FALSE)</f>
        <v>16</v>
      </c>
      <c r="I2030">
        <f>VLOOKUP(C2030,year[],2,FALSE)</f>
        <v>4</v>
      </c>
      <c r="J2030">
        <f>VLOOKUP(E2030,showing[],2,FALSE)</f>
        <v>14</v>
      </c>
      <c r="K2030">
        <f>Сектора[[#This Row],[Значение]]</f>
        <v>1244.9968004777954</v>
      </c>
      <c r="L2030" t="str">
        <f t="shared" si="31"/>
        <v>INSERT INTO msfo.statements (id_company, id_year, id_showing, value) VALUES (16,4,14,1244,9968004778);</v>
      </c>
    </row>
    <row r="2031" spans="1:12">
      <c r="A2031" s="28" t="s">
        <v>50</v>
      </c>
      <c r="B2031" s="28" t="s">
        <v>34</v>
      </c>
      <c r="C2031" s="28">
        <v>2015</v>
      </c>
      <c r="D2031" s="28" t="s">
        <v>7</v>
      </c>
      <c r="E2031" s="28" t="s">
        <v>17</v>
      </c>
      <c r="F2031" s="28">
        <v>1202.3365627233898</v>
      </c>
      <c r="H2031">
        <f>VLOOKUP(A2031&amp;B2031,ticker_sector[],2,FALSE)</f>
        <v>16</v>
      </c>
      <c r="I2031">
        <f>VLOOKUP(C2031,year[],2,FALSE)</f>
        <v>5</v>
      </c>
      <c r="J2031">
        <f>VLOOKUP(E2031,showing[],2,FALSE)</f>
        <v>14</v>
      </c>
      <c r="K2031">
        <f>Сектора[[#This Row],[Значение]]</f>
        <v>1202.3365627233898</v>
      </c>
      <c r="L2031" t="str">
        <f t="shared" si="31"/>
        <v>INSERT INTO msfo.statements (id_company, id_year, id_showing, value) VALUES (16,5,14,1202,33656272339);</v>
      </c>
    </row>
    <row r="2032" spans="1:12">
      <c r="A2032" s="28" t="s">
        <v>50</v>
      </c>
      <c r="B2032" s="28" t="s">
        <v>34</v>
      </c>
      <c r="C2032" s="28">
        <v>2016</v>
      </c>
      <c r="D2032" s="28" t="s">
        <v>7</v>
      </c>
      <c r="E2032" s="28" t="s">
        <v>17</v>
      </c>
      <c r="F2032" s="28">
        <v>1338.1420580346175</v>
      </c>
      <c r="H2032">
        <f>VLOOKUP(A2032&amp;B2032,ticker_sector[],2,FALSE)</f>
        <v>16</v>
      </c>
      <c r="I2032">
        <f>VLOOKUP(C2032,year[],2,FALSE)</f>
        <v>6</v>
      </c>
      <c r="J2032">
        <f>VLOOKUP(E2032,showing[],2,FALSE)</f>
        <v>14</v>
      </c>
      <c r="K2032">
        <f>Сектора[[#This Row],[Значение]]</f>
        <v>1338.1420580346175</v>
      </c>
      <c r="L2032" t="str">
        <f t="shared" si="31"/>
        <v>INSERT INTO msfo.statements (id_company, id_year, id_showing, value) VALUES (16,6,14,1338,14205803462);</v>
      </c>
    </row>
    <row r="2033" spans="1:12">
      <c r="A2033" s="28" t="s">
        <v>50</v>
      </c>
      <c r="B2033" s="28" t="s">
        <v>34</v>
      </c>
      <c r="C2033" s="28">
        <v>2017</v>
      </c>
      <c r="D2033" s="28" t="s">
        <v>7</v>
      </c>
      <c r="E2033" s="28" t="s">
        <v>17</v>
      </c>
      <c r="F2033" s="28">
        <v>1291.5604286096229</v>
      </c>
      <c r="H2033">
        <f>VLOOKUP(A2033&amp;B2033,ticker_sector[],2,FALSE)</f>
        <v>16</v>
      </c>
      <c r="I2033">
        <f>VLOOKUP(C2033,year[],2,FALSE)</f>
        <v>7</v>
      </c>
      <c r="J2033">
        <f>VLOOKUP(E2033,showing[],2,FALSE)</f>
        <v>14</v>
      </c>
      <c r="K2033">
        <f>Сектора[[#This Row],[Значение]]</f>
        <v>1291.5604286096229</v>
      </c>
      <c r="L2033" t="str">
        <f t="shared" si="31"/>
        <v>INSERT INTO msfo.statements (id_company, id_year, id_showing, value) VALUES (16,7,14,1291,56042860962);</v>
      </c>
    </row>
    <row r="2034" spans="1:12">
      <c r="A2034" s="28" t="s">
        <v>50</v>
      </c>
      <c r="B2034" s="28" t="s">
        <v>34</v>
      </c>
      <c r="C2034" s="28">
        <v>2010</v>
      </c>
      <c r="D2034" s="28" t="s">
        <v>20</v>
      </c>
      <c r="E2034" s="28" t="s">
        <v>18</v>
      </c>
      <c r="F2034" s="28">
        <v>88.843999999999994</v>
      </c>
      <c r="H2034">
        <f>VLOOKUP(A2034&amp;B2034,ticker_sector[],2,FALSE)</f>
        <v>16</v>
      </c>
      <c r="I2034">
        <f>VLOOKUP(C2034,year[],2,FALSE)</f>
        <v>0</v>
      </c>
      <c r="J2034">
        <f>VLOOKUP(E2034,showing[],2,FALSE)</f>
        <v>15</v>
      </c>
      <c r="K2034">
        <f>Сектора[[#This Row],[Значение]]</f>
        <v>88.843999999999994</v>
      </c>
      <c r="L2034" t="str">
        <f t="shared" si="31"/>
        <v>INSERT INTO msfo.statements (id_company, id_year, id_showing, value) VALUES (16,0,15,88,844);</v>
      </c>
    </row>
    <row r="2035" spans="1:12">
      <c r="A2035" s="28" t="s">
        <v>50</v>
      </c>
      <c r="B2035" s="28" t="s">
        <v>34</v>
      </c>
      <c r="C2035" s="28">
        <v>2011</v>
      </c>
      <c r="D2035" s="28" t="s">
        <v>20</v>
      </c>
      <c r="E2035" s="28" t="s">
        <v>18</v>
      </c>
      <c r="F2035" s="28">
        <v>89.22</v>
      </c>
      <c r="H2035">
        <f>VLOOKUP(A2035&amp;B2035,ticker_sector[],2,FALSE)</f>
        <v>16</v>
      </c>
      <c r="I2035">
        <f>VLOOKUP(C2035,year[],2,FALSE)</f>
        <v>1</v>
      </c>
      <c r="J2035">
        <f>VLOOKUP(E2035,showing[],2,FALSE)</f>
        <v>15</v>
      </c>
      <c r="K2035">
        <f>Сектора[[#This Row],[Значение]]</f>
        <v>89.22</v>
      </c>
      <c r="L2035" t="str">
        <f t="shared" si="31"/>
        <v>INSERT INTO msfo.statements (id_company, id_year, id_showing, value) VALUES (16,1,15,89,22);</v>
      </c>
    </row>
    <row r="2036" spans="1:12">
      <c r="A2036" s="28" t="s">
        <v>50</v>
      </c>
      <c r="B2036" s="28" t="s">
        <v>34</v>
      </c>
      <c r="C2036" s="28">
        <v>2012</v>
      </c>
      <c r="D2036" s="28" t="s">
        <v>20</v>
      </c>
      <c r="E2036" s="28" t="s">
        <v>18</v>
      </c>
      <c r="F2036" s="28">
        <v>94.561000000000007</v>
      </c>
      <c r="H2036">
        <f>VLOOKUP(A2036&amp;B2036,ticker_sector[],2,FALSE)</f>
        <v>16</v>
      </c>
      <c r="I2036">
        <f>VLOOKUP(C2036,year[],2,FALSE)</f>
        <v>2</v>
      </c>
      <c r="J2036">
        <f>VLOOKUP(E2036,showing[],2,FALSE)</f>
        <v>15</v>
      </c>
      <c r="K2036">
        <f>Сектора[[#This Row],[Значение]]</f>
        <v>94.561000000000007</v>
      </c>
      <c r="L2036" t="str">
        <f t="shared" si="31"/>
        <v>INSERT INTO msfo.statements (id_company, id_year, id_showing, value) VALUES (16,2,15,94,561);</v>
      </c>
    </row>
    <row r="2037" spans="1:12">
      <c r="A2037" s="28" t="s">
        <v>50</v>
      </c>
      <c r="B2037" s="28" t="s">
        <v>34</v>
      </c>
      <c r="C2037" s="28">
        <v>2013</v>
      </c>
      <c r="D2037" s="28" t="s">
        <v>20</v>
      </c>
      <c r="E2037" s="28" t="s">
        <v>18</v>
      </c>
      <c r="F2037" s="28">
        <v>94.561000000000007</v>
      </c>
      <c r="H2037">
        <f>VLOOKUP(A2037&amp;B2037,ticker_sector[],2,FALSE)</f>
        <v>16</v>
      </c>
      <c r="I2037">
        <f>VLOOKUP(C2037,year[],2,FALSE)</f>
        <v>3</v>
      </c>
      <c r="J2037">
        <f>VLOOKUP(E2037,showing[],2,FALSE)</f>
        <v>15</v>
      </c>
      <c r="K2037">
        <f>Сектора[[#This Row],[Значение]]</f>
        <v>94.561000000000007</v>
      </c>
      <c r="L2037" t="str">
        <f t="shared" si="31"/>
        <v>INSERT INTO msfo.statements (id_company, id_year, id_showing, value) VALUES (16,3,15,94,561);</v>
      </c>
    </row>
    <row r="2038" spans="1:12">
      <c r="A2038" s="28" t="s">
        <v>50</v>
      </c>
      <c r="B2038" s="28" t="s">
        <v>34</v>
      </c>
      <c r="C2038" s="28">
        <v>2014</v>
      </c>
      <c r="D2038" s="28" t="s">
        <v>20</v>
      </c>
      <c r="E2038" s="28" t="s">
        <v>18</v>
      </c>
      <c r="F2038" s="28">
        <v>94.561000000000007</v>
      </c>
      <c r="H2038">
        <f>VLOOKUP(A2038&amp;B2038,ticker_sector[],2,FALSE)</f>
        <v>16</v>
      </c>
      <c r="I2038">
        <f>VLOOKUP(C2038,year[],2,FALSE)</f>
        <v>4</v>
      </c>
      <c r="J2038">
        <f>VLOOKUP(E2038,showing[],2,FALSE)</f>
        <v>15</v>
      </c>
      <c r="K2038">
        <f>Сектора[[#This Row],[Значение]]</f>
        <v>94.561000000000007</v>
      </c>
      <c r="L2038" t="str">
        <f t="shared" si="31"/>
        <v>INSERT INTO msfo.statements (id_company, id_year, id_showing, value) VALUES (16,4,15,94,561);</v>
      </c>
    </row>
    <row r="2039" spans="1:12">
      <c r="A2039" s="28" t="s">
        <v>50</v>
      </c>
      <c r="B2039" s="28" t="s">
        <v>34</v>
      </c>
      <c r="C2039" s="28">
        <v>2015</v>
      </c>
      <c r="D2039" s="28" t="s">
        <v>20</v>
      </c>
      <c r="E2039" s="28" t="s">
        <v>18</v>
      </c>
      <c r="F2039" s="28">
        <v>94.561000000000007</v>
      </c>
      <c r="H2039">
        <f>VLOOKUP(A2039&amp;B2039,ticker_sector[],2,FALSE)</f>
        <v>16</v>
      </c>
      <c r="I2039">
        <f>VLOOKUP(C2039,year[],2,FALSE)</f>
        <v>5</v>
      </c>
      <c r="J2039">
        <f>VLOOKUP(E2039,showing[],2,FALSE)</f>
        <v>15</v>
      </c>
      <c r="K2039">
        <f>Сектора[[#This Row],[Значение]]</f>
        <v>94.561000000000007</v>
      </c>
      <c r="L2039" t="str">
        <f t="shared" si="31"/>
        <v>INSERT INTO msfo.statements (id_company, id_year, id_showing, value) VALUES (16,5,15,94,561);</v>
      </c>
    </row>
    <row r="2040" spans="1:12">
      <c r="A2040" s="28" t="s">
        <v>50</v>
      </c>
      <c r="B2040" s="28" t="s">
        <v>34</v>
      </c>
      <c r="C2040" s="28">
        <v>2016</v>
      </c>
      <c r="D2040" s="28" t="s">
        <v>20</v>
      </c>
      <c r="E2040" s="28" t="s">
        <v>18</v>
      </c>
      <c r="F2040" s="28">
        <v>94.561000000000007</v>
      </c>
      <c r="H2040">
        <f>VLOOKUP(A2040&amp;B2040,ticker_sector[],2,FALSE)</f>
        <v>16</v>
      </c>
      <c r="I2040">
        <f>VLOOKUP(C2040,year[],2,FALSE)</f>
        <v>6</v>
      </c>
      <c r="J2040">
        <f>VLOOKUP(E2040,showing[],2,FALSE)</f>
        <v>15</v>
      </c>
      <c r="K2040">
        <f>Сектора[[#This Row],[Значение]]</f>
        <v>94.561000000000007</v>
      </c>
      <c r="L2040" t="str">
        <f t="shared" si="31"/>
        <v>INSERT INTO msfo.statements (id_company, id_year, id_showing, value) VALUES (16,6,15,94,561);</v>
      </c>
    </row>
    <row r="2041" spans="1:12">
      <c r="A2041" s="28" t="s">
        <v>50</v>
      </c>
      <c r="B2041" s="28" t="s">
        <v>34</v>
      </c>
      <c r="C2041" s="28">
        <v>2017</v>
      </c>
      <c r="D2041" s="28" t="s">
        <v>20</v>
      </c>
      <c r="E2041" s="28" t="s">
        <v>18</v>
      </c>
      <c r="F2041" s="28">
        <v>95.105000000000004</v>
      </c>
      <c r="H2041">
        <f>VLOOKUP(A2041&amp;B2041,ticker_sector[],2,FALSE)</f>
        <v>16</v>
      </c>
      <c r="I2041">
        <f>VLOOKUP(C2041,year[],2,FALSE)</f>
        <v>7</v>
      </c>
      <c r="J2041">
        <f>VLOOKUP(E2041,showing[],2,FALSE)</f>
        <v>15</v>
      </c>
      <c r="K2041">
        <f>Сектора[[#This Row],[Значение]]</f>
        <v>95.105000000000004</v>
      </c>
      <c r="L2041" t="str">
        <f t="shared" si="31"/>
        <v>INSERT INTO msfo.statements (id_company, id_year, id_showing, value) VALUES (16,7,15,95,105);</v>
      </c>
    </row>
    <row r="2042" spans="1:12">
      <c r="A2042" s="28" t="s">
        <v>50</v>
      </c>
      <c r="B2042" s="28" t="s">
        <v>34</v>
      </c>
      <c r="C2042" s="28">
        <v>2010</v>
      </c>
      <c r="D2042" s="28" t="s">
        <v>20</v>
      </c>
      <c r="E2042" s="28" t="s">
        <v>19</v>
      </c>
      <c r="F2042" s="28">
        <v>4080</v>
      </c>
      <c r="H2042">
        <f>VLOOKUP(A2042&amp;B2042,ticker_sector[],2,FALSE)</f>
        <v>16</v>
      </c>
      <c r="I2042">
        <f>VLOOKUP(C2042,year[],2,FALSE)</f>
        <v>0</v>
      </c>
      <c r="J2042">
        <f>VLOOKUP(E2042,showing[],2,FALSE)</f>
        <v>16</v>
      </c>
      <c r="K2042">
        <f>Сектора[[#This Row],[Значение]]</f>
        <v>4080</v>
      </c>
      <c r="L2042" t="str">
        <f t="shared" si="31"/>
        <v>INSERT INTO msfo.statements (id_company, id_year, id_showing, value) VALUES (16,0,16,4080);</v>
      </c>
    </row>
    <row r="2043" spans="1:12">
      <c r="A2043" s="28" t="s">
        <v>50</v>
      </c>
      <c r="B2043" s="28" t="s">
        <v>34</v>
      </c>
      <c r="C2043" s="28">
        <v>2011</v>
      </c>
      <c r="D2043" s="28" t="s">
        <v>20</v>
      </c>
      <c r="E2043" s="28" t="s">
        <v>19</v>
      </c>
      <c r="F2043" s="28">
        <v>2826</v>
      </c>
      <c r="H2043">
        <f>VLOOKUP(A2043&amp;B2043,ticker_sector[],2,FALSE)</f>
        <v>16</v>
      </c>
      <c r="I2043">
        <f>VLOOKUP(C2043,year[],2,FALSE)</f>
        <v>1</v>
      </c>
      <c r="J2043">
        <f>VLOOKUP(E2043,showing[],2,FALSE)</f>
        <v>16</v>
      </c>
      <c r="K2043">
        <f>Сектора[[#This Row],[Значение]]</f>
        <v>2826</v>
      </c>
      <c r="L2043" t="str">
        <f t="shared" si="31"/>
        <v>INSERT INTO msfo.statements (id_company, id_year, id_showing, value) VALUES (16,1,16,2826);</v>
      </c>
    </row>
    <row r="2044" spans="1:12">
      <c r="A2044" s="28" t="s">
        <v>50</v>
      </c>
      <c r="B2044" s="28" t="s">
        <v>34</v>
      </c>
      <c r="C2044" s="28">
        <v>2012</v>
      </c>
      <c r="D2044" s="28" t="s">
        <v>20</v>
      </c>
      <c r="E2044" s="28" t="s">
        <v>19</v>
      </c>
      <c r="F2044" s="28">
        <v>4786</v>
      </c>
      <c r="H2044">
        <f>VLOOKUP(A2044&amp;B2044,ticker_sector[],2,FALSE)</f>
        <v>16</v>
      </c>
      <c r="I2044">
        <f>VLOOKUP(C2044,year[],2,FALSE)</f>
        <v>2</v>
      </c>
      <c r="J2044">
        <f>VLOOKUP(E2044,showing[],2,FALSE)</f>
        <v>16</v>
      </c>
      <c r="K2044">
        <f>Сектора[[#This Row],[Значение]]</f>
        <v>4786</v>
      </c>
      <c r="L2044" t="str">
        <f t="shared" si="31"/>
        <v>INSERT INTO msfo.statements (id_company, id_year, id_showing, value) VALUES (16,2,16,4786);</v>
      </c>
    </row>
    <row r="2045" spans="1:12">
      <c r="A2045" s="28" t="s">
        <v>50</v>
      </c>
      <c r="B2045" s="28" t="s">
        <v>34</v>
      </c>
      <c r="C2045" s="28">
        <v>2013</v>
      </c>
      <c r="D2045" s="28" t="s">
        <v>20</v>
      </c>
      <c r="E2045" s="28" t="s">
        <v>19</v>
      </c>
      <c r="F2045" s="28">
        <v>9240</v>
      </c>
      <c r="H2045">
        <f>VLOOKUP(A2045&amp;B2045,ticker_sector[],2,FALSE)</f>
        <v>16</v>
      </c>
      <c r="I2045">
        <f>VLOOKUP(C2045,year[],2,FALSE)</f>
        <v>3</v>
      </c>
      <c r="J2045">
        <f>VLOOKUP(E2045,showing[],2,FALSE)</f>
        <v>16</v>
      </c>
      <c r="K2045">
        <f>Сектора[[#This Row],[Значение]]</f>
        <v>9240</v>
      </c>
      <c r="L2045" t="str">
        <f t="shared" si="31"/>
        <v>INSERT INTO msfo.statements (id_company, id_year, id_showing, value) VALUES (16,3,16,9240);</v>
      </c>
    </row>
    <row r="2046" spans="1:12">
      <c r="A2046" s="28" t="s">
        <v>50</v>
      </c>
      <c r="B2046" s="28" t="s">
        <v>34</v>
      </c>
      <c r="C2046" s="28">
        <v>2014</v>
      </c>
      <c r="D2046" s="28" t="s">
        <v>20</v>
      </c>
      <c r="E2046" s="28" t="s">
        <v>19</v>
      </c>
      <c r="F2046" s="28">
        <v>9701</v>
      </c>
      <c r="H2046">
        <f>VLOOKUP(A2046&amp;B2046,ticker_sector[],2,FALSE)</f>
        <v>16</v>
      </c>
      <c r="I2046">
        <f>VLOOKUP(C2046,year[],2,FALSE)</f>
        <v>4</v>
      </c>
      <c r="J2046">
        <f>VLOOKUP(E2046,showing[],2,FALSE)</f>
        <v>16</v>
      </c>
      <c r="K2046">
        <f>Сектора[[#This Row],[Значение]]</f>
        <v>9701</v>
      </c>
      <c r="L2046" t="str">
        <f t="shared" si="31"/>
        <v>INSERT INTO msfo.statements (id_company, id_year, id_showing, value) VALUES (16,4,16,9701);</v>
      </c>
    </row>
    <row r="2047" spans="1:12">
      <c r="A2047" s="28" t="s">
        <v>50</v>
      </c>
      <c r="B2047" s="28" t="s">
        <v>34</v>
      </c>
      <c r="C2047" s="28">
        <v>2015</v>
      </c>
      <c r="D2047" s="28" t="s">
        <v>20</v>
      </c>
      <c r="E2047" s="28" t="s">
        <v>19</v>
      </c>
      <c r="F2047" s="28">
        <v>11228</v>
      </c>
      <c r="H2047">
        <f>VLOOKUP(A2047&amp;B2047,ticker_sector[],2,FALSE)</f>
        <v>16</v>
      </c>
      <c r="I2047">
        <f>VLOOKUP(C2047,year[],2,FALSE)</f>
        <v>5</v>
      </c>
      <c r="J2047">
        <f>VLOOKUP(E2047,showing[],2,FALSE)</f>
        <v>16</v>
      </c>
      <c r="K2047">
        <f>Сектора[[#This Row],[Значение]]</f>
        <v>11228</v>
      </c>
      <c r="L2047" t="str">
        <f t="shared" si="31"/>
        <v>INSERT INTO msfo.statements (id_company, id_year, id_showing, value) VALUES (16,5,16,11228);</v>
      </c>
    </row>
    <row r="2048" spans="1:12">
      <c r="A2048" s="28" t="s">
        <v>50</v>
      </c>
      <c r="B2048" s="28" t="s">
        <v>34</v>
      </c>
      <c r="C2048" s="28">
        <v>2016</v>
      </c>
      <c r="D2048" s="28" t="s">
        <v>20</v>
      </c>
      <c r="E2048" s="28" t="s">
        <v>19</v>
      </c>
      <c r="F2048" s="28">
        <v>11000</v>
      </c>
      <c r="H2048">
        <f>VLOOKUP(A2048&amp;B2048,ticker_sector[],2,FALSE)</f>
        <v>16</v>
      </c>
      <c r="I2048">
        <f>VLOOKUP(C2048,year[],2,FALSE)</f>
        <v>6</v>
      </c>
      <c r="J2048">
        <f>VLOOKUP(E2048,showing[],2,FALSE)</f>
        <v>16</v>
      </c>
      <c r="K2048">
        <f>Сектора[[#This Row],[Значение]]</f>
        <v>11000</v>
      </c>
      <c r="L2048" t="str">
        <f t="shared" si="31"/>
        <v>INSERT INTO msfo.statements (id_company, id_year, id_showing, value) VALUES (16,6,16,11000);</v>
      </c>
    </row>
    <row r="2049" spans="1:12">
      <c r="A2049" s="28" t="s">
        <v>50</v>
      </c>
      <c r="B2049" s="28" t="s">
        <v>34</v>
      </c>
      <c r="C2049" s="28">
        <v>2017</v>
      </c>
      <c r="D2049" s="28" t="s">
        <v>20</v>
      </c>
      <c r="E2049" s="28" t="s">
        <v>19</v>
      </c>
      <c r="F2049" s="28">
        <v>6340</v>
      </c>
      <c r="H2049">
        <f>VLOOKUP(A2049&amp;B2049,ticker_sector[],2,FALSE)</f>
        <v>16</v>
      </c>
      <c r="I2049">
        <f>VLOOKUP(C2049,year[],2,FALSE)</f>
        <v>7</v>
      </c>
      <c r="J2049">
        <f>VLOOKUP(E2049,showing[],2,FALSE)</f>
        <v>16</v>
      </c>
      <c r="K2049">
        <f>Сектора[[#This Row],[Значение]]</f>
        <v>6340</v>
      </c>
      <c r="L2049" t="str">
        <f t="shared" si="31"/>
        <v>INSERT INTO msfo.statements (id_company, id_year, id_showing, value) VALUES (16,7,16,6340);</v>
      </c>
    </row>
    <row r="2050" spans="1:12">
      <c r="A2050" s="28" t="s">
        <v>51</v>
      </c>
      <c r="B2050" s="28" t="s">
        <v>34</v>
      </c>
      <c r="C2050" s="28">
        <v>2010</v>
      </c>
      <c r="D2050" s="28" t="s">
        <v>1</v>
      </c>
      <c r="E2050" s="28" t="s">
        <v>2</v>
      </c>
      <c r="F2050" s="28">
        <v>10238</v>
      </c>
      <c r="H2050">
        <f>VLOOKUP(A2050&amp;B2050,ticker_sector[],2,FALSE)</f>
        <v>17</v>
      </c>
      <c r="I2050">
        <f>VLOOKUP(C2050,year[],2,FALSE)</f>
        <v>0</v>
      </c>
      <c r="J2050">
        <f>VLOOKUP(E2050,showing[],2,FALSE)</f>
        <v>1</v>
      </c>
      <c r="K2050">
        <f>Сектора[[#This Row],[Значение]]</f>
        <v>10238</v>
      </c>
      <c r="L2050" t="str">
        <f t="shared" si="31"/>
        <v>INSERT INTO msfo.statements (id_company, id_year, id_showing, value) VALUES (17,0,1,10238);</v>
      </c>
    </row>
    <row r="2051" spans="1:12">
      <c r="A2051" s="28" t="s">
        <v>51</v>
      </c>
      <c r="B2051" s="28" t="s">
        <v>34</v>
      </c>
      <c r="C2051" s="28">
        <v>2011</v>
      </c>
      <c r="D2051" s="28" t="s">
        <v>1</v>
      </c>
      <c r="E2051" s="28" t="s">
        <v>2</v>
      </c>
      <c r="F2051" s="28">
        <v>12709</v>
      </c>
      <c r="H2051">
        <f>VLOOKUP(A2051&amp;B2051,ticker_sector[],2,FALSE)</f>
        <v>17</v>
      </c>
      <c r="I2051">
        <f>VLOOKUP(C2051,year[],2,FALSE)</f>
        <v>1</v>
      </c>
      <c r="J2051">
        <f>VLOOKUP(E2051,showing[],2,FALSE)</f>
        <v>1</v>
      </c>
      <c r="K2051">
        <f>Сектора[[#This Row],[Значение]]</f>
        <v>12709</v>
      </c>
      <c r="L2051" t="str">
        <f t="shared" ref="L2051:L2114" si="32">"INSERT INTO msfo.statements (id_company, id_year, id_showing, value) VALUES ("&amp;H2051&amp; ","&amp;I2051&amp; ","&amp;J2051&amp; ","&amp;K2051&amp;");"</f>
        <v>INSERT INTO msfo.statements (id_company, id_year, id_showing, value) VALUES (17,1,1,12709);</v>
      </c>
    </row>
    <row r="2052" spans="1:12">
      <c r="A2052" s="28" t="s">
        <v>51</v>
      </c>
      <c r="B2052" s="28" t="s">
        <v>34</v>
      </c>
      <c r="C2052" s="28">
        <v>2012</v>
      </c>
      <c r="D2052" s="28" t="s">
        <v>1</v>
      </c>
      <c r="E2052" s="28" t="s">
        <v>2</v>
      </c>
      <c r="F2052" s="28">
        <v>14601</v>
      </c>
      <c r="H2052">
        <f>VLOOKUP(A2052&amp;B2052,ticker_sector[],2,FALSE)</f>
        <v>17</v>
      </c>
      <c r="I2052">
        <f>VLOOKUP(C2052,year[],2,FALSE)</f>
        <v>2</v>
      </c>
      <c r="J2052">
        <f>VLOOKUP(E2052,showing[],2,FALSE)</f>
        <v>1</v>
      </c>
      <c r="K2052">
        <f>Сектора[[#This Row],[Значение]]</f>
        <v>14601</v>
      </c>
      <c r="L2052" t="str">
        <f t="shared" si="32"/>
        <v>INSERT INTO msfo.statements (id_company, id_year, id_showing, value) VALUES (17,2,1,14601);</v>
      </c>
    </row>
    <row r="2053" spans="1:12">
      <c r="A2053" s="28" t="s">
        <v>51</v>
      </c>
      <c r="B2053" s="28" t="s">
        <v>34</v>
      </c>
      <c r="C2053" s="28">
        <v>2013</v>
      </c>
      <c r="D2053" s="28" t="s">
        <v>1</v>
      </c>
      <c r="E2053" s="28" t="s">
        <v>2</v>
      </c>
      <c r="F2053" s="28">
        <v>16236</v>
      </c>
      <c r="H2053">
        <f>VLOOKUP(A2053&amp;B2053,ticker_sector[],2,FALSE)</f>
        <v>17</v>
      </c>
      <c r="I2053">
        <f>VLOOKUP(C2053,year[],2,FALSE)</f>
        <v>3</v>
      </c>
      <c r="J2053">
        <f>VLOOKUP(E2053,showing[],2,FALSE)</f>
        <v>1</v>
      </c>
      <c r="K2053">
        <f>Сектора[[#This Row],[Значение]]</f>
        <v>16236</v>
      </c>
      <c r="L2053" t="str">
        <f t="shared" si="32"/>
        <v>INSERT INTO msfo.statements (id_company, id_year, id_showing, value) VALUES (17,3,1,16236);</v>
      </c>
    </row>
    <row r="2054" spans="1:12">
      <c r="A2054" s="28" t="s">
        <v>51</v>
      </c>
      <c r="B2054" s="28" t="s">
        <v>34</v>
      </c>
      <c r="C2054" s="28">
        <v>2014</v>
      </c>
      <c r="D2054" s="28" t="s">
        <v>1</v>
      </c>
      <c r="E2054" s="28" t="s">
        <v>2</v>
      </c>
      <c r="F2054" s="28">
        <v>17965</v>
      </c>
      <c r="H2054">
        <f>VLOOKUP(A2054&amp;B2054,ticker_sector[],2,FALSE)</f>
        <v>17</v>
      </c>
      <c r="I2054">
        <f>VLOOKUP(C2054,year[],2,FALSE)</f>
        <v>4</v>
      </c>
      <c r="J2054">
        <f>VLOOKUP(E2054,showing[],2,FALSE)</f>
        <v>1</v>
      </c>
      <c r="K2054">
        <f>Сектора[[#This Row],[Значение]]</f>
        <v>17965</v>
      </c>
      <c r="L2054" t="str">
        <f t="shared" si="32"/>
        <v>INSERT INTO msfo.statements (id_company, id_year, id_showing, value) VALUES (17,4,1,17965);</v>
      </c>
    </row>
    <row r="2055" spans="1:12">
      <c r="A2055" s="28" t="s">
        <v>51</v>
      </c>
      <c r="B2055" s="28" t="s">
        <v>34</v>
      </c>
      <c r="C2055" s="28">
        <v>2015</v>
      </c>
      <c r="D2055" s="28" t="s">
        <v>1</v>
      </c>
      <c r="E2055" s="28" t="s">
        <v>2</v>
      </c>
      <c r="F2055" s="28">
        <v>18059</v>
      </c>
      <c r="H2055">
        <f>VLOOKUP(A2055&amp;B2055,ticker_sector[],2,FALSE)</f>
        <v>17</v>
      </c>
      <c r="I2055">
        <f>VLOOKUP(C2055,year[],2,FALSE)</f>
        <v>5</v>
      </c>
      <c r="J2055">
        <f>VLOOKUP(E2055,showing[],2,FALSE)</f>
        <v>1</v>
      </c>
      <c r="K2055">
        <f>Сектора[[#This Row],[Значение]]</f>
        <v>18059</v>
      </c>
      <c r="L2055" t="str">
        <f t="shared" si="32"/>
        <v>INSERT INTO msfo.statements (id_company, id_year, id_showing, value) VALUES (17,5,1,18059);</v>
      </c>
    </row>
    <row r="2056" spans="1:12">
      <c r="A2056" s="28" t="s">
        <v>51</v>
      </c>
      <c r="B2056" s="28" t="s">
        <v>34</v>
      </c>
      <c r="C2056" s="28">
        <v>2016</v>
      </c>
      <c r="D2056" s="28" t="s">
        <v>1</v>
      </c>
      <c r="E2056" s="28" t="s">
        <v>2</v>
      </c>
      <c r="F2056" s="28">
        <v>18959</v>
      </c>
      <c r="H2056">
        <f>VLOOKUP(A2056&amp;B2056,ticker_sector[],2,FALSE)</f>
        <v>17</v>
      </c>
      <c r="I2056">
        <f>VLOOKUP(C2056,year[],2,FALSE)</f>
        <v>6</v>
      </c>
      <c r="J2056">
        <f>VLOOKUP(E2056,showing[],2,FALSE)</f>
        <v>1</v>
      </c>
      <c r="K2056">
        <f>Сектора[[#This Row],[Значение]]</f>
        <v>18959</v>
      </c>
      <c r="L2056" t="str">
        <f t="shared" si="32"/>
        <v>INSERT INTO msfo.statements (id_company, id_year, id_showing, value) VALUES (17,6,1,18959);</v>
      </c>
    </row>
    <row r="2057" spans="1:12">
      <c r="A2057" s="28" t="s">
        <v>51</v>
      </c>
      <c r="B2057" s="28" t="s">
        <v>34</v>
      </c>
      <c r="C2057" s="28">
        <v>2017</v>
      </c>
      <c r="D2057" s="28" t="s">
        <v>1</v>
      </c>
      <c r="E2057" s="28" t="s">
        <v>2</v>
      </c>
      <c r="F2057" s="28">
        <v>23663</v>
      </c>
      <c r="H2057">
        <f>VLOOKUP(A2057&amp;B2057,ticker_sector[],2,FALSE)</f>
        <v>17</v>
      </c>
      <c r="I2057">
        <f>VLOOKUP(C2057,year[],2,FALSE)</f>
        <v>7</v>
      </c>
      <c r="J2057">
        <f>VLOOKUP(E2057,showing[],2,FALSE)</f>
        <v>1</v>
      </c>
      <c r="K2057">
        <f>Сектора[[#This Row],[Значение]]</f>
        <v>23663</v>
      </c>
      <c r="L2057" t="str">
        <f t="shared" si="32"/>
        <v>INSERT INTO msfo.statements (id_company, id_year, id_showing, value) VALUES (17,7,1,23663);</v>
      </c>
    </row>
    <row r="2058" spans="1:12">
      <c r="A2058" s="28" t="s">
        <v>51</v>
      </c>
      <c r="B2058" s="28" t="s">
        <v>34</v>
      </c>
      <c r="C2058" s="28">
        <v>2010</v>
      </c>
      <c r="D2058" s="28" t="s">
        <v>1</v>
      </c>
      <c r="E2058" s="28" t="s">
        <v>3</v>
      </c>
      <c r="F2058" s="28">
        <v>30457</v>
      </c>
      <c r="H2058">
        <f>VLOOKUP(A2058&amp;B2058,ticker_sector[],2,FALSE)</f>
        <v>17</v>
      </c>
      <c r="I2058">
        <f>VLOOKUP(C2058,year[],2,FALSE)</f>
        <v>0</v>
      </c>
      <c r="J2058">
        <f>VLOOKUP(E2058,showing[],2,FALSE)</f>
        <v>2</v>
      </c>
      <c r="K2058">
        <f>Сектора[[#This Row],[Значение]]</f>
        <v>30457</v>
      </c>
      <c r="L2058" t="str">
        <f t="shared" si="32"/>
        <v>INSERT INTO msfo.statements (id_company, id_year, id_showing, value) VALUES (17,0,2,30457);</v>
      </c>
    </row>
    <row r="2059" spans="1:12">
      <c r="A2059" s="28" t="s">
        <v>51</v>
      </c>
      <c r="B2059" s="28" t="s">
        <v>34</v>
      </c>
      <c r="C2059" s="28">
        <v>2011</v>
      </c>
      <c r="D2059" s="28" t="s">
        <v>1</v>
      </c>
      <c r="E2059" s="28" t="s">
        <v>3</v>
      </c>
      <c r="F2059" s="28">
        <v>40638</v>
      </c>
      <c r="H2059">
        <f>VLOOKUP(A2059&amp;B2059,ticker_sector[],2,FALSE)</f>
        <v>17</v>
      </c>
      <c r="I2059">
        <f>VLOOKUP(C2059,year[],2,FALSE)</f>
        <v>1</v>
      </c>
      <c r="J2059">
        <f>VLOOKUP(E2059,showing[],2,FALSE)</f>
        <v>2</v>
      </c>
      <c r="K2059">
        <f>Сектора[[#This Row],[Значение]]</f>
        <v>40638</v>
      </c>
      <c r="L2059" t="str">
        <f t="shared" si="32"/>
        <v>INSERT INTO msfo.statements (id_company, id_year, id_showing, value) VALUES (17,1,2,40638);</v>
      </c>
    </row>
    <row r="2060" spans="1:12">
      <c r="A2060" s="28" t="s">
        <v>51</v>
      </c>
      <c r="B2060" s="28" t="s">
        <v>34</v>
      </c>
      <c r="C2060" s="28">
        <v>2012</v>
      </c>
      <c r="D2060" s="28" t="s">
        <v>1</v>
      </c>
      <c r="E2060" s="28" t="s">
        <v>3</v>
      </c>
      <c r="F2060" s="28">
        <v>43344</v>
      </c>
      <c r="H2060">
        <f>VLOOKUP(A2060&amp;B2060,ticker_sector[],2,FALSE)</f>
        <v>17</v>
      </c>
      <c r="I2060">
        <f>VLOOKUP(C2060,year[],2,FALSE)</f>
        <v>2</v>
      </c>
      <c r="J2060">
        <f>VLOOKUP(E2060,showing[],2,FALSE)</f>
        <v>2</v>
      </c>
      <c r="K2060">
        <f>Сектора[[#This Row],[Значение]]</f>
        <v>43344</v>
      </c>
      <c r="L2060" t="str">
        <f t="shared" si="32"/>
        <v>INSERT INTO msfo.statements (id_company, id_year, id_showing, value) VALUES (17,2,2,43344);</v>
      </c>
    </row>
    <row r="2061" spans="1:12">
      <c r="A2061" s="28" t="s">
        <v>51</v>
      </c>
      <c r="B2061" s="28" t="s">
        <v>34</v>
      </c>
      <c r="C2061" s="28">
        <v>2013</v>
      </c>
      <c r="D2061" s="28" t="s">
        <v>1</v>
      </c>
      <c r="E2061" s="28" t="s">
        <v>3</v>
      </c>
      <c r="F2061" s="28">
        <v>48383</v>
      </c>
      <c r="H2061">
        <f>VLOOKUP(A2061&amp;B2061,ticker_sector[],2,FALSE)</f>
        <v>17</v>
      </c>
      <c r="I2061">
        <f>VLOOKUP(C2061,year[],2,FALSE)</f>
        <v>3</v>
      </c>
      <c r="J2061">
        <f>VLOOKUP(E2061,showing[],2,FALSE)</f>
        <v>2</v>
      </c>
      <c r="K2061">
        <f>Сектора[[#This Row],[Значение]]</f>
        <v>48383</v>
      </c>
      <c r="L2061" t="str">
        <f t="shared" si="32"/>
        <v>INSERT INTO msfo.statements (id_company, id_year, id_showing, value) VALUES (17,3,2,48383);</v>
      </c>
    </row>
    <row r="2062" spans="1:12">
      <c r="A2062" s="28" t="s">
        <v>51</v>
      </c>
      <c r="B2062" s="28" t="s">
        <v>34</v>
      </c>
      <c r="C2062" s="28">
        <v>2014</v>
      </c>
      <c r="D2062" s="28" t="s">
        <v>1</v>
      </c>
      <c r="E2062" s="28" t="s">
        <v>3</v>
      </c>
      <c r="F2062" s="28">
        <v>73553</v>
      </c>
      <c r="H2062">
        <f>VLOOKUP(A2062&amp;B2062,ticker_sector[],2,FALSE)</f>
        <v>17</v>
      </c>
      <c r="I2062">
        <f>VLOOKUP(C2062,year[],2,FALSE)</f>
        <v>4</v>
      </c>
      <c r="J2062">
        <f>VLOOKUP(E2062,showing[],2,FALSE)</f>
        <v>2</v>
      </c>
      <c r="K2062">
        <f>Сектора[[#This Row],[Значение]]</f>
        <v>73553</v>
      </c>
      <c r="L2062" t="str">
        <f t="shared" si="32"/>
        <v>INSERT INTO msfo.statements (id_company, id_year, id_showing, value) VALUES (17,4,2,73553);</v>
      </c>
    </row>
    <row r="2063" spans="1:12">
      <c r="A2063" s="28" t="s">
        <v>51</v>
      </c>
      <c r="B2063" s="28" t="s">
        <v>34</v>
      </c>
      <c r="C2063" s="28">
        <v>2015</v>
      </c>
      <c r="D2063" s="28" t="s">
        <v>1</v>
      </c>
      <c r="E2063" s="28" t="s">
        <v>3</v>
      </c>
      <c r="F2063" s="28">
        <v>69548</v>
      </c>
      <c r="H2063">
        <f>VLOOKUP(A2063&amp;B2063,ticker_sector[],2,FALSE)</f>
        <v>17</v>
      </c>
      <c r="I2063">
        <f>VLOOKUP(C2063,year[],2,FALSE)</f>
        <v>5</v>
      </c>
      <c r="J2063">
        <f>VLOOKUP(E2063,showing[],2,FALSE)</f>
        <v>2</v>
      </c>
      <c r="K2063">
        <f>Сектора[[#This Row],[Значение]]</f>
        <v>69548</v>
      </c>
      <c r="L2063" t="str">
        <f t="shared" si="32"/>
        <v>INSERT INTO msfo.statements (id_company, id_year, id_showing, value) VALUES (17,5,2,69548);</v>
      </c>
    </row>
    <row r="2064" spans="1:12">
      <c r="A2064" s="28" t="s">
        <v>51</v>
      </c>
      <c r="B2064" s="28" t="s">
        <v>34</v>
      </c>
      <c r="C2064" s="28">
        <v>2016</v>
      </c>
      <c r="D2064" s="28" t="s">
        <v>1</v>
      </c>
      <c r="E2064" s="28" t="s">
        <v>3</v>
      </c>
      <c r="F2064" s="28">
        <v>81342</v>
      </c>
      <c r="H2064">
        <f>VLOOKUP(A2064&amp;B2064,ticker_sector[],2,FALSE)</f>
        <v>17</v>
      </c>
      <c r="I2064">
        <f>VLOOKUP(C2064,year[],2,FALSE)</f>
        <v>6</v>
      </c>
      <c r="J2064">
        <f>VLOOKUP(E2064,showing[],2,FALSE)</f>
        <v>2</v>
      </c>
      <c r="K2064">
        <f>Сектора[[#This Row],[Значение]]</f>
        <v>81342</v>
      </c>
      <c r="L2064" t="str">
        <f t="shared" si="32"/>
        <v>INSERT INTO msfo.statements (id_company, id_year, id_showing, value) VALUES (17,6,2,81342);</v>
      </c>
    </row>
    <row r="2065" spans="1:12">
      <c r="A2065" s="28" t="s">
        <v>51</v>
      </c>
      <c r="B2065" s="28" t="s">
        <v>34</v>
      </c>
      <c r="C2065" s="28">
        <v>2017</v>
      </c>
      <c r="D2065" s="28" t="s">
        <v>1</v>
      </c>
      <c r="E2065" s="28" t="s">
        <v>3</v>
      </c>
      <c r="F2065" s="28">
        <v>97862</v>
      </c>
      <c r="H2065">
        <f>VLOOKUP(A2065&amp;B2065,ticker_sector[],2,FALSE)</f>
        <v>17</v>
      </c>
      <c r="I2065">
        <f>VLOOKUP(C2065,year[],2,FALSE)</f>
        <v>7</v>
      </c>
      <c r="J2065">
        <f>VLOOKUP(E2065,showing[],2,FALSE)</f>
        <v>2</v>
      </c>
      <c r="K2065">
        <f>Сектора[[#This Row],[Значение]]</f>
        <v>97862</v>
      </c>
      <c r="L2065" t="str">
        <f t="shared" si="32"/>
        <v>INSERT INTO msfo.statements (id_company, id_year, id_showing, value) VALUES (17,7,2,97862);</v>
      </c>
    </row>
    <row r="2066" spans="1:12">
      <c r="A2066" s="28" t="s">
        <v>51</v>
      </c>
      <c r="B2066" s="28" t="s">
        <v>34</v>
      </c>
      <c r="C2066" s="28">
        <v>2010</v>
      </c>
      <c r="D2066" s="28" t="s">
        <v>1</v>
      </c>
      <c r="E2066" s="28" t="s">
        <v>5</v>
      </c>
      <c r="F2066" s="28">
        <v>40695</v>
      </c>
      <c r="H2066">
        <f>VLOOKUP(A2066&amp;B2066,ticker_sector[],2,FALSE)</f>
        <v>17</v>
      </c>
      <c r="I2066">
        <f>VLOOKUP(C2066,year[],2,FALSE)</f>
        <v>0</v>
      </c>
      <c r="J2066">
        <f>VLOOKUP(E2066,showing[],2,FALSE)</f>
        <v>3</v>
      </c>
      <c r="K2066">
        <f>Сектора[[#This Row],[Значение]]</f>
        <v>40695</v>
      </c>
      <c r="L2066" t="str">
        <f t="shared" si="32"/>
        <v>INSERT INTO msfo.statements (id_company, id_year, id_showing, value) VALUES (17,0,3,40695);</v>
      </c>
    </row>
    <row r="2067" spans="1:12">
      <c r="A2067" s="28" t="s">
        <v>51</v>
      </c>
      <c r="B2067" s="28" t="s">
        <v>34</v>
      </c>
      <c r="C2067" s="28">
        <v>2011</v>
      </c>
      <c r="D2067" s="28" t="s">
        <v>1</v>
      </c>
      <c r="E2067" s="28" t="s">
        <v>5</v>
      </c>
      <c r="F2067" s="28">
        <v>53347</v>
      </c>
      <c r="H2067">
        <f>VLOOKUP(A2067&amp;B2067,ticker_sector[],2,FALSE)</f>
        <v>17</v>
      </c>
      <c r="I2067">
        <f>VLOOKUP(C2067,year[],2,FALSE)</f>
        <v>1</v>
      </c>
      <c r="J2067">
        <f>VLOOKUP(E2067,showing[],2,FALSE)</f>
        <v>3</v>
      </c>
      <c r="K2067">
        <f>Сектора[[#This Row],[Значение]]</f>
        <v>53347</v>
      </c>
      <c r="L2067" t="str">
        <f t="shared" si="32"/>
        <v>INSERT INTO msfo.statements (id_company, id_year, id_showing, value) VALUES (17,1,3,53347);</v>
      </c>
    </row>
    <row r="2068" spans="1:12">
      <c r="A2068" s="28" t="s">
        <v>51</v>
      </c>
      <c r="B2068" s="28" t="s">
        <v>34</v>
      </c>
      <c r="C2068" s="28">
        <v>2012</v>
      </c>
      <c r="D2068" s="28" t="s">
        <v>1</v>
      </c>
      <c r="E2068" s="28" t="s">
        <v>5</v>
      </c>
      <c r="F2068" s="28">
        <v>57945</v>
      </c>
      <c r="H2068">
        <f>VLOOKUP(A2068&amp;B2068,ticker_sector[],2,FALSE)</f>
        <v>17</v>
      </c>
      <c r="I2068">
        <f>VLOOKUP(C2068,year[],2,FALSE)</f>
        <v>2</v>
      </c>
      <c r="J2068">
        <f>VLOOKUP(E2068,showing[],2,FALSE)</f>
        <v>3</v>
      </c>
      <c r="K2068">
        <f>Сектора[[#This Row],[Значение]]</f>
        <v>57945</v>
      </c>
      <c r="L2068" t="str">
        <f t="shared" si="32"/>
        <v>INSERT INTO msfo.statements (id_company, id_year, id_showing, value) VALUES (17,2,3,57945);</v>
      </c>
    </row>
    <row r="2069" spans="1:12">
      <c r="A2069" s="28" t="s">
        <v>51</v>
      </c>
      <c r="B2069" s="28" t="s">
        <v>34</v>
      </c>
      <c r="C2069" s="28">
        <v>2013</v>
      </c>
      <c r="D2069" s="28" t="s">
        <v>1</v>
      </c>
      <c r="E2069" s="28" t="s">
        <v>5</v>
      </c>
      <c r="F2069" s="28">
        <v>64619</v>
      </c>
      <c r="H2069">
        <f>VLOOKUP(A2069&amp;B2069,ticker_sector[],2,FALSE)</f>
        <v>17</v>
      </c>
      <c r="I2069">
        <f>VLOOKUP(C2069,year[],2,FALSE)</f>
        <v>3</v>
      </c>
      <c r="J2069">
        <f>VLOOKUP(E2069,showing[],2,FALSE)</f>
        <v>3</v>
      </c>
      <c r="K2069">
        <f>Сектора[[#This Row],[Значение]]</f>
        <v>64619</v>
      </c>
      <c r="L2069" t="str">
        <f t="shared" si="32"/>
        <v>INSERT INTO msfo.statements (id_company, id_year, id_showing, value) VALUES (17,3,3,64619);</v>
      </c>
    </row>
    <row r="2070" spans="1:12">
      <c r="A2070" s="28" t="s">
        <v>51</v>
      </c>
      <c r="B2070" s="28" t="s">
        <v>34</v>
      </c>
      <c r="C2070" s="28">
        <v>2014</v>
      </c>
      <c r="D2070" s="28" t="s">
        <v>1</v>
      </c>
      <c r="E2070" s="28" t="s">
        <v>5</v>
      </c>
      <c r="F2070" s="28">
        <v>91518</v>
      </c>
      <c r="H2070">
        <f>VLOOKUP(A2070&amp;B2070,ticker_sector[],2,FALSE)</f>
        <v>17</v>
      </c>
      <c r="I2070">
        <f>VLOOKUP(C2070,year[],2,FALSE)</f>
        <v>4</v>
      </c>
      <c r="J2070">
        <f>VLOOKUP(E2070,showing[],2,FALSE)</f>
        <v>3</v>
      </c>
      <c r="K2070">
        <f>Сектора[[#This Row],[Значение]]</f>
        <v>91518</v>
      </c>
      <c r="L2070" t="str">
        <f t="shared" si="32"/>
        <v>INSERT INTO msfo.statements (id_company, id_year, id_showing, value) VALUES (17,4,3,91518);</v>
      </c>
    </row>
    <row r="2071" spans="1:12">
      <c r="A2071" s="28" t="s">
        <v>51</v>
      </c>
      <c r="B2071" s="28" t="s">
        <v>34</v>
      </c>
      <c r="C2071" s="28">
        <v>2015</v>
      </c>
      <c r="D2071" s="28" t="s">
        <v>1</v>
      </c>
      <c r="E2071" s="28" t="s">
        <v>5</v>
      </c>
      <c r="F2071" s="28">
        <v>87607</v>
      </c>
      <c r="H2071">
        <f>VLOOKUP(A2071&amp;B2071,ticker_sector[],2,FALSE)</f>
        <v>17</v>
      </c>
      <c r="I2071">
        <f>VLOOKUP(C2071,year[],2,FALSE)</f>
        <v>5</v>
      </c>
      <c r="J2071">
        <f>VLOOKUP(E2071,showing[],2,FALSE)</f>
        <v>3</v>
      </c>
      <c r="K2071">
        <f>Сектора[[#This Row],[Значение]]</f>
        <v>87607</v>
      </c>
      <c r="L2071" t="str">
        <f t="shared" si="32"/>
        <v>INSERT INTO msfo.statements (id_company, id_year, id_showing, value) VALUES (17,5,3,87607);</v>
      </c>
    </row>
    <row r="2072" spans="1:12">
      <c r="A2072" s="28" t="s">
        <v>51</v>
      </c>
      <c r="B2072" s="28" t="s">
        <v>34</v>
      </c>
      <c r="C2072" s="28">
        <v>2016</v>
      </c>
      <c r="D2072" s="28" t="s">
        <v>1</v>
      </c>
      <c r="E2072" s="28" t="s">
        <v>5</v>
      </c>
      <c r="F2072" s="28">
        <v>100301</v>
      </c>
      <c r="H2072">
        <f>VLOOKUP(A2072&amp;B2072,ticker_sector[],2,FALSE)</f>
        <v>17</v>
      </c>
      <c r="I2072">
        <f>VLOOKUP(C2072,year[],2,FALSE)</f>
        <v>6</v>
      </c>
      <c r="J2072">
        <f>VLOOKUP(E2072,showing[],2,FALSE)</f>
        <v>3</v>
      </c>
      <c r="K2072">
        <f>Сектора[[#This Row],[Значение]]</f>
        <v>100301</v>
      </c>
      <c r="L2072" t="str">
        <f t="shared" si="32"/>
        <v>INSERT INTO msfo.statements (id_company, id_year, id_showing, value) VALUES (17,6,3,100301);</v>
      </c>
    </row>
    <row r="2073" spans="1:12">
      <c r="A2073" s="28" t="s">
        <v>51</v>
      </c>
      <c r="B2073" s="28" t="s">
        <v>34</v>
      </c>
      <c r="C2073" s="28">
        <v>2017</v>
      </c>
      <c r="D2073" s="28" t="s">
        <v>1</v>
      </c>
      <c r="E2073" s="28" t="s">
        <v>5</v>
      </c>
      <c r="F2073" s="28">
        <v>121525</v>
      </c>
      <c r="H2073">
        <f>VLOOKUP(A2073&amp;B2073,ticker_sector[],2,FALSE)</f>
        <v>17</v>
      </c>
      <c r="I2073">
        <f>VLOOKUP(C2073,year[],2,FALSE)</f>
        <v>7</v>
      </c>
      <c r="J2073">
        <f>VLOOKUP(E2073,showing[],2,FALSE)</f>
        <v>3</v>
      </c>
      <c r="K2073">
        <f>Сектора[[#This Row],[Значение]]</f>
        <v>121525</v>
      </c>
      <c r="L2073" t="str">
        <f t="shared" si="32"/>
        <v>INSERT INTO msfo.statements (id_company, id_year, id_showing, value) VALUES (17,7,3,121525);</v>
      </c>
    </row>
    <row r="2074" spans="1:12">
      <c r="A2074" s="28" t="s">
        <v>51</v>
      </c>
      <c r="B2074" s="28" t="s">
        <v>34</v>
      </c>
      <c r="C2074" s="28">
        <v>2010</v>
      </c>
      <c r="D2074" s="28" t="s">
        <v>1</v>
      </c>
      <c r="E2074" s="28" t="s">
        <v>6</v>
      </c>
      <c r="F2074" s="28">
        <v>10065</v>
      </c>
      <c r="H2074">
        <f>VLOOKUP(A2074&amp;B2074,ticker_sector[],2,FALSE)</f>
        <v>17</v>
      </c>
      <c r="I2074">
        <f>VLOOKUP(C2074,year[],2,FALSE)</f>
        <v>0</v>
      </c>
      <c r="J2074">
        <f>VLOOKUP(E2074,showing[],2,FALSE)</f>
        <v>4</v>
      </c>
      <c r="K2074">
        <f>Сектора[[#This Row],[Значение]]</f>
        <v>10065</v>
      </c>
      <c r="L2074" t="str">
        <f t="shared" si="32"/>
        <v>INSERT INTO msfo.statements (id_company, id_year, id_showing, value) VALUES (17,0,4,10065);</v>
      </c>
    </row>
    <row r="2075" spans="1:12">
      <c r="A2075" s="28" t="s">
        <v>51</v>
      </c>
      <c r="B2075" s="28" t="s">
        <v>34</v>
      </c>
      <c r="C2075" s="28">
        <v>2011</v>
      </c>
      <c r="D2075" s="28" t="s">
        <v>1</v>
      </c>
      <c r="E2075" s="28" t="s">
        <v>6</v>
      </c>
      <c r="F2075" s="28">
        <v>12827</v>
      </c>
      <c r="H2075">
        <f>VLOOKUP(A2075&amp;B2075,ticker_sector[],2,FALSE)</f>
        <v>17</v>
      </c>
      <c r="I2075">
        <f>VLOOKUP(C2075,year[],2,FALSE)</f>
        <v>1</v>
      </c>
      <c r="J2075">
        <f>VLOOKUP(E2075,showing[],2,FALSE)</f>
        <v>4</v>
      </c>
      <c r="K2075">
        <f>Сектора[[#This Row],[Значение]]</f>
        <v>12827</v>
      </c>
      <c r="L2075" t="str">
        <f t="shared" si="32"/>
        <v>INSERT INTO msfo.statements (id_company, id_year, id_showing, value) VALUES (17,1,4,12827);</v>
      </c>
    </row>
    <row r="2076" spans="1:12">
      <c r="A2076" s="28" t="s">
        <v>51</v>
      </c>
      <c r="B2076" s="28" t="s">
        <v>34</v>
      </c>
      <c r="C2076" s="28">
        <v>2012</v>
      </c>
      <c r="D2076" s="28" t="s">
        <v>1</v>
      </c>
      <c r="E2076" s="28" t="s">
        <v>6</v>
      </c>
      <c r="F2076" s="28">
        <v>10692</v>
      </c>
      <c r="H2076">
        <f>VLOOKUP(A2076&amp;B2076,ticker_sector[],2,FALSE)</f>
        <v>17</v>
      </c>
      <c r="I2076">
        <f>VLOOKUP(C2076,year[],2,FALSE)</f>
        <v>2</v>
      </c>
      <c r="J2076">
        <f>VLOOKUP(E2076,showing[],2,FALSE)</f>
        <v>4</v>
      </c>
      <c r="K2076">
        <f>Сектора[[#This Row],[Значение]]</f>
        <v>10692</v>
      </c>
      <c r="L2076" t="str">
        <f t="shared" si="32"/>
        <v>INSERT INTO msfo.statements (id_company, id_year, id_showing, value) VALUES (17,2,4,10692);</v>
      </c>
    </row>
    <row r="2077" spans="1:12">
      <c r="A2077" s="28" t="s">
        <v>51</v>
      </c>
      <c r="B2077" s="28" t="s">
        <v>34</v>
      </c>
      <c r="C2077" s="28">
        <v>2013</v>
      </c>
      <c r="D2077" s="28" t="s">
        <v>1</v>
      </c>
      <c r="E2077" s="28" t="s">
        <v>6</v>
      </c>
      <c r="F2077" s="28">
        <v>13933</v>
      </c>
      <c r="H2077">
        <f>VLOOKUP(A2077&amp;B2077,ticker_sector[],2,FALSE)</f>
        <v>17</v>
      </c>
      <c r="I2077">
        <f>VLOOKUP(C2077,year[],2,FALSE)</f>
        <v>3</v>
      </c>
      <c r="J2077">
        <f>VLOOKUP(E2077,showing[],2,FALSE)</f>
        <v>4</v>
      </c>
      <c r="K2077">
        <f>Сектора[[#This Row],[Значение]]</f>
        <v>13933</v>
      </c>
      <c r="L2077" t="str">
        <f t="shared" si="32"/>
        <v>INSERT INTO msfo.statements (id_company, id_year, id_showing, value) VALUES (17,3,4,13933);</v>
      </c>
    </row>
    <row r="2078" spans="1:12">
      <c r="A2078" s="28" t="s">
        <v>51</v>
      </c>
      <c r="B2078" s="28" t="s">
        <v>34</v>
      </c>
      <c r="C2078" s="28">
        <v>2014</v>
      </c>
      <c r="D2078" s="28" t="s">
        <v>1</v>
      </c>
      <c r="E2078" s="28" t="s">
        <v>6</v>
      </c>
      <c r="F2078" s="28">
        <v>14348</v>
      </c>
      <c r="H2078">
        <f>VLOOKUP(A2078&amp;B2078,ticker_sector[],2,FALSE)</f>
        <v>17</v>
      </c>
      <c r="I2078">
        <f>VLOOKUP(C2078,year[],2,FALSE)</f>
        <v>4</v>
      </c>
      <c r="J2078">
        <f>VLOOKUP(E2078,showing[],2,FALSE)</f>
        <v>4</v>
      </c>
      <c r="K2078">
        <f>Сектора[[#This Row],[Значение]]</f>
        <v>14348</v>
      </c>
      <c r="L2078" t="str">
        <f t="shared" si="32"/>
        <v>INSERT INTO msfo.statements (id_company, id_year, id_showing, value) VALUES (17,4,4,14348);</v>
      </c>
    </row>
    <row r="2079" spans="1:12">
      <c r="A2079" s="28" t="s">
        <v>51</v>
      </c>
      <c r="B2079" s="28" t="s">
        <v>34</v>
      </c>
      <c r="C2079" s="28">
        <v>2015</v>
      </c>
      <c r="D2079" s="28" t="s">
        <v>1</v>
      </c>
      <c r="E2079" s="28" t="s">
        <v>6</v>
      </c>
      <c r="F2079" s="28">
        <v>13995</v>
      </c>
      <c r="H2079">
        <f>VLOOKUP(A2079&amp;B2079,ticker_sector[],2,FALSE)</f>
        <v>17</v>
      </c>
      <c r="I2079">
        <f>VLOOKUP(C2079,year[],2,FALSE)</f>
        <v>5</v>
      </c>
      <c r="J2079">
        <f>VLOOKUP(E2079,showing[],2,FALSE)</f>
        <v>4</v>
      </c>
      <c r="K2079">
        <f>Сектора[[#This Row],[Значение]]</f>
        <v>13995</v>
      </c>
      <c r="L2079" t="str">
        <f t="shared" si="32"/>
        <v>INSERT INTO msfo.statements (id_company, id_year, id_showing, value) VALUES (17,5,4,13995);</v>
      </c>
    </row>
    <row r="2080" spans="1:12">
      <c r="A2080" s="28" t="s">
        <v>51</v>
      </c>
      <c r="B2080" s="28" t="s">
        <v>34</v>
      </c>
      <c r="C2080" s="28">
        <v>2016</v>
      </c>
      <c r="D2080" s="28" t="s">
        <v>1</v>
      </c>
      <c r="E2080" s="28" t="s">
        <v>6</v>
      </c>
      <c r="F2080" s="28">
        <v>15951</v>
      </c>
      <c r="H2080">
        <f>VLOOKUP(A2080&amp;B2080,ticker_sector[],2,FALSE)</f>
        <v>17</v>
      </c>
      <c r="I2080">
        <f>VLOOKUP(C2080,year[],2,FALSE)</f>
        <v>6</v>
      </c>
      <c r="J2080">
        <f>VLOOKUP(E2080,showing[],2,FALSE)</f>
        <v>4</v>
      </c>
      <c r="K2080">
        <f>Сектора[[#This Row],[Значение]]</f>
        <v>15951</v>
      </c>
      <c r="L2080" t="str">
        <f t="shared" si="32"/>
        <v>INSERT INTO msfo.statements (id_company, id_year, id_showing, value) VALUES (17,6,4,15951);</v>
      </c>
    </row>
    <row r="2081" spans="1:12">
      <c r="A2081" s="28" t="s">
        <v>51</v>
      </c>
      <c r="B2081" s="28" t="s">
        <v>34</v>
      </c>
      <c r="C2081" s="28">
        <v>2017</v>
      </c>
      <c r="D2081" s="28" t="s">
        <v>1</v>
      </c>
      <c r="E2081" s="28" t="s">
        <v>6</v>
      </c>
      <c r="F2081" s="28">
        <v>23154</v>
      </c>
      <c r="H2081">
        <f>VLOOKUP(A2081&amp;B2081,ticker_sector[],2,FALSE)</f>
        <v>17</v>
      </c>
      <c r="I2081">
        <f>VLOOKUP(C2081,year[],2,FALSE)</f>
        <v>7</v>
      </c>
      <c r="J2081">
        <f>VLOOKUP(E2081,showing[],2,FALSE)</f>
        <v>4</v>
      </c>
      <c r="K2081">
        <f>Сектора[[#This Row],[Значение]]</f>
        <v>23154</v>
      </c>
      <c r="L2081" t="str">
        <f t="shared" si="32"/>
        <v>INSERT INTO msfo.statements (id_company, id_year, id_showing, value) VALUES (17,7,4,23154);</v>
      </c>
    </row>
    <row r="2082" spans="1:12">
      <c r="A2082" s="28" t="s">
        <v>51</v>
      </c>
      <c r="B2082" s="28" t="s">
        <v>34</v>
      </c>
      <c r="C2082" s="28">
        <v>2010</v>
      </c>
      <c r="D2082" s="28" t="s">
        <v>1</v>
      </c>
      <c r="E2082" s="28" t="s">
        <v>8</v>
      </c>
      <c r="F2082" s="28">
        <v>474</v>
      </c>
      <c r="H2082">
        <f>VLOOKUP(A2082&amp;B2082,ticker_sector[],2,FALSE)</f>
        <v>17</v>
      </c>
      <c r="I2082">
        <f>VLOOKUP(C2082,year[],2,FALSE)</f>
        <v>0</v>
      </c>
      <c r="J2082">
        <f>VLOOKUP(E2082,showing[],2,FALSE)</f>
        <v>5</v>
      </c>
      <c r="K2082">
        <f>Сектора[[#This Row],[Значение]]</f>
        <v>474</v>
      </c>
      <c r="L2082" t="str">
        <f t="shared" si="32"/>
        <v>INSERT INTO msfo.statements (id_company, id_year, id_showing, value) VALUES (17,0,5,474);</v>
      </c>
    </row>
    <row r="2083" spans="1:12">
      <c r="A2083" s="28" t="s">
        <v>51</v>
      </c>
      <c r="B2083" s="28" t="s">
        <v>34</v>
      </c>
      <c r="C2083" s="28">
        <v>2011</v>
      </c>
      <c r="D2083" s="28" t="s">
        <v>1</v>
      </c>
      <c r="E2083" s="28" t="s">
        <v>8</v>
      </c>
      <c r="F2083" s="28">
        <v>417</v>
      </c>
      <c r="H2083">
        <f>VLOOKUP(A2083&amp;B2083,ticker_sector[],2,FALSE)</f>
        <v>17</v>
      </c>
      <c r="I2083">
        <f>VLOOKUP(C2083,year[],2,FALSE)</f>
        <v>1</v>
      </c>
      <c r="J2083">
        <f>VLOOKUP(E2083,showing[],2,FALSE)</f>
        <v>5</v>
      </c>
      <c r="K2083">
        <f>Сектора[[#This Row],[Значение]]</f>
        <v>417</v>
      </c>
      <c r="L2083" t="str">
        <f t="shared" si="32"/>
        <v>INSERT INTO msfo.statements (id_company, id_year, id_showing, value) VALUES (17,1,5,417);</v>
      </c>
    </row>
    <row r="2084" spans="1:12">
      <c r="A2084" s="28" t="s">
        <v>51</v>
      </c>
      <c r="B2084" s="28" t="s">
        <v>34</v>
      </c>
      <c r="C2084" s="28">
        <v>2012</v>
      </c>
      <c r="D2084" s="28" t="s">
        <v>1</v>
      </c>
      <c r="E2084" s="28" t="s">
        <v>8</v>
      </c>
      <c r="F2084" s="28">
        <v>208</v>
      </c>
      <c r="H2084">
        <f>VLOOKUP(A2084&amp;B2084,ticker_sector[],2,FALSE)</f>
        <v>17</v>
      </c>
      <c r="I2084">
        <f>VLOOKUP(C2084,year[],2,FALSE)</f>
        <v>2</v>
      </c>
      <c r="J2084">
        <f>VLOOKUP(E2084,showing[],2,FALSE)</f>
        <v>5</v>
      </c>
      <c r="K2084">
        <f>Сектора[[#This Row],[Значение]]</f>
        <v>208</v>
      </c>
      <c r="L2084" t="str">
        <f t="shared" si="32"/>
        <v>INSERT INTO msfo.statements (id_company, id_year, id_showing, value) VALUES (17,2,5,208);</v>
      </c>
    </row>
    <row r="2085" spans="1:12">
      <c r="A2085" s="28" t="s">
        <v>51</v>
      </c>
      <c r="B2085" s="28" t="s">
        <v>34</v>
      </c>
      <c r="C2085" s="28">
        <v>2013</v>
      </c>
      <c r="D2085" s="28" t="s">
        <v>1</v>
      </c>
      <c r="E2085" s="28" t="s">
        <v>8</v>
      </c>
      <c r="F2085" s="28">
        <v>83</v>
      </c>
      <c r="H2085">
        <f>VLOOKUP(A2085&amp;B2085,ticker_sector[],2,FALSE)</f>
        <v>17</v>
      </c>
      <c r="I2085">
        <f>VLOOKUP(C2085,year[],2,FALSE)</f>
        <v>3</v>
      </c>
      <c r="J2085">
        <f>VLOOKUP(E2085,showing[],2,FALSE)</f>
        <v>5</v>
      </c>
      <c r="K2085">
        <f>Сектора[[#This Row],[Значение]]</f>
        <v>83</v>
      </c>
      <c r="L2085" t="str">
        <f t="shared" si="32"/>
        <v>INSERT INTO msfo.statements (id_company, id_year, id_showing, value) VALUES (17,3,5,83);</v>
      </c>
    </row>
    <row r="2086" spans="1:12">
      <c r="A2086" s="28" t="s">
        <v>51</v>
      </c>
      <c r="B2086" s="28" t="s">
        <v>34</v>
      </c>
      <c r="C2086" s="28">
        <v>2014</v>
      </c>
      <c r="D2086" s="28" t="s">
        <v>1</v>
      </c>
      <c r="E2086" s="28" t="s">
        <v>8</v>
      </c>
      <c r="F2086" s="28">
        <v>5</v>
      </c>
      <c r="H2086">
        <f>VLOOKUP(A2086&amp;B2086,ticker_sector[],2,FALSE)</f>
        <v>17</v>
      </c>
      <c r="I2086">
        <f>VLOOKUP(C2086,year[],2,FALSE)</f>
        <v>4</v>
      </c>
      <c r="J2086">
        <f>VLOOKUP(E2086,showing[],2,FALSE)</f>
        <v>5</v>
      </c>
      <c r="K2086">
        <f>Сектора[[#This Row],[Значение]]</f>
        <v>5</v>
      </c>
      <c r="L2086" t="str">
        <f t="shared" si="32"/>
        <v>INSERT INTO msfo.statements (id_company, id_year, id_showing, value) VALUES (17,4,5,5);</v>
      </c>
    </row>
    <row r="2087" spans="1:12">
      <c r="A2087" s="28" t="s">
        <v>51</v>
      </c>
      <c r="B2087" s="28" t="s">
        <v>34</v>
      </c>
      <c r="C2087" s="28">
        <v>2015</v>
      </c>
      <c r="D2087" s="28" t="s">
        <v>1</v>
      </c>
      <c r="E2087" s="28" t="s">
        <v>8</v>
      </c>
      <c r="F2087" s="28">
        <v>72</v>
      </c>
      <c r="H2087">
        <f>VLOOKUP(A2087&amp;B2087,ticker_sector[],2,FALSE)</f>
        <v>17</v>
      </c>
      <c r="I2087">
        <f>VLOOKUP(C2087,year[],2,FALSE)</f>
        <v>5</v>
      </c>
      <c r="J2087">
        <f>VLOOKUP(E2087,showing[],2,FALSE)</f>
        <v>5</v>
      </c>
      <c r="K2087">
        <f>Сектора[[#This Row],[Значение]]</f>
        <v>72</v>
      </c>
      <c r="L2087" t="str">
        <f t="shared" si="32"/>
        <v>INSERT INTO msfo.statements (id_company, id_year, id_showing, value) VALUES (17,5,5,72);</v>
      </c>
    </row>
    <row r="2088" spans="1:12">
      <c r="A2088" s="28" t="s">
        <v>51</v>
      </c>
      <c r="B2088" s="28" t="s">
        <v>34</v>
      </c>
      <c r="C2088" s="28">
        <v>2016</v>
      </c>
      <c r="D2088" s="28" t="s">
        <v>1</v>
      </c>
      <c r="E2088" s="28" t="s">
        <v>8</v>
      </c>
      <c r="F2088" s="28">
        <v>75</v>
      </c>
      <c r="H2088">
        <f>VLOOKUP(A2088&amp;B2088,ticker_sector[],2,FALSE)</f>
        <v>17</v>
      </c>
      <c r="I2088">
        <f>VLOOKUP(C2088,year[],2,FALSE)</f>
        <v>6</v>
      </c>
      <c r="J2088">
        <f>VLOOKUP(E2088,showing[],2,FALSE)</f>
        <v>5</v>
      </c>
      <c r="K2088">
        <f>Сектора[[#This Row],[Значение]]</f>
        <v>75</v>
      </c>
      <c r="L2088" t="str">
        <f t="shared" si="32"/>
        <v>INSERT INTO msfo.statements (id_company, id_year, id_showing, value) VALUES (17,6,5,75);</v>
      </c>
    </row>
    <row r="2089" spans="1:12">
      <c r="A2089" s="28" t="s">
        <v>51</v>
      </c>
      <c r="B2089" s="28" t="s">
        <v>34</v>
      </c>
      <c r="C2089" s="28">
        <v>2017</v>
      </c>
      <c r="D2089" s="28" t="s">
        <v>1</v>
      </c>
      <c r="E2089" s="28" t="s">
        <v>8</v>
      </c>
      <c r="F2089" s="28">
        <v>4</v>
      </c>
      <c r="H2089">
        <f>VLOOKUP(A2089&amp;B2089,ticker_sector[],2,FALSE)</f>
        <v>17</v>
      </c>
      <c r="I2089">
        <f>VLOOKUP(C2089,year[],2,FALSE)</f>
        <v>7</v>
      </c>
      <c r="J2089">
        <f>VLOOKUP(E2089,showing[],2,FALSE)</f>
        <v>5</v>
      </c>
      <c r="K2089">
        <f>Сектора[[#This Row],[Значение]]</f>
        <v>4</v>
      </c>
      <c r="L2089" t="str">
        <f t="shared" si="32"/>
        <v>INSERT INTO msfo.statements (id_company, id_year, id_showing, value) VALUES (17,7,5,4);</v>
      </c>
    </row>
    <row r="2090" spans="1:12">
      <c r="A2090" s="28" t="s">
        <v>51</v>
      </c>
      <c r="B2090" s="28" t="s">
        <v>34</v>
      </c>
      <c r="C2090" s="28">
        <v>2010</v>
      </c>
      <c r="D2090" s="28" t="s">
        <v>1</v>
      </c>
      <c r="E2090" s="28" t="s">
        <v>9</v>
      </c>
      <c r="F2090" s="28">
        <v>30156</v>
      </c>
      <c r="H2090">
        <f>VLOOKUP(A2090&amp;B2090,ticker_sector[],2,FALSE)</f>
        <v>17</v>
      </c>
      <c r="I2090">
        <f>VLOOKUP(C2090,year[],2,FALSE)</f>
        <v>0</v>
      </c>
      <c r="J2090">
        <f>VLOOKUP(E2090,showing[],2,FALSE)</f>
        <v>6</v>
      </c>
      <c r="K2090">
        <f>Сектора[[#This Row],[Значение]]</f>
        <v>30156</v>
      </c>
      <c r="L2090" t="str">
        <f t="shared" si="32"/>
        <v>INSERT INTO msfo.statements (id_company, id_year, id_showing, value) VALUES (17,0,6,30156);</v>
      </c>
    </row>
    <row r="2091" spans="1:12">
      <c r="A2091" s="28" t="s">
        <v>51</v>
      </c>
      <c r="B2091" s="28" t="s">
        <v>34</v>
      </c>
      <c r="C2091" s="28">
        <v>2011</v>
      </c>
      <c r="D2091" s="28" t="s">
        <v>1</v>
      </c>
      <c r="E2091" s="28" t="s">
        <v>9</v>
      </c>
      <c r="F2091" s="28">
        <v>40103</v>
      </c>
      <c r="H2091">
        <f>VLOOKUP(A2091&amp;B2091,ticker_sector[],2,FALSE)</f>
        <v>17</v>
      </c>
      <c r="I2091">
        <f>VLOOKUP(C2091,year[],2,FALSE)</f>
        <v>1</v>
      </c>
      <c r="J2091">
        <f>VLOOKUP(E2091,showing[],2,FALSE)</f>
        <v>6</v>
      </c>
      <c r="K2091">
        <f>Сектора[[#This Row],[Значение]]</f>
        <v>40103</v>
      </c>
      <c r="L2091" t="str">
        <f t="shared" si="32"/>
        <v>INSERT INTO msfo.statements (id_company, id_year, id_showing, value) VALUES (17,1,6,40103);</v>
      </c>
    </row>
    <row r="2092" spans="1:12">
      <c r="A2092" s="28" t="s">
        <v>51</v>
      </c>
      <c r="B2092" s="28" t="s">
        <v>34</v>
      </c>
      <c r="C2092" s="28">
        <v>2012</v>
      </c>
      <c r="D2092" s="28" t="s">
        <v>1</v>
      </c>
      <c r="E2092" s="28" t="s">
        <v>9</v>
      </c>
      <c r="F2092" s="28">
        <v>47045</v>
      </c>
      <c r="H2092">
        <f>VLOOKUP(A2092&amp;B2092,ticker_sector[],2,FALSE)</f>
        <v>17</v>
      </c>
      <c r="I2092">
        <f>VLOOKUP(C2092,year[],2,FALSE)</f>
        <v>2</v>
      </c>
      <c r="J2092">
        <f>VLOOKUP(E2092,showing[],2,FALSE)</f>
        <v>6</v>
      </c>
      <c r="K2092">
        <f>Сектора[[#This Row],[Значение]]</f>
        <v>47045</v>
      </c>
      <c r="L2092" t="str">
        <f t="shared" si="32"/>
        <v>INSERT INTO msfo.statements (id_company, id_year, id_showing, value) VALUES (17,2,6,47045);</v>
      </c>
    </row>
    <row r="2093" spans="1:12">
      <c r="A2093" s="28" t="s">
        <v>51</v>
      </c>
      <c r="B2093" s="28" t="s">
        <v>34</v>
      </c>
      <c r="C2093" s="28">
        <v>2013</v>
      </c>
      <c r="D2093" s="28" t="s">
        <v>1</v>
      </c>
      <c r="E2093" s="28" t="s">
        <v>9</v>
      </c>
      <c r="F2093" s="28">
        <v>50603</v>
      </c>
      <c r="H2093">
        <f>VLOOKUP(A2093&amp;B2093,ticker_sector[],2,FALSE)</f>
        <v>17</v>
      </c>
      <c r="I2093">
        <f>VLOOKUP(C2093,year[],2,FALSE)</f>
        <v>3</v>
      </c>
      <c r="J2093">
        <f>VLOOKUP(E2093,showing[],2,FALSE)</f>
        <v>6</v>
      </c>
      <c r="K2093">
        <f>Сектора[[#This Row],[Значение]]</f>
        <v>50603</v>
      </c>
      <c r="L2093" t="str">
        <f t="shared" si="32"/>
        <v>INSERT INTO msfo.statements (id_company, id_year, id_showing, value) VALUES (17,3,6,50603);</v>
      </c>
    </row>
    <row r="2094" spans="1:12">
      <c r="A2094" s="28" t="s">
        <v>51</v>
      </c>
      <c r="B2094" s="28" t="s">
        <v>34</v>
      </c>
      <c r="C2094" s="28">
        <v>2014</v>
      </c>
      <c r="D2094" s="28" t="s">
        <v>1</v>
      </c>
      <c r="E2094" s="28" t="s">
        <v>9</v>
      </c>
      <c r="F2094" s="28">
        <v>77165</v>
      </c>
      <c r="H2094">
        <f>VLOOKUP(A2094&amp;B2094,ticker_sector[],2,FALSE)</f>
        <v>17</v>
      </c>
      <c r="I2094">
        <f>VLOOKUP(C2094,year[],2,FALSE)</f>
        <v>4</v>
      </c>
      <c r="J2094">
        <f>VLOOKUP(E2094,showing[],2,FALSE)</f>
        <v>6</v>
      </c>
      <c r="K2094">
        <f>Сектора[[#This Row],[Значение]]</f>
        <v>77165</v>
      </c>
      <c r="L2094" t="str">
        <f t="shared" si="32"/>
        <v>INSERT INTO msfo.statements (id_company, id_year, id_showing, value) VALUES (17,4,6,77165);</v>
      </c>
    </row>
    <row r="2095" spans="1:12">
      <c r="A2095" s="28" t="s">
        <v>51</v>
      </c>
      <c r="B2095" s="28" t="s">
        <v>34</v>
      </c>
      <c r="C2095" s="28">
        <v>2015</v>
      </c>
      <c r="D2095" s="28" t="s">
        <v>1</v>
      </c>
      <c r="E2095" s="28" t="s">
        <v>9</v>
      </c>
      <c r="F2095" s="28">
        <v>73540</v>
      </c>
      <c r="H2095">
        <f>VLOOKUP(A2095&amp;B2095,ticker_sector[],2,FALSE)</f>
        <v>17</v>
      </c>
      <c r="I2095">
        <f>VLOOKUP(C2095,year[],2,FALSE)</f>
        <v>5</v>
      </c>
      <c r="J2095">
        <f>VLOOKUP(E2095,showing[],2,FALSE)</f>
        <v>6</v>
      </c>
      <c r="K2095">
        <f>Сектора[[#This Row],[Значение]]</f>
        <v>73540</v>
      </c>
      <c r="L2095" t="str">
        <f t="shared" si="32"/>
        <v>INSERT INTO msfo.statements (id_company, id_year, id_showing, value) VALUES (17,5,6,73540);</v>
      </c>
    </row>
    <row r="2096" spans="1:12">
      <c r="A2096" s="28" t="s">
        <v>51</v>
      </c>
      <c r="B2096" s="28" t="s">
        <v>34</v>
      </c>
      <c r="C2096" s="28">
        <v>2016</v>
      </c>
      <c r="D2096" s="28" t="s">
        <v>1</v>
      </c>
      <c r="E2096" s="28" t="s">
        <v>9</v>
      </c>
      <c r="F2096" s="28">
        <v>84275</v>
      </c>
      <c r="H2096">
        <f>VLOOKUP(A2096&amp;B2096,ticker_sector[],2,FALSE)</f>
        <v>17</v>
      </c>
      <c r="I2096">
        <f>VLOOKUP(C2096,year[],2,FALSE)</f>
        <v>6</v>
      </c>
      <c r="J2096">
        <f>VLOOKUP(E2096,showing[],2,FALSE)</f>
        <v>6</v>
      </c>
      <c r="K2096">
        <f>Сектора[[#This Row],[Значение]]</f>
        <v>84275</v>
      </c>
      <c r="L2096" t="str">
        <f t="shared" si="32"/>
        <v>INSERT INTO msfo.statements (id_company, id_year, id_showing, value) VALUES (17,6,6,84275);</v>
      </c>
    </row>
    <row r="2097" spans="1:12">
      <c r="A2097" s="28" t="s">
        <v>51</v>
      </c>
      <c r="B2097" s="28" t="s">
        <v>34</v>
      </c>
      <c r="C2097" s="28">
        <v>2017</v>
      </c>
      <c r="D2097" s="28" t="s">
        <v>1</v>
      </c>
      <c r="E2097" s="28" t="s">
        <v>9</v>
      </c>
      <c r="F2097" s="28">
        <v>98367</v>
      </c>
      <c r="H2097">
        <f>VLOOKUP(A2097&amp;B2097,ticker_sector[],2,FALSE)</f>
        <v>17</v>
      </c>
      <c r="I2097">
        <f>VLOOKUP(C2097,year[],2,FALSE)</f>
        <v>7</v>
      </c>
      <c r="J2097">
        <f>VLOOKUP(E2097,showing[],2,FALSE)</f>
        <v>6</v>
      </c>
      <c r="K2097">
        <f>Сектора[[#This Row],[Значение]]</f>
        <v>98367</v>
      </c>
      <c r="L2097" t="str">
        <f t="shared" si="32"/>
        <v>INSERT INTO msfo.statements (id_company, id_year, id_showing, value) VALUES (17,7,6,98367);</v>
      </c>
    </row>
    <row r="2098" spans="1:12">
      <c r="A2098" s="28" t="s">
        <v>51</v>
      </c>
      <c r="B2098" s="28" t="s">
        <v>34</v>
      </c>
      <c r="C2098" s="28">
        <v>2010</v>
      </c>
      <c r="D2098" s="28" t="s">
        <v>1</v>
      </c>
      <c r="E2098" s="28" t="s">
        <v>10</v>
      </c>
      <c r="F2098" s="28">
        <v>40695</v>
      </c>
      <c r="H2098">
        <f>VLOOKUP(A2098&amp;B2098,ticker_sector[],2,FALSE)</f>
        <v>17</v>
      </c>
      <c r="I2098">
        <f>VLOOKUP(C2098,year[],2,FALSE)</f>
        <v>0</v>
      </c>
      <c r="J2098">
        <f>VLOOKUP(E2098,showing[],2,FALSE)</f>
        <v>7</v>
      </c>
      <c r="K2098">
        <f>Сектора[[#This Row],[Значение]]</f>
        <v>40695</v>
      </c>
      <c r="L2098" t="str">
        <f t="shared" si="32"/>
        <v>INSERT INTO msfo.statements (id_company, id_year, id_showing, value) VALUES (17,0,7,40695);</v>
      </c>
    </row>
    <row r="2099" spans="1:12">
      <c r="A2099" s="28" t="s">
        <v>51</v>
      </c>
      <c r="B2099" s="28" t="s">
        <v>34</v>
      </c>
      <c r="C2099" s="28">
        <v>2011</v>
      </c>
      <c r="D2099" s="28" t="s">
        <v>1</v>
      </c>
      <c r="E2099" s="28" t="s">
        <v>10</v>
      </c>
      <c r="F2099" s="28">
        <v>53347</v>
      </c>
      <c r="H2099">
        <f>VLOOKUP(A2099&amp;B2099,ticker_sector[],2,FALSE)</f>
        <v>17</v>
      </c>
      <c r="I2099">
        <f>VLOOKUP(C2099,year[],2,FALSE)</f>
        <v>1</v>
      </c>
      <c r="J2099">
        <f>VLOOKUP(E2099,showing[],2,FALSE)</f>
        <v>7</v>
      </c>
      <c r="K2099">
        <f>Сектора[[#This Row],[Значение]]</f>
        <v>53347</v>
      </c>
      <c r="L2099" t="str">
        <f t="shared" si="32"/>
        <v>INSERT INTO msfo.statements (id_company, id_year, id_showing, value) VALUES (17,1,7,53347);</v>
      </c>
    </row>
    <row r="2100" spans="1:12">
      <c r="A2100" s="28" t="s">
        <v>51</v>
      </c>
      <c r="B2100" s="28" t="s">
        <v>34</v>
      </c>
      <c r="C2100" s="28">
        <v>2012</v>
      </c>
      <c r="D2100" s="28" t="s">
        <v>1</v>
      </c>
      <c r="E2100" s="28" t="s">
        <v>10</v>
      </c>
      <c r="F2100" s="28">
        <v>57945</v>
      </c>
      <c r="H2100">
        <f>VLOOKUP(A2100&amp;B2100,ticker_sector[],2,FALSE)</f>
        <v>17</v>
      </c>
      <c r="I2100">
        <f>VLOOKUP(C2100,year[],2,FALSE)</f>
        <v>2</v>
      </c>
      <c r="J2100">
        <f>VLOOKUP(E2100,showing[],2,FALSE)</f>
        <v>7</v>
      </c>
      <c r="K2100">
        <f>Сектора[[#This Row],[Значение]]</f>
        <v>57945</v>
      </c>
      <c r="L2100" t="str">
        <f t="shared" si="32"/>
        <v>INSERT INTO msfo.statements (id_company, id_year, id_showing, value) VALUES (17,2,7,57945);</v>
      </c>
    </row>
    <row r="2101" spans="1:12">
      <c r="A2101" s="28" t="s">
        <v>51</v>
      </c>
      <c r="B2101" s="28" t="s">
        <v>34</v>
      </c>
      <c r="C2101" s="28">
        <v>2013</v>
      </c>
      <c r="D2101" s="28" t="s">
        <v>1</v>
      </c>
      <c r="E2101" s="28" t="s">
        <v>10</v>
      </c>
      <c r="F2101" s="28">
        <v>64619</v>
      </c>
      <c r="H2101">
        <f>VLOOKUP(A2101&amp;B2101,ticker_sector[],2,FALSE)</f>
        <v>17</v>
      </c>
      <c r="I2101">
        <f>VLOOKUP(C2101,year[],2,FALSE)</f>
        <v>3</v>
      </c>
      <c r="J2101">
        <f>VLOOKUP(E2101,showing[],2,FALSE)</f>
        <v>7</v>
      </c>
      <c r="K2101">
        <f>Сектора[[#This Row],[Значение]]</f>
        <v>64619</v>
      </c>
      <c r="L2101" t="str">
        <f t="shared" si="32"/>
        <v>INSERT INTO msfo.statements (id_company, id_year, id_showing, value) VALUES (17,3,7,64619);</v>
      </c>
    </row>
    <row r="2102" spans="1:12">
      <c r="A2102" s="28" t="s">
        <v>51</v>
      </c>
      <c r="B2102" s="28" t="s">
        <v>34</v>
      </c>
      <c r="C2102" s="28">
        <v>2014</v>
      </c>
      <c r="D2102" s="28" t="s">
        <v>1</v>
      </c>
      <c r="E2102" s="28" t="s">
        <v>10</v>
      </c>
      <c r="F2102" s="28">
        <v>91518</v>
      </c>
      <c r="H2102">
        <f>VLOOKUP(A2102&amp;B2102,ticker_sector[],2,FALSE)</f>
        <v>17</v>
      </c>
      <c r="I2102">
        <f>VLOOKUP(C2102,year[],2,FALSE)</f>
        <v>4</v>
      </c>
      <c r="J2102">
        <f>VLOOKUP(E2102,showing[],2,FALSE)</f>
        <v>7</v>
      </c>
      <c r="K2102">
        <f>Сектора[[#This Row],[Значение]]</f>
        <v>91518</v>
      </c>
      <c r="L2102" t="str">
        <f t="shared" si="32"/>
        <v>INSERT INTO msfo.statements (id_company, id_year, id_showing, value) VALUES (17,4,7,91518);</v>
      </c>
    </row>
    <row r="2103" spans="1:12">
      <c r="A2103" s="28" t="s">
        <v>51</v>
      </c>
      <c r="B2103" s="28" t="s">
        <v>34</v>
      </c>
      <c r="C2103" s="28">
        <v>2015</v>
      </c>
      <c r="D2103" s="28" t="s">
        <v>1</v>
      </c>
      <c r="E2103" s="28" t="s">
        <v>10</v>
      </c>
      <c r="F2103" s="28">
        <v>87607</v>
      </c>
      <c r="H2103">
        <f>VLOOKUP(A2103&amp;B2103,ticker_sector[],2,FALSE)</f>
        <v>17</v>
      </c>
      <c r="I2103">
        <f>VLOOKUP(C2103,year[],2,FALSE)</f>
        <v>5</v>
      </c>
      <c r="J2103">
        <f>VLOOKUP(E2103,showing[],2,FALSE)</f>
        <v>7</v>
      </c>
      <c r="K2103">
        <f>Сектора[[#This Row],[Значение]]</f>
        <v>87607</v>
      </c>
      <c r="L2103" t="str">
        <f t="shared" si="32"/>
        <v>INSERT INTO msfo.statements (id_company, id_year, id_showing, value) VALUES (17,5,7,87607);</v>
      </c>
    </row>
    <row r="2104" spans="1:12">
      <c r="A2104" s="28" t="s">
        <v>51</v>
      </c>
      <c r="B2104" s="28" t="s">
        <v>34</v>
      </c>
      <c r="C2104" s="28">
        <v>2016</v>
      </c>
      <c r="D2104" s="28" t="s">
        <v>1</v>
      </c>
      <c r="E2104" s="28" t="s">
        <v>10</v>
      </c>
      <c r="F2104" s="28">
        <v>100301</v>
      </c>
      <c r="H2104">
        <f>VLOOKUP(A2104&amp;B2104,ticker_sector[],2,FALSE)</f>
        <v>17</v>
      </c>
      <c r="I2104">
        <f>VLOOKUP(C2104,year[],2,FALSE)</f>
        <v>6</v>
      </c>
      <c r="J2104">
        <f>VLOOKUP(E2104,showing[],2,FALSE)</f>
        <v>7</v>
      </c>
      <c r="K2104">
        <f>Сектора[[#This Row],[Значение]]</f>
        <v>100301</v>
      </c>
      <c r="L2104" t="str">
        <f t="shared" si="32"/>
        <v>INSERT INTO msfo.statements (id_company, id_year, id_showing, value) VALUES (17,6,7,100301);</v>
      </c>
    </row>
    <row r="2105" spans="1:12">
      <c r="A2105" s="28" t="s">
        <v>51</v>
      </c>
      <c r="B2105" s="28" t="s">
        <v>34</v>
      </c>
      <c r="C2105" s="28">
        <v>2017</v>
      </c>
      <c r="D2105" s="28" t="s">
        <v>1</v>
      </c>
      <c r="E2105" s="28" t="s">
        <v>10</v>
      </c>
      <c r="F2105" s="28">
        <v>121525</v>
      </c>
      <c r="H2105">
        <f>VLOOKUP(A2105&amp;B2105,ticker_sector[],2,FALSE)</f>
        <v>17</v>
      </c>
      <c r="I2105">
        <f>VLOOKUP(C2105,year[],2,FALSE)</f>
        <v>7</v>
      </c>
      <c r="J2105">
        <f>VLOOKUP(E2105,showing[],2,FALSE)</f>
        <v>7</v>
      </c>
      <c r="K2105">
        <f>Сектора[[#This Row],[Значение]]</f>
        <v>121525</v>
      </c>
      <c r="L2105" t="str">
        <f t="shared" si="32"/>
        <v>INSERT INTO msfo.statements (id_company, id_year, id_showing, value) VALUES (17,7,7,121525);</v>
      </c>
    </row>
    <row r="2106" spans="1:12">
      <c r="A2106" s="28" t="s">
        <v>51</v>
      </c>
      <c r="B2106" s="28" t="s">
        <v>34</v>
      </c>
      <c r="C2106" s="28">
        <v>2010</v>
      </c>
      <c r="D2106" s="28" t="s">
        <v>1</v>
      </c>
      <c r="E2106" s="28" t="s">
        <v>11</v>
      </c>
      <c r="F2106" s="28">
        <v>0.75267231846664207</v>
      </c>
      <c r="H2106">
        <f>VLOOKUP(A2106&amp;B2106,ticker_sector[],2,FALSE)</f>
        <v>17</v>
      </c>
      <c r="I2106">
        <f>VLOOKUP(C2106,year[],2,FALSE)</f>
        <v>0</v>
      </c>
      <c r="J2106">
        <f>VLOOKUP(E2106,showing[],2,FALSE)</f>
        <v>8</v>
      </c>
      <c r="K2106">
        <f>Сектора[[#This Row],[Значение]]</f>
        <v>0.75267231846664207</v>
      </c>
      <c r="L2106" t="str">
        <f t="shared" si="32"/>
        <v>INSERT INTO msfo.statements (id_company, id_year, id_showing, value) VALUES (17,0,8,0,752672318466642);</v>
      </c>
    </row>
    <row r="2107" spans="1:12">
      <c r="A2107" s="28" t="s">
        <v>51</v>
      </c>
      <c r="B2107" s="28" t="s">
        <v>34</v>
      </c>
      <c r="C2107" s="28">
        <v>2011</v>
      </c>
      <c r="D2107" s="28" t="s">
        <v>1</v>
      </c>
      <c r="E2107" s="28" t="s">
        <v>11</v>
      </c>
      <c r="F2107" s="28">
        <v>0.75955536393799084</v>
      </c>
      <c r="H2107">
        <f>VLOOKUP(A2107&amp;B2107,ticker_sector[],2,FALSE)</f>
        <v>17</v>
      </c>
      <c r="I2107">
        <f>VLOOKUP(C2107,year[],2,FALSE)</f>
        <v>1</v>
      </c>
      <c r="J2107">
        <f>VLOOKUP(E2107,showing[],2,FALSE)</f>
        <v>8</v>
      </c>
      <c r="K2107">
        <f>Сектора[[#This Row],[Значение]]</f>
        <v>0.75955536393799084</v>
      </c>
      <c r="L2107" t="str">
        <f t="shared" si="32"/>
        <v>INSERT INTO msfo.statements (id_company, id_year, id_showing, value) VALUES (17,1,8,0,759555363937991);</v>
      </c>
    </row>
    <row r="2108" spans="1:12">
      <c r="A2108" s="28" t="s">
        <v>51</v>
      </c>
      <c r="B2108" s="28" t="s">
        <v>34</v>
      </c>
      <c r="C2108" s="28">
        <v>2012</v>
      </c>
      <c r="D2108" s="28" t="s">
        <v>1</v>
      </c>
      <c r="E2108" s="28" t="s">
        <v>11</v>
      </c>
      <c r="F2108" s="28">
        <v>0.81548019673828631</v>
      </c>
      <c r="H2108">
        <f>VLOOKUP(A2108&amp;B2108,ticker_sector[],2,FALSE)</f>
        <v>17</v>
      </c>
      <c r="I2108">
        <f>VLOOKUP(C2108,year[],2,FALSE)</f>
        <v>2</v>
      </c>
      <c r="J2108">
        <f>VLOOKUP(E2108,showing[],2,FALSE)</f>
        <v>8</v>
      </c>
      <c r="K2108">
        <f>Сектора[[#This Row],[Значение]]</f>
        <v>0.81548019673828631</v>
      </c>
      <c r="L2108" t="str">
        <f t="shared" si="32"/>
        <v>INSERT INTO msfo.statements (id_company, id_year, id_showing, value) VALUES (17,2,8,0,815480196738286);</v>
      </c>
    </row>
    <row r="2109" spans="1:12">
      <c r="A2109" s="28" t="s">
        <v>51</v>
      </c>
      <c r="B2109" s="28" t="s">
        <v>34</v>
      </c>
      <c r="C2109" s="28">
        <v>2013</v>
      </c>
      <c r="D2109" s="28" t="s">
        <v>1</v>
      </c>
      <c r="E2109" s="28" t="s">
        <v>11</v>
      </c>
      <c r="F2109" s="28">
        <v>0.78438230241879325</v>
      </c>
      <c r="H2109">
        <f>VLOOKUP(A2109&amp;B2109,ticker_sector[],2,FALSE)</f>
        <v>17</v>
      </c>
      <c r="I2109">
        <f>VLOOKUP(C2109,year[],2,FALSE)</f>
        <v>3</v>
      </c>
      <c r="J2109">
        <f>VLOOKUP(E2109,showing[],2,FALSE)</f>
        <v>8</v>
      </c>
      <c r="K2109">
        <f>Сектора[[#This Row],[Значение]]</f>
        <v>0.78438230241879325</v>
      </c>
      <c r="L2109" t="str">
        <f t="shared" si="32"/>
        <v>INSERT INTO msfo.statements (id_company, id_year, id_showing, value) VALUES (17,3,8,0,784382302418793);</v>
      </c>
    </row>
    <row r="2110" spans="1:12">
      <c r="A2110" s="28" t="s">
        <v>51</v>
      </c>
      <c r="B2110" s="28" t="s">
        <v>34</v>
      </c>
      <c r="C2110" s="28">
        <v>2014</v>
      </c>
      <c r="D2110" s="28" t="s">
        <v>1</v>
      </c>
      <c r="E2110" s="28" t="s">
        <v>11</v>
      </c>
      <c r="F2110" s="28">
        <v>0.84322209838501716</v>
      </c>
      <c r="H2110">
        <f>VLOOKUP(A2110&amp;B2110,ticker_sector[],2,FALSE)</f>
        <v>17</v>
      </c>
      <c r="I2110">
        <f>VLOOKUP(C2110,year[],2,FALSE)</f>
        <v>4</v>
      </c>
      <c r="J2110">
        <f>VLOOKUP(E2110,showing[],2,FALSE)</f>
        <v>8</v>
      </c>
      <c r="K2110">
        <f>Сектора[[#This Row],[Значение]]</f>
        <v>0.84322209838501716</v>
      </c>
      <c r="L2110" t="str">
        <f t="shared" si="32"/>
        <v>INSERT INTO msfo.statements (id_company, id_year, id_showing, value) VALUES (17,4,8,0,843222098385017);</v>
      </c>
    </row>
    <row r="2111" spans="1:12">
      <c r="A2111" s="28" t="s">
        <v>51</v>
      </c>
      <c r="B2111" s="28" t="s">
        <v>34</v>
      </c>
      <c r="C2111" s="28">
        <v>2015</v>
      </c>
      <c r="D2111" s="28" t="s">
        <v>1</v>
      </c>
      <c r="E2111" s="28" t="s">
        <v>11</v>
      </c>
      <c r="F2111" s="28">
        <v>0.84025249123928458</v>
      </c>
      <c r="H2111">
        <f>VLOOKUP(A2111&amp;B2111,ticker_sector[],2,FALSE)</f>
        <v>17</v>
      </c>
      <c r="I2111">
        <f>VLOOKUP(C2111,year[],2,FALSE)</f>
        <v>5</v>
      </c>
      <c r="J2111">
        <f>VLOOKUP(E2111,showing[],2,FALSE)</f>
        <v>8</v>
      </c>
      <c r="K2111">
        <f>Сектора[[#This Row],[Значение]]</f>
        <v>0.84025249123928458</v>
      </c>
      <c r="L2111" t="str">
        <f t="shared" si="32"/>
        <v>INSERT INTO msfo.statements (id_company, id_year, id_showing, value) VALUES (17,5,8,0,840252491239285);</v>
      </c>
    </row>
    <row r="2112" spans="1:12">
      <c r="A2112" s="28" t="s">
        <v>51</v>
      </c>
      <c r="B2112" s="28" t="s">
        <v>34</v>
      </c>
      <c r="C2112" s="28">
        <v>2016</v>
      </c>
      <c r="D2112" s="28" t="s">
        <v>1</v>
      </c>
      <c r="E2112" s="28" t="s">
        <v>11</v>
      </c>
      <c r="F2112" s="28">
        <v>0.8409686842603763</v>
      </c>
      <c r="H2112">
        <f>VLOOKUP(A2112&amp;B2112,ticker_sector[],2,FALSE)</f>
        <v>17</v>
      </c>
      <c r="I2112">
        <f>VLOOKUP(C2112,year[],2,FALSE)</f>
        <v>6</v>
      </c>
      <c r="J2112">
        <f>VLOOKUP(E2112,showing[],2,FALSE)</f>
        <v>8</v>
      </c>
      <c r="K2112">
        <f>Сектора[[#This Row],[Значение]]</f>
        <v>0.8409686842603763</v>
      </c>
      <c r="L2112" t="str">
        <f t="shared" si="32"/>
        <v>INSERT INTO msfo.statements (id_company, id_year, id_showing, value) VALUES (17,6,8,0,840968684260376);</v>
      </c>
    </row>
    <row r="2113" spans="1:12">
      <c r="A2113" s="28" t="s">
        <v>51</v>
      </c>
      <c r="B2113" s="28" t="s">
        <v>34</v>
      </c>
      <c r="C2113" s="28">
        <v>2017</v>
      </c>
      <c r="D2113" s="28" t="s">
        <v>1</v>
      </c>
      <c r="E2113" s="28" t="s">
        <v>11</v>
      </c>
      <c r="F2113" s="28">
        <v>0.80947130220119312</v>
      </c>
      <c r="H2113">
        <f>VLOOKUP(A2113&amp;B2113,ticker_sector[],2,FALSE)</f>
        <v>17</v>
      </c>
      <c r="I2113">
        <f>VLOOKUP(C2113,year[],2,FALSE)</f>
        <v>7</v>
      </c>
      <c r="J2113">
        <f>VLOOKUP(E2113,showing[],2,FALSE)</f>
        <v>8</v>
      </c>
      <c r="K2113">
        <f>Сектора[[#This Row],[Значение]]</f>
        <v>0.80947130220119312</v>
      </c>
      <c r="L2113" t="str">
        <f t="shared" si="32"/>
        <v>INSERT INTO msfo.statements (id_company, id_year, id_showing, value) VALUES (17,7,8,0,809471302201193);</v>
      </c>
    </row>
    <row r="2114" spans="1:12">
      <c r="A2114" s="28" t="s">
        <v>51</v>
      </c>
      <c r="B2114" s="28" t="s">
        <v>34</v>
      </c>
      <c r="C2114" s="28">
        <v>2010</v>
      </c>
      <c r="D2114" s="28" t="s">
        <v>4</v>
      </c>
      <c r="E2114" s="28" t="s">
        <v>12</v>
      </c>
      <c r="F2114" s="28">
        <v>86565</v>
      </c>
      <c r="H2114">
        <f>VLOOKUP(A2114&amp;B2114,ticker_sector[],2,FALSE)</f>
        <v>17</v>
      </c>
      <c r="I2114">
        <f>VLOOKUP(C2114,year[],2,FALSE)</f>
        <v>0</v>
      </c>
      <c r="J2114">
        <f>VLOOKUP(E2114,showing[],2,FALSE)</f>
        <v>9</v>
      </c>
      <c r="K2114">
        <f>Сектора[[#This Row],[Значение]]</f>
        <v>86565</v>
      </c>
      <c r="L2114" t="str">
        <f t="shared" si="32"/>
        <v>INSERT INTO msfo.statements (id_company, id_year, id_showing, value) VALUES (17,0,9,86565);</v>
      </c>
    </row>
    <row r="2115" spans="1:12">
      <c r="A2115" s="28" t="s">
        <v>51</v>
      </c>
      <c r="B2115" s="28" t="s">
        <v>34</v>
      </c>
      <c r="C2115" s="28">
        <v>2011</v>
      </c>
      <c r="D2115" s="28" t="s">
        <v>4</v>
      </c>
      <c r="E2115" s="28" t="s">
        <v>12</v>
      </c>
      <c r="F2115" s="28">
        <v>111937</v>
      </c>
      <c r="H2115">
        <f>VLOOKUP(A2115&amp;B2115,ticker_sector[],2,FALSE)</f>
        <v>17</v>
      </c>
      <c r="I2115">
        <f>VLOOKUP(C2115,year[],2,FALSE)</f>
        <v>1</v>
      </c>
      <c r="J2115">
        <f>VLOOKUP(E2115,showing[],2,FALSE)</f>
        <v>9</v>
      </c>
      <c r="K2115">
        <f>Сектора[[#This Row],[Значение]]</f>
        <v>111937</v>
      </c>
      <c r="L2115" t="str">
        <f t="shared" ref="L2115:L2178" si="33">"INSERT INTO msfo.statements (id_company, id_year, id_showing, value) VALUES ("&amp;H2115&amp; ","&amp;I2115&amp; ","&amp;J2115&amp; ","&amp;K2115&amp;");"</f>
        <v>INSERT INTO msfo.statements (id_company, id_year, id_showing, value) VALUES (17,1,9,111937);</v>
      </c>
    </row>
    <row r="2116" spans="1:12">
      <c r="A2116" s="28" t="s">
        <v>51</v>
      </c>
      <c r="B2116" s="28" t="s">
        <v>34</v>
      </c>
      <c r="C2116" s="28">
        <v>2012</v>
      </c>
      <c r="D2116" s="28" t="s">
        <v>4</v>
      </c>
      <c r="E2116" s="28" t="s">
        <v>12</v>
      </c>
      <c r="F2116" s="28">
        <v>133593</v>
      </c>
      <c r="H2116">
        <f>VLOOKUP(A2116&amp;B2116,ticker_sector[],2,FALSE)</f>
        <v>17</v>
      </c>
      <c r="I2116">
        <f>VLOOKUP(C2116,year[],2,FALSE)</f>
        <v>2</v>
      </c>
      <c r="J2116">
        <f>VLOOKUP(E2116,showing[],2,FALSE)</f>
        <v>9</v>
      </c>
      <c r="K2116">
        <f>Сектора[[#This Row],[Значение]]</f>
        <v>133593</v>
      </c>
      <c r="L2116" t="str">
        <f t="shared" si="33"/>
        <v>INSERT INTO msfo.statements (id_company, id_year, id_showing, value) VALUES (17,2,9,133593);</v>
      </c>
    </row>
    <row r="2117" spans="1:12">
      <c r="A2117" s="28" t="s">
        <v>51</v>
      </c>
      <c r="B2117" s="28" t="s">
        <v>34</v>
      </c>
      <c r="C2117" s="28">
        <v>2013</v>
      </c>
      <c r="D2117" s="28" t="s">
        <v>4</v>
      </c>
      <c r="E2117" s="28" t="s">
        <v>12</v>
      </c>
      <c r="F2117" s="28">
        <v>148042</v>
      </c>
      <c r="H2117">
        <f>VLOOKUP(A2117&amp;B2117,ticker_sector[],2,FALSE)</f>
        <v>17</v>
      </c>
      <c r="I2117">
        <f>VLOOKUP(C2117,year[],2,FALSE)</f>
        <v>3</v>
      </c>
      <c r="J2117">
        <f>VLOOKUP(E2117,showing[],2,FALSE)</f>
        <v>9</v>
      </c>
      <c r="K2117">
        <f>Сектора[[#This Row],[Значение]]</f>
        <v>148042</v>
      </c>
      <c r="L2117" t="str">
        <f t="shared" si="33"/>
        <v>INSERT INTO msfo.statements (id_company, id_year, id_showing, value) VALUES (17,3,9,148042);</v>
      </c>
    </row>
    <row r="2118" spans="1:12">
      <c r="A2118" s="28" t="s">
        <v>51</v>
      </c>
      <c r="B2118" s="28" t="s">
        <v>34</v>
      </c>
      <c r="C2118" s="28">
        <v>2014</v>
      </c>
      <c r="D2118" s="28" t="s">
        <v>4</v>
      </c>
      <c r="E2118" s="28" t="s">
        <v>12</v>
      </c>
      <c r="F2118" s="28">
        <v>172712</v>
      </c>
      <c r="H2118">
        <f>VLOOKUP(A2118&amp;B2118,ticker_sector[],2,FALSE)</f>
        <v>17</v>
      </c>
      <c r="I2118">
        <f>VLOOKUP(C2118,year[],2,FALSE)</f>
        <v>4</v>
      </c>
      <c r="J2118">
        <f>VLOOKUP(E2118,showing[],2,FALSE)</f>
        <v>9</v>
      </c>
      <c r="K2118">
        <f>Сектора[[#This Row],[Значение]]</f>
        <v>172712</v>
      </c>
      <c r="L2118" t="str">
        <f t="shared" si="33"/>
        <v>INSERT INTO msfo.statements (id_company, id_year, id_showing, value) VALUES (17,4,9,172712);</v>
      </c>
    </row>
    <row r="2119" spans="1:12">
      <c r="A2119" s="28" t="s">
        <v>51</v>
      </c>
      <c r="B2119" s="28" t="s">
        <v>34</v>
      </c>
      <c r="C2119" s="28">
        <v>2015</v>
      </c>
      <c r="D2119" s="28" t="s">
        <v>4</v>
      </c>
      <c r="E2119" s="28" t="s">
        <v>12</v>
      </c>
      <c r="F2119" s="28">
        <v>161691</v>
      </c>
      <c r="H2119">
        <f>VLOOKUP(A2119&amp;B2119,ticker_sector[],2,FALSE)</f>
        <v>17</v>
      </c>
      <c r="I2119">
        <f>VLOOKUP(C2119,year[],2,FALSE)</f>
        <v>5</v>
      </c>
      <c r="J2119">
        <f>VLOOKUP(E2119,showing[],2,FALSE)</f>
        <v>9</v>
      </c>
      <c r="K2119">
        <f>Сектора[[#This Row],[Значение]]</f>
        <v>161691</v>
      </c>
      <c r="L2119" t="str">
        <f t="shared" si="33"/>
        <v>INSERT INTO msfo.statements (id_company, id_year, id_showing, value) VALUES (17,5,9,161691);</v>
      </c>
    </row>
    <row r="2120" spans="1:12">
      <c r="A2120" s="28" t="s">
        <v>51</v>
      </c>
      <c r="B2120" s="28" t="s">
        <v>34</v>
      </c>
      <c r="C2120" s="28">
        <v>2016</v>
      </c>
      <c r="D2120" s="28" t="s">
        <v>4</v>
      </c>
      <c r="E2120" s="28" t="s">
        <v>12</v>
      </c>
      <c r="F2120" s="28">
        <v>183219</v>
      </c>
      <c r="H2120">
        <f>VLOOKUP(A2120&amp;B2120,ticker_sector[],2,FALSE)</f>
        <v>17</v>
      </c>
      <c r="I2120">
        <f>VLOOKUP(C2120,year[],2,FALSE)</f>
        <v>6</v>
      </c>
      <c r="J2120">
        <f>VLOOKUP(E2120,showing[],2,FALSE)</f>
        <v>9</v>
      </c>
      <c r="K2120">
        <f>Сектора[[#This Row],[Значение]]</f>
        <v>183219</v>
      </c>
      <c r="L2120" t="str">
        <f t="shared" si="33"/>
        <v>INSERT INTO msfo.statements (id_company, id_year, id_showing, value) VALUES (17,6,9,183219);</v>
      </c>
    </row>
    <row r="2121" spans="1:12">
      <c r="A2121" s="28" t="s">
        <v>51</v>
      </c>
      <c r="B2121" s="28" t="s">
        <v>34</v>
      </c>
      <c r="C2121" s="28">
        <v>2017</v>
      </c>
      <c r="D2121" s="28" t="s">
        <v>4</v>
      </c>
      <c r="E2121" s="28" t="s">
        <v>12</v>
      </c>
      <c r="F2121" s="28">
        <v>198197</v>
      </c>
      <c r="H2121">
        <f>VLOOKUP(A2121&amp;B2121,ticker_sector[],2,FALSE)</f>
        <v>17</v>
      </c>
      <c r="I2121">
        <f>VLOOKUP(C2121,year[],2,FALSE)</f>
        <v>7</v>
      </c>
      <c r="J2121">
        <f>VLOOKUP(E2121,showing[],2,FALSE)</f>
        <v>9</v>
      </c>
      <c r="K2121">
        <f>Сектора[[#This Row],[Значение]]</f>
        <v>198197</v>
      </c>
      <c r="L2121" t="str">
        <f t="shared" si="33"/>
        <v>INSERT INTO msfo.statements (id_company, id_year, id_showing, value) VALUES (17,7,9,198197);</v>
      </c>
    </row>
    <row r="2122" spans="1:12">
      <c r="A2122" s="28" t="s">
        <v>51</v>
      </c>
      <c r="B2122" s="28" t="s">
        <v>34</v>
      </c>
      <c r="C2122" s="28">
        <v>2010</v>
      </c>
      <c r="D2122" s="28" t="s">
        <v>4</v>
      </c>
      <c r="E2122" s="28" t="s">
        <v>13</v>
      </c>
      <c r="F2122" s="28">
        <v>2221</v>
      </c>
      <c r="H2122">
        <f>VLOOKUP(A2122&amp;B2122,ticker_sector[],2,FALSE)</f>
        <v>17</v>
      </c>
      <c r="I2122">
        <f>VLOOKUP(C2122,year[],2,FALSE)</f>
        <v>0</v>
      </c>
      <c r="J2122">
        <f>VLOOKUP(E2122,showing[],2,FALSE)</f>
        <v>10</v>
      </c>
      <c r="K2122">
        <f>Сектора[[#This Row],[Значение]]</f>
        <v>2221</v>
      </c>
      <c r="L2122" t="str">
        <f t="shared" si="33"/>
        <v>INSERT INTO msfo.statements (id_company, id_year, id_showing, value) VALUES (17,0,10,2221);</v>
      </c>
    </row>
    <row r="2123" spans="1:12">
      <c r="A2123" s="28" t="s">
        <v>51</v>
      </c>
      <c r="B2123" s="28" t="s">
        <v>34</v>
      </c>
      <c r="C2123" s="28">
        <v>2011</v>
      </c>
      <c r="D2123" s="28" t="s">
        <v>4</v>
      </c>
      <c r="E2123" s="28" t="s">
        <v>13</v>
      </c>
      <c r="F2123" s="28">
        <v>3374</v>
      </c>
      <c r="H2123">
        <f>VLOOKUP(A2123&amp;B2123,ticker_sector[],2,FALSE)</f>
        <v>17</v>
      </c>
      <c r="I2123">
        <f>VLOOKUP(C2123,year[],2,FALSE)</f>
        <v>1</v>
      </c>
      <c r="J2123">
        <f>VLOOKUP(E2123,showing[],2,FALSE)</f>
        <v>10</v>
      </c>
      <c r="K2123">
        <f>Сектора[[#This Row],[Значение]]</f>
        <v>3374</v>
      </c>
      <c r="L2123" t="str">
        <f t="shared" si="33"/>
        <v>INSERT INTO msfo.statements (id_company, id_year, id_showing, value) VALUES (17,1,10,3374);</v>
      </c>
    </row>
    <row r="2124" spans="1:12">
      <c r="A2124" s="28" t="s">
        <v>51</v>
      </c>
      <c r="B2124" s="28" t="s">
        <v>34</v>
      </c>
      <c r="C2124" s="28">
        <v>2012</v>
      </c>
      <c r="D2124" s="28" t="s">
        <v>4</v>
      </c>
      <c r="E2124" s="28" t="s">
        <v>13</v>
      </c>
      <c r="F2124" s="28">
        <v>4141</v>
      </c>
      <c r="H2124">
        <f>VLOOKUP(A2124&amp;B2124,ticker_sector[],2,FALSE)</f>
        <v>17</v>
      </c>
      <c r="I2124">
        <f>VLOOKUP(C2124,year[],2,FALSE)</f>
        <v>2</v>
      </c>
      <c r="J2124">
        <f>VLOOKUP(E2124,showing[],2,FALSE)</f>
        <v>10</v>
      </c>
      <c r="K2124">
        <f>Сектора[[#This Row],[Значение]]</f>
        <v>4141</v>
      </c>
      <c r="L2124" t="str">
        <f t="shared" si="33"/>
        <v>INSERT INTO msfo.statements (id_company, id_year, id_showing, value) VALUES (17,2,10,4141);</v>
      </c>
    </row>
    <row r="2125" spans="1:12">
      <c r="A2125" s="28" t="s">
        <v>51</v>
      </c>
      <c r="B2125" s="28" t="s">
        <v>34</v>
      </c>
      <c r="C2125" s="28">
        <v>2013</v>
      </c>
      <c r="D2125" s="28" t="s">
        <v>4</v>
      </c>
      <c r="E2125" s="28" t="s">
        <v>13</v>
      </c>
      <c r="F2125" s="28">
        <v>5729</v>
      </c>
      <c r="H2125">
        <f>VLOOKUP(A2125&amp;B2125,ticker_sector[],2,FALSE)</f>
        <v>17</v>
      </c>
      <c r="I2125">
        <f>VLOOKUP(C2125,year[],2,FALSE)</f>
        <v>3</v>
      </c>
      <c r="J2125">
        <f>VLOOKUP(E2125,showing[],2,FALSE)</f>
        <v>10</v>
      </c>
      <c r="K2125">
        <f>Сектора[[#This Row],[Значение]]</f>
        <v>5729</v>
      </c>
      <c r="L2125" t="str">
        <f t="shared" si="33"/>
        <v>INSERT INTO msfo.statements (id_company, id_year, id_showing, value) VALUES (17,3,10,5729);</v>
      </c>
    </row>
    <row r="2126" spans="1:12">
      <c r="A2126" s="28" t="s">
        <v>51</v>
      </c>
      <c r="B2126" s="28" t="s">
        <v>34</v>
      </c>
      <c r="C2126" s="28">
        <v>2014</v>
      </c>
      <c r="D2126" s="28" t="s">
        <v>4</v>
      </c>
      <c r="E2126" s="28" t="s">
        <v>13</v>
      </c>
      <c r="F2126" s="28">
        <v>8174</v>
      </c>
      <c r="H2126">
        <f>VLOOKUP(A2126&amp;B2126,ticker_sector[],2,FALSE)</f>
        <v>17</v>
      </c>
      <c r="I2126">
        <f>VLOOKUP(C2126,year[],2,FALSE)</f>
        <v>4</v>
      </c>
      <c r="J2126">
        <f>VLOOKUP(E2126,showing[],2,FALSE)</f>
        <v>10</v>
      </c>
      <c r="K2126">
        <f>Сектора[[#This Row],[Значение]]</f>
        <v>8174</v>
      </c>
      <c r="L2126" t="str">
        <f t="shared" si="33"/>
        <v>INSERT INTO msfo.statements (id_company, id_year, id_showing, value) VALUES (17,4,10,8174);</v>
      </c>
    </row>
    <row r="2127" spans="1:12">
      <c r="A2127" s="28" t="s">
        <v>51</v>
      </c>
      <c r="B2127" s="28" t="s">
        <v>34</v>
      </c>
      <c r="C2127" s="28">
        <v>2015</v>
      </c>
      <c r="D2127" s="28" t="s">
        <v>4</v>
      </c>
      <c r="E2127" s="28" t="s">
        <v>13</v>
      </c>
      <c r="F2127" s="28">
        <v>4557</v>
      </c>
      <c r="H2127">
        <f>VLOOKUP(A2127&amp;B2127,ticker_sector[],2,FALSE)</f>
        <v>17</v>
      </c>
      <c r="I2127">
        <f>VLOOKUP(C2127,year[],2,FALSE)</f>
        <v>5</v>
      </c>
      <c r="J2127">
        <f>VLOOKUP(E2127,showing[],2,FALSE)</f>
        <v>10</v>
      </c>
      <c r="K2127">
        <f>Сектора[[#This Row],[Значение]]</f>
        <v>4557</v>
      </c>
      <c r="L2127" t="str">
        <f t="shared" si="33"/>
        <v>INSERT INTO msfo.statements (id_company, id_year, id_showing, value) VALUES (17,5,10,4557);</v>
      </c>
    </row>
    <row r="2128" spans="1:12">
      <c r="A2128" s="28" t="s">
        <v>51</v>
      </c>
      <c r="B2128" s="28" t="s">
        <v>34</v>
      </c>
      <c r="C2128" s="28">
        <v>2016</v>
      </c>
      <c r="D2128" s="28" t="s">
        <v>4</v>
      </c>
      <c r="E2128" s="28" t="s">
        <v>13</v>
      </c>
      <c r="F2128" s="28">
        <v>5546</v>
      </c>
      <c r="H2128">
        <f>VLOOKUP(A2128&amp;B2128,ticker_sector[],2,FALSE)</f>
        <v>17</v>
      </c>
      <c r="I2128">
        <f>VLOOKUP(C2128,year[],2,FALSE)</f>
        <v>6</v>
      </c>
      <c r="J2128">
        <f>VLOOKUP(E2128,showing[],2,FALSE)</f>
        <v>10</v>
      </c>
      <c r="K2128">
        <f>Сектора[[#This Row],[Значение]]</f>
        <v>5546</v>
      </c>
      <c r="L2128" t="str">
        <f t="shared" si="33"/>
        <v>INSERT INTO msfo.statements (id_company, id_year, id_showing, value) VALUES (17,6,10,5546);</v>
      </c>
    </row>
    <row r="2129" spans="1:12">
      <c r="A2129" s="28" t="s">
        <v>51</v>
      </c>
      <c r="B2129" s="28" t="s">
        <v>34</v>
      </c>
      <c r="C2129" s="28">
        <v>2017</v>
      </c>
      <c r="D2129" s="28" t="s">
        <v>4</v>
      </c>
      <c r="E2129" s="28" t="s">
        <v>13</v>
      </c>
      <c r="F2129" s="28">
        <v>6974</v>
      </c>
      <c r="H2129">
        <f>VLOOKUP(A2129&amp;B2129,ticker_sector[],2,FALSE)</f>
        <v>17</v>
      </c>
      <c r="I2129">
        <f>VLOOKUP(C2129,year[],2,FALSE)</f>
        <v>7</v>
      </c>
      <c r="J2129">
        <f>VLOOKUP(E2129,showing[],2,FALSE)</f>
        <v>10</v>
      </c>
      <c r="K2129">
        <f>Сектора[[#This Row],[Значение]]</f>
        <v>6974</v>
      </c>
      <c r="L2129" t="str">
        <f t="shared" si="33"/>
        <v>INSERT INTO msfo.statements (id_company, id_year, id_showing, value) VALUES (17,7,10,6974);</v>
      </c>
    </row>
    <row r="2130" spans="1:12">
      <c r="A2130" s="28" t="s">
        <v>51</v>
      </c>
      <c r="B2130" s="28" t="s">
        <v>34</v>
      </c>
      <c r="C2130" s="28">
        <v>2010</v>
      </c>
      <c r="D2130" s="28" t="s">
        <v>4</v>
      </c>
      <c r="E2130" s="28" t="s">
        <v>14</v>
      </c>
      <c r="F2130" s="28">
        <v>2840.3479356496232</v>
      </c>
      <c r="H2130">
        <f>VLOOKUP(A2130&amp;B2130,ticker_sector[],2,FALSE)</f>
        <v>17</v>
      </c>
      <c r="I2130">
        <f>VLOOKUP(C2130,year[],2,FALSE)</f>
        <v>0</v>
      </c>
      <c r="J2130">
        <f>VLOOKUP(E2130,showing[],2,FALSE)</f>
        <v>11</v>
      </c>
      <c r="K2130">
        <f>Сектора[[#This Row],[Значение]]</f>
        <v>2840.3479356496232</v>
      </c>
      <c r="L2130" t="str">
        <f t="shared" si="33"/>
        <v>INSERT INTO msfo.statements (id_company, id_year, id_showing, value) VALUES (17,0,11,2840,34793564962);</v>
      </c>
    </row>
    <row r="2131" spans="1:12">
      <c r="A2131" s="28" t="s">
        <v>51</v>
      </c>
      <c r="B2131" s="28" t="s">
        <v>34</v>
      </c>
      <c r="C2131" s="28">
        <v>2011</v>
      </c>
      <c r="D2131" s="28" t="s">
        <v>4</v>
      </c>
      <c r="E2131" s="28" t="s">
        <v>14</v>
      </c>
      <c r="F2131" s="28">
        <v>3476.7254419013479</v>
      </c>
      <c r="H2131">
        <f>VLOOKUP(A2131&amp;B2131,ticker_sector[],2,FALSE)</f>
        <v>17</v>
      </c>
      <c r="I2131">
        <f>VLOOKUP(C2131,year[],2,FALSE)</f>
        <v>1</v>
      </c>
      <c r="J2131">
        <f>VLOOKUP(E2131,showing[],2,FALSE)</f>
        <v>11</v>
      </c>
      <c r="K2131">
        <f>Сектора[[#This Row],[Значение]]</f>
        <v>3476.7254419013479</v>
      </c>
      <c r="L2131" t="str">
        <f t="shared" si="33"/>
        <v>INSERT INTO msfo.statements (id_company, id_year, id_showing, value) VALUES (17,1,11,3476,72544190135);</v>
      </c>
    </row>
    <row r="2132" spans="1:12">
      <c r="A2132" s="28" t="s">
        <v>51</v>
      </c>
      <c r="B2132" s="28" t="s">
        <v>34</v>
      </c>
      <c r="C2132" s="28">
        <v>2012</v>
      </c>
      <c r="D2132" s="28" t="s">
        <v>4</v>
      </c>
      <c r="E2132" s="28" t="s">
        <v>14</v>
      </c>
      <c r="F2132" s="28">
        <v>4398.4565086409839</v>
      </c>
      <c r="H2132">
        <f>VLOOKUP(A2132&amp;B2132,ticker_sector[],2,FALSE)</f>
        <v>17</v>
      </c>
      <c r="I2132">
        <f>VLOOKUP(C2132,year[],2,FALSE)</f>
        <v>2</v>
      </c>
      <c r="J2132">
        <f>VLOOKUP(E2132,showing[],2,FALSE)</f>
        <v>11</v>
      </c>
      <c r="K2132">
        <f>Сектора[[#This Row],[Значение]]</f>
        <v>4398.4565086409839</v>
      </c>
      <c r="L2132" t="str">
        <f t="shared" si="33"/>
        <v>INSERT INTO msfo.statements (id_company, id_year, id_showing, value) VALUES (17,2,11,4398,45650864098);</v>
      </c>
    </row>
    <row r="2133" spans="1:12">
      <c r="A2133" s="28" t="s">
        <v>51</v>
      </c>
      <c r="B2133" s="28" t="s">
        <v>34</v>
      </c>
      <c r="C2133" s="28">
        <v>2013</v>
      </c>
      <c r="D2133" s="28" t="s">
        <v>4</v>
      </c>
      <c r="E2133" s="28" t="s">
        <v>14</v>
      </c>
      <c r="F2133" s="28">
        <v>4523.2391870256533</v>
      </c>
      <c r="H2133">
        <f>VLOOKUP(A2133&amp;B2133,ticker_sector[],2,FALSE)</f>
        <v>17</v>
      </c>
      <c r="I2133">
        <f>VLOOKUP(C2133,year[],2,FALSE)</f>
        <v>3</v>
      </c>
      <c r="J2133">
        <f>VLOOKUP(E2133,showing[],2,FALSE)</f>
        <v>11</v>
      </c>
      <c r="K2133">
        <f>Сектора[[#This Row],[Значение]]</f>
        <v>4523.2391870256533</v>
      </c>
      <c r="L2133" t="str">
        <f t="shared" si="33"/>
        <v>INSERT INTO msfo.statements (id_company, id_year, id_showing, value) VALUES (17,3,11,4523,23918702565);</v>
      </c>
    </row>
    <row r="2134" spans="1:12">
      <c r="A2134" s="28" t="s">
        <v>51</v>
      </c>
      <c r="B2134" s="28" t="s">
        <v>34</v>
      </c>
      <c r="C2134" s="28">
        <v>2014</v>
      </c>
      <c r="D2134" s="28" t="s">
        <v>4</v>
      </c>
      <c r="E2134" s="28" t="s">
        <v>14</v>
      </c>
      <c r="F2134" s="28">
        <v>3069.9771056411132</v>
      </c>
      <c r="H2134">
        <f>VLOOKUP(A2134&amp;B2134,ticker_sector[],2,FALSE)</f>
        <v>17</v>
      </c>
      <c r="I2134">
        <f>VLOOKUP(C2134,year[],2,FALSE)</f>
        <v>4</v>
      </c>
      <c r="J2134">
        <f>VLOOKUP(E2134,showing[],2,FALSE)</f>
        <v>11</v>
      </c>
      <c r="K2134">
        <f>Сектора[[#This Row],[Значение]]</f>
        <v>3069.9771056411132</v>
      </c>
      <c r="L2134" t="str">
        <f t="shared" si="33"/>
        <v>INSERT INTO msfo.statements (id_company, id_year, id_showing, value) VALUES (17,4,11,3069,97710564111);</v>
      </c>
    </row>
    <row r="2135" spans="1:12">
      <c r="A2135" s="28" t="s">
        <v>51</v>
      </c>
      <c r="B2135" s="28" t="s">
        <v>34</v>
      </c>
      <c r="C2135" s="28">
        <v>2015</v>
      </c>
      <c r="D2135" s="28" t="s">
        <v>4</v>
      </c>
      <c r="E2135" s="28" t="s">
        <v>14</v>
      </c>
      <c r="F2135" s="28">
        <v>2218.510016780388</v>
      </c>
      <c r="H2135">
        <f>VLOOKUP(A2135&amp;B2135,ticker_sector[],2,FALSE)</f>
        <v>17</v>
      </c>
      <c r="I2135">
        <f>VLOOKUP(C2135,year[],2,FALSE)</f>
        <v>5</v>
      </c>
      <c r="J2135">
        <f>VLOOKUP(E2135,showing[],2,FALSE)</f>
        <v>11</v>
      </c>
      <c r="K2135">
        <f>Сектора[[#This Row],[Значение]]</f>
        <v>2218.510016780388</v>
      </c>
      <c r="L2135" t="str">
        <f t="shared" si="33"/>
        <v>INSERT INTO msfo.statements (id_company, id_year, id_showing, value) VALUES (17,5,11,2218,51001678039);</v>
      </c>
    </row>
    <row r="2136" spans="1:12">
      <c r="A2136" s="28" t="s">
        <v>51</v>
      </c>
      <c r="B2136" s="28" t="s">
        <v>34</v>
      </c>
      <c r="C2136" s="28">
        <v>2016</v>
      </c>
      <c r="D2136" s="28" t="s">
        <v>4</v>
      </c>
      <c r="E2136" s="28" t="s">
        <v>14</v>
      </c>
      <c r="F2136" s="28">
        <v>3020.5796867297868</v>
      </c>
      <c r="H2136">
        <f>VLOOKUP(A2136&amp;B2136,ticker_sector[],2,FALSE)</f>
        <v>17</v>
      </c>
      <c r="I2136">
        <f>VLOOKUP(C2136,year[],2,FALSE)</f>
        <v>6</v>
      </c>
      <c r="J2136">
        <f>VLOOKUP(E2136,showing[],2,FALSE)</f>
        <v>11</v>
      </c>
      <c r="K2136">
        <f>Сектора[[#This Row],[Значение]]</f>
        <v>3020.5796867297868</v>
      </c>
      <c r="L2136" t="str">
        <f t="shared" si="33"/>
        <v>INSERT INTO msfo.statements (id_company, id_year, id_showing, value) VALUES (17,6,11,3020,57968672979);</v>
      </c>
    </row>
    <row r="2137" spans="1:12">
      <c r="A2137" s="28" t="s">
        <v>51</v>
      </c>
      <c r="B2137" s="28" t="s">
        <v>34</v>
      </c>
      <c r="C2137" s="28">
        <v>2017</v>
      </c>
      <c r="D2137" s="28" t="s">
        <v>4</v>
      </c>
      <c r="E2137" s="28" t="s">
        <v>14</v>
      </c>
      <c r="F2137" s="28">
        <v>3440.9081912910024</v>
      </c>
      <c r="H2137">
        <f>VLOOKUP(A2137&amp;B2137,ticker_sector[],2,FALSE)</f>
        <v>17</v>
      </c>
      <c r="I2137">
        <f>VLOOKUP(C2137,year[],2,FALSE)</f>
        <v>7</v>
      </c>
      <c r="J2137">
        <f>VLOOKUP(E2137,showing[],2,FALSE)</f>
        <v>11</v>
      </c>
      <c r="K2137">
        <f>Сектора[[#This Row],[Значение]]</f>
        <v>3440.9081912910024</v>
      </c>
      <c r="L2137" t="str">
        <f t="shared" si="33"/>
        <v>INSERT INTO msfo.statements (id_company, id_year, id_showing, value) VALUES (17,7,11,3440,908191291);</v>
      </c>
    </row>
    <row r="2138" spans="1:12">
      <c r="A2138" s="28" t="s">
        <v>51</v>
      </c>
      <c r="B2138" s="28" t="s">
        <v>34</v>
      </c>
      <c r="C2138" s="28">
        <v>2010</v>
      </c>
      <c r="D2138" s="28" t="s">
        <v>4</v>
      </c>
      <c r="E2138" s="28" t="s">
        <v>15</v>
      </c>
      <c r="F2138" s="28">
        <v>72.874865882028686</v>
      </c>
      <c r="H2138">
        <f>VLOOKUP(A2138&amp;B2138,ticker_sector[],2,FALSE)</f>
        <v>17</v>
      </c>
      <c r="I2138">
        <f>VLOOKUP(C2138,year[],2,FALSE)</f>
        <v>0</v>
      </c>
      <c r="J2138">
        <f>VLOOKUP(E2138,showing[],2,FALSE)</f>
        <v>12</v>
      </c>
      <c r="K2138">
        <f>Сектора[[#This Row],[Значение]]</f>
        <v>72.874865882028686</v>
      </c>
      <c r="L2138" t="str">
        <f t="shared" si="33"/>
        <v>INSERT INTO msfo.statements (id_company, id_year, id_showing, value) VALUES (17,0,12,72,8748658820287);</v>
      </c>
    </row>
    <row r="2139" spans="1:12">
      <c r="A2139" s="28" t="s">
        <v>51</v>
      </c>
      <c r="B2139" s="28" t="s">
        <v>34</v>
      </c>
      <c r="C2139" s="28">
        <v>2011</v>
      </c>
      <c r="D2139" s="28" t="s">
        <v>4</v>
      </c>
      <c r="E2139" s="28" t="s">
        <v>15</v>
      </c>
      <c r="F2139" s="28">
        <v>104.79530129425613</v>
      </c>
      <c r="H2139">
        <f>VLOOKUP(A2139&amp;B2139,ticker_sector[],2,FALSE)</f>
        <v>17</v>
      </c>
      <c r="I2139">
        <f>VLOOKUP(C2139,year[],2,FALSE)</f>
        <v>1</v>
      </c>
      <c r="J2139">
        <f>VLOOKUP(E2139,showing[],2,FALSE)</f>
        <v>12</v>
      </c>
      <c r="K2139">
        <f>Сектора[[#This Row],[Значение]]</f>
        <v>104.79530129425613</v>
      </c>
      <c r="L2139" t="str">
        <f t="shared" si="33"/>
        <v>INSERT INTO msfo.statements (id_company, id_year, id_showing, value) VALUES (17,1,12,104,795301294256);</v>
      </c>
    </row>
    <row r="2140" spans="1:12">
      <c r="A2140" s="28" t="s">
        <v>51</v>
      </c>
      <c r="B2140" s="28" t="s">
        <v>34</v>
      </c>
      <c r="C2140" s="28">
        <v>2012</v>
      </c>
      <c r="D2140" s="28" t="s">
        <v>4</v>
      </c>
      <c r="E2140" s="28" t="s">
        <v>15</v>
      </c>
      <c r="F2140" s="28">
        <v>136.33954175954065</v>
      </c>
      <c r="H2140">
        <f>VLOOKUP(A2140&amp;B2140,ticker_sector[],2,FALSE)</f>
        <v>17</v>
      </c>
      <c r="I2140">
        <f>VLOOKUP(C2140,year[],2,FALSE)</f>
        <v>2</v>
      </c>
      <c r="J2140">
        <f>VLOOKUP(E2140,showing[],2,FALSE)</f>
        <v>12</v>
      </c>
      <c r="K2140">
        <f>Сектора[[#This Row],[Значение]]</f>
        <v>136.33954175954065</v>
      </c>
      <c r="L2140" t="str">
        <f t="shared" si="33"/>
        <v>INSERT INTO msfo.statements (id_company, id_year, id_showing, value) VALUES (17,2,12,136,339541759541);</v>
      </c>
    </row>
    <row r="2141" spans="1:12">
      <c r="A2141" s="28" t="s">
        <v>51</v>
      </c>
      <c r="B2141" s="28" t="s">
        <v>34</v>
      </c>
      <c r="C2141" s="28">
        <v>2013</v>
      </c>
      <c r="D2141" s="28" t="s">
        <v>4</v>
      </c>
      <c r="E2141" s="28" t="s">
        <v>15</v>
      </c>
      <c r="F2141" s="28">
        <v>175.04246972122755</v>
      </c>
      <c r="H2141">
        <f>VLOOKUP(A2141&amp;B2141,ticker_sector[],2,FALSE)</f>
        <v>17</v>
      </c>
      <c r="I2141">
        <f>VLOOKUP(C2141,year[],2,FALSE)</f>
        <v>3</v>
      </c>
      <c r="J2141">
        <f>VLOOKUP(E2141,showing[],2,FALSE)</f>
        <v>12</v>
      </c>
      <c r="K2141">
        <f>Сектора[[#This Row],[Значение]]</f>
        <v>175.04246972122755</v>
      </c>
      <c r="L2141" t="str">
        <f t="shared" si="33"/>
        <v>INSERT INTO msfo.statements (id_company, id_year, id_showing, value) VALUES (17,3,12,175,042469721228);</v>
      </c>
    </row>
    <row r="2142" spans="1:12">
      <c r="A2142" s="28" t="s">
        <v>51</v>
      </c>
      <c r="B2142" s="28" t="s">
        <v>34</v>
      </c>
      <c r="C2142" s="28">
        <v>2014</v>
      </c>
      <c r="D2142" s="28" t="s">
        <v>4</v>
      </c>
      <c r="E2142" s="28" t="s">
        <v>15</v>
      </c>
      <c r="F2142" s="28">
        <v>145.29385833937687</v>
      </c>
      <c r="H2142">
        <f>VLOOKUP(A2142&amp;B2142,ticker_sector[],2,FALSE)</f>
        <v>17</v>
      </c>
      <c r="I2142">
        <f>VLOOKUP(C2142,year[],2,FALSE)</f>
        <v>4</v>
      </c>
      <c r="J2142">
        <f>VLOOKUP(E2142,showing[],2,FALSE)</f>
        <v>12</v>
      </c>
      <c r="K2142">
        <f>Сектора[[#This Row],[Значение]]</f>
        <v>145.29385833937687</v>
      </c>
      <c r="L2142" t="str">
        <f t="shared" si="33"/>
        <v>INSERT INTO msfo.statements (id_company, id_year, id_showing, value) VALUES (17,4,12,145,293858339377);</v>
      </c>
    </row>
    <row r="2143" spans="1:12">
      <c r="A2143" s="28" t="s">
        <v>51</v>
      </c>
      <c r="B2143" s="28" t="s">
        <v>34</v>
      </c>
      <c r="C2143" s="28">
        <v>2015</v>
      </c>
      <c r="D2143" s="28" t="s">
        <v>4</v>
      </c>
      <c r="E2143" s="28" t="s">
        <v>15</v>
      </c>
      <c r="F2143" s="28">
        <v>62.525125990118369</v>
      </c>
      <c r="H2143">
        <f>VLOOKUP(A2143&amp;B2143,ticker_sector[],2,FALSE)</f>
        <v>17</v>
      </c>
      <c r="I2143">
        <f>VLOOKUP(C2143,year[],2,FALSE)</f>
        <v>5</v>
      </c>
      <c r="J2143">
        <f>VLOOKUP(E2143,showing[],2,FALSE)</f>
        <v>12</v>
      </c>
      <c r="K2143">
        <f>Сектора[[#This Row],[Значение]]</f>
        <v>62.525125990118369</v>
      </c>
      <c r="L2143" t="str">
        <f t="shared" si="33"/>
        <v>INSERT INTO msfo.statements (id_company, id_year, id_showing, value) VALUES (17,5,12,62,5251259901184);</v>
      </c>
    </row>
    <row r="2144" spans="1:12">
      <c r="A2144" s="28" t="s">
        <v>51</v>
      </c>
      <c r="B2144" s="28" t="s">
        <v>34</v>
      </c>
      <c r="C2144" s="28">
        <v>2016</v>
      </c>
      <c r="D2144" s="28" t="s">
        <v>4</v>
      </c>
      <c r="E2144" s="28" t="s">
        <v>15</v>
      </c>
      <c r="F2144" s="28">
        <v>91.43230201345601</v>
      </c>
      <c r="H2144">
        <f>VLOOKUP(A2144&amp;B2144,ticker_sector[],2,FALSE)</f>
        <v>17</v>
      </c>
      <c r="I2144">
        <f>VLOOKUP(C2144,year[],2,FALSE)</f>
        <v>6</v>
      </c>
      <c r="J2144">
        <f>VLOOKUP(E2144,showing[],2,FALSE)</f>
        <v>12</v>
      </c>
      <c r="K2144">
        <f>Сектора[[#This Row],[Значение]]</f>
        <v>91.43230201345601</v>
      </c>
      <c r="L2144" t="str">
        <f t="shared" si="33"/>
        <v>INSERT INTO msfo.statements (id_company, id_year, id_showing, value) VALUES (17,6,12,91,432302013456);</v>
      </c>
    </row>
    <row r="2145" spans="1:12">
      <c r="A2145" s="28" t="s">
        <v>51</v>
      </c>
      <c r="B2145" s="28" t="s">
        <v>34</v>
      </c>
      <c r="C2145" s="28">
        <v>2017</v>
      </c>
      <c r="D2145" s="28" t="s">
        <v>4</v>
      </c>
      <c r="E2145" s="28" t="s">
        <v>15</v>
      </c>
      <c r="F2145" s="28">
        <v>121.07596848622053</v>
      </c>
      <c r="H2145">
        <f>VLOOKUP(A2145&amp;B2145,ticker_sector[],2,FALSE)</f>
        <v>17</v>
      </c>
      <c r="I2145">
        <f>VLOOKUP(C2145,year[],2,FALSE)</f>
        <v>7</v>
      </c>
      <c r="J2145">
        <f>VLOOKUP(E2145,showing[],2,FALSE)</f>
        <v>12</v>
      </c>
      <c r="K2145">
        <f>Сектора[[#This Row],[Значение]]</f>
        <v>121.07596848622053</v>
      </c>
      <c r="L2145" t="str">
        <f t="shared" si="33"/>
        <v>INSERT INTO msfo.statements (id_company, id_year, id_showing, value) VALUES (17,7,12,121,075968486221);</v>
      </c>
    </row>
    <row r="2146" spans="1:12">
      <c r="A2146" s="28" t="s">
        <v>51</v>
      </c>
      <c r="B2146" s="28" t="s">
        <v>34</v>
      </c>
      <c r="C2146" s="28">
        <v>2010</v>
      </c>
      <c r="D2146" s="28" t="s">
        <v>7</v>
      </c>
      <c r="E2146" s="28" t="s">
        <v>16</v>
      </c>
      <c r="F2146" s="28">
        <v>4336</v>
      </c>
      <c r="H2146">
        <f>VLOOKUP(A2146&amp;B2146,ticker_sector[],2,FALSE)</f>
        <v>17</v>
      </c>
      <c r="I2146">
        <f>VLOOKUP(C2146,year[],2,FALSE)</f>
        <v>0</v>
      </c>
      <c r="J2146">
        <f>VLOOKUP(E2146,showing[],2,FALSE)</f>
        <v>13</v>
      </c>
      <c r="K2146">
        <f>Сектора[[#This Row],[Значение]]</f>
        <v>4336</v>
      </c>
      <c r="L2146" t="str">
        <f t="shared" si="33"/>
        <v>INSERT INTO msfo.statements (id_company, id_year, id_showing, value) VALUES (17,0,13,4336);</v>
      </c>
    </row>
    <row r="2147" spans="1:12">
      <c r="A2147" s="28" t="s">
        <v>51</v>
      </c>
      <c r="B2147" s="28" t="s">
        <v>34</v>
      </c>
      <c r="C2147" s="28">
        <v>2011</v>
      </c>
      <c r="D2147" s="28" t="s">
        <v>7</v>
      </c>
      <c r="E2147" s="28" t="s">
        <v>16</v>
      </c>
      <c r="F2147" s="28">
        <v>4993</v>
      </c>
      <c r="H2147">
        <f>VLOOKUP(A2147&amp;B2147,ticker_sector[],2,FALSE)</f>
        <v>17</v>
      </c>
      <c r="I2147">
        <f>VLOOKUP(C2147,year[],2,FALSE)</f>
        <v>1</v>
      </c>
      <c r="J2147">
        <f>VLOOKUP(E2147,showing[],2,FALSE)</f>
        <v>13</v>
      </c>
      <c r="K2147">
        <f>Сектора[[#This Row],[Значение]]</f>
        <v>4993</v>
      </c>
      <c r="L2147" t="str">
        <f t="shared" si="33"/>
        <v>INSERT INTO msfo.statements (id_company, id_year, id_showing, value) VALUES (17,1,13,4993);</v>
      </c>
    </row>
    <row r="2148" spans="1:12">
      <c r="A2148" s="28" t="s">
        <v>51</v>
      </c>
      <c r="B2148" s="28" t="s">
        <v>34</v>
      </c>
      <c r="C2148" s="28">
        <v>2012</v>
      </c>
      <c r="D2148" s="28" t="s">
        <v>7</v>
      </c>
      <c r="E2148" s="28" t="s">
        <v>16</v>
      </c>
      <c r="F2148" s="28">
        <v>7378</v>
      </c>
      <c r="H2148">
        <f>VLOOKUP(A2148&amp;B2148,ticker_sector[],2,FALSE)</f>
        <v>17</v>
      </c>
      <c r="I2148">
        <f>VLOOKUP(C2148,year[],2,FALSE)</f>
        <v>2</v>
      </c>
      <c r="J2148">
        <f>VLOOKUP(E2148,showing[],2,FALSE)</f>
        <v>13</v>
      </c>
      <c r="K2148">
        <f>Сектора[[#This Row],[Значение]]</f>
        <v>7378</v>
      </c>
      <c r="L2148" t="str">
        <f t="shared" si="33"/>
        <v>INSERT INTO msfo.statements (id_company, id_year, id_showing, value) VALUES (17,2,13,7378);</v>
      </c>
    </row>
    <row r="2149" spans="1:12">
      <c r="A2149" s="28" t="s">
        <v>51</v>
      </c>
      <c r="B2149" s="28" t="s">
        <v>34</v>
      </c>
      <c r="C2149" s="28">
        <v>2013</v>
      </c>
      <c r="D2149" s="28" t="s">
        <v>7</v>
      </c>
      <c r="E2149" s="28" t="s">
        <v>16</v>
      </c>
      <c r="F2149" s="28">
        <v>8555</v>
      </c>
      <c r="H2149">
        <f>VLOOKUP(A2149&amp;B2149,ticker_sector[],2,FALSE)</f>
        <v>17</v>
      </c>
      <c r="I2149">
        <f>VLOOKUP(C2149,year[],2,FALSE)</f>
        <v>3</v>
      </c>
      <c r="J2149">
        <f>VLOOKUP(E2149,showing[],2,FALSE)</f>
        <v>13</v>
      </c>
      <c r="K2149">
        <f>Сектора[[#This Row],[Значение]]</f>
        <v>8555</v>
      </c>
      <c r="L2149" t="str">
        <f t="shared" si="33"/>
        <v>INSERT INTO msfo.statements (id_company, id_year, id_showing, value) VALUES (17,3,13,8555);</v>
      </c>
    </row>
    <row r="2150" spans="1:12">
      <c r="A2150" s="28" t="s">
        <v>51</v>
      </c>
      <c r="B2150" s="28" t="s">
        <v>34</v>
      </c>
      <c r="C2150" s="28">
        <v>2014</v>
      </c>
      <c r="D2150" s="28" t="s">
        <v>7</v>
      </c>
      <c r="E2150" s="28" t="s">
        <v>16</v>
      </c>
      <c r="F2150" s="28">
        <v>12020</v>
      </c>
      <c r="H2150">
        <f>VLOOKUP(A2150&amp;B2150,ticker_sector[],2,FALSE)</f>
        <v>17</v>
      </c>
      <c r="I2150">
        <f>VLOOKUP(C2150,year[],2,FALSE)</f>
        <v>4</v>
      </c>
      <c r="J2150">
        <f>VLOOKUP(E2150,showing[],2,FALSE)</f>
        <v>13</v>
      </c>
      <c r="K2150">
        <f>Сектора[[#This Row],[Значение]]</f>
        <v>12020</v>
      </c>
      <c r="L2150" t="str">
        <f t="shared" si="33"/>
        <v>INSERT INTO msfo.statements (id_company, id_year, id_showing, value) VALUES (17,4,13,12020);</v>
      </c>
    </row>
    <row r="2151" spans="1:12">
      <c r="A2151" s="28" t="s">
        <v>51</v>
      </c>
      <c r="B2151" s="28" t="s">
        <v>34</v>
      </c>
      <c r="C2151" s="28">
        <v>2015</v>
      </c>
      <c r="D2151" s="28" t="s">
        <v>7</v>
      </c>
      <c r="E2151" s="28" t="s">
        <v>16</v>
      </c>
      <c r="F2151" s="28">
        <v>7311</v>
      </c>
      <c r="H2151">
        <f>VLOOKUP(A2151&amp;B2151,ticker_sector[],2,FALSE)</f>
        <v>17</v>
      </c>
      <c r="I2151">
        <f>VLOOKUP(C2151,year[],2,FALSE)</f>
        <v>5</v>
      </c>
      <c r="J2151">
        <f>VLOOKUP(E2151,showing[],2,FALSE)</f>
        <v>13</v>
      </c>
      <c r="K2151">
        <f>Сектора[[#This Row],[Значение]]</f>
        <v>7311</v>
      </c>
      <c r="L2151" t="str">
        <f t="shared" si="33"/>
        <v>INSERT INTO msfo.statements (id_company, id_year, id_showing, value) VALUES (17,5,13,7311);</v>
      </c>
    </row>
    <row r="2152" spans="1:12">
      <c r="A2152" s="28" t="s">
        <v>51</v>
      </c>
      <c r="B2152" s="28" t="s">
        <v>34</v>
      </c>
      <c r="C2152" s="28">
        <v>2016</v>
      </c>
      <c r="D2152" s="28" t="s">
        <v>7</v>
      </c>
      <c r="E2152" s="28" t="s">
        <v>16</v>
      </c>
      <c r="F2152" s="28">
        <v>8878</v>
      </c>
      <c r="H2152">
        <f>VLOOKUP(A2152&amp;B2152,ticker_sector[],2,FALSE)</f>
        <v>17</v>
      </c>
      <c r="I2152">
        <f>VLOOKUP(C2152,year[],2,FALSE)</f>
        <v>6</v>
      </c>
      <c r="J2152">
        <f>VLOOKUP(E2152,showing[],2,FALSE)</f>
        <v>13</v>
      </c>
      <c r="K2152">
        <f>Сектора[[#This Row],[Значение]]</f>
        <v>8878</v>
      </c>
      <c r="L2152" t="str">
        <f t="shared" si="33"/>
        <v>INSERT INTO msfo.statements (id_company, id_year, id_showing, value) VALUES (17,6,13,8878);</v>
      </c>
    </row>
    <row r="2153" spans="1:12">
      <c r="A2153" s="28" t="s">
        <v>51</v>
      </c>
      <c r="B2153" s="28" t="s">
        <v>34</v>
      </c>
      <c r="C2153" s="28">
        <v>2017</v>
      </c>
      <c r="D2153" s="28" t="s">
        <v>7</v>
      </c>
      <c r="E2153" s="28" t="s">
        <v>16</v>
      </c>
      <c r="F2153" s="28">
        <v>9773</v>
      </c>
      <c r="H2153">
        <f>VLOOKUP(A2153&amp;B2153,ticker_sector[],2,FALSE)</f>
        <v>17</v>
      </c>
      <c r="I2153">
        <f>VLOOKUP(C2153,year[],2,FALSE)</f>
        <v>7</v>
      </c>
      <c r="J2153">
        <f>VLOOKUP(E2153,showing[],2,FALSE)</f>
        <v>13</v>
      </c>
      <c r="K2153">
        <f>Сектора[[#This Row],[Значение]]</f>
        <v>9773</v>
      </c>
      <c r="L2153" t="str">
        <f t="shared" si="33"/>
        <v>INSERT INTO msfo.statements (id_company, id_year, id_showing, value) VALUES (17,7,13,9773);</v>
      </c>
    </row>
    <row r="2154" spans="1:12">
      <c r="A2154" s="28" t="s">
        <v>51</v>
      </c>
      <c r="B2154" s="28" t="s">
        <v>34</v>
      </c>
      <c r="C2154" s="28">
        <v>2010</v>
      </c>
      <c r="D2154" s="28" t="s">
        <v>7</v>
      </c>
      <c r="E2154" s="28" t="s">
        <v>17</v>
      </c>
      <c r="F2154" s="28">
        <v>142.27168773726987</v>
      </c>
      <c r="H2154">
        <f>VLOOKUP(A2154&amp;B2154,ticker_sector[],2,FALSE)</f>
        <v>17</v>
      </c>
      <c r="I2154">
        <f>VLOOKUP(C2154,year[],2,FALSE)</f>
        <v>0</v>
      </c>
      <c r="J2154">
        <f>VLOOKUP(E2154,showing[],2,FALSE)</f>
        <v>14</v>
      </c>
      <c r="K2154">
        <f>Сектора[[#This Row],[Значение]]</f>
        <v>142.27168773726987</v>
      </c>
      <c r="L2154" t="str">
        <f t="shared" si="33"/>
        <v>INSERT INTO msfo.statements (id_company, id_year, id_showing, value) VALUES (17,0,14,142,27168773727);</v>
      </c>
    </row>
    <row r="2155" spans="1:12">
      <c r="A2155" s="28" t="s">
        <v>51</v>
      </c>
      <c r="B2155" s="28" t="s">
        <v>34</v>
      </c>
      <c r="C2155" s="28">
        <v>2011</v>
      </c>
      <c r="D2155" s="28" t="s">
        <v>7</v>
      </c>
      <c r="E2155" s="28" t="s">
        <v>17</v>
      </c>
      <c r="F2155" s="28">
        <v>155.08089489099612</v>
      </c>
      <c r="H2155">
        <f>VLOOKUP(A2155&amp;B2155,ticker_sector[],2,FALSE)</f>
        <v>17</v>
      </c>
      <c r="I2155">
        <f>VLOOKUP(C2155,year[],2,FALSE)</f>
        <v>1</v>
      </c>
      <c r="J2155">
        <f>VLOOKUP(E2155,showing[],2,FALSE)</f>
        <v>14</v>
      </c>
      <c r="K2155">
        <f>Сектора[[#This Row],[Значение]]</f>
        <v>155.08089489099612</v>
      </c>
      <c r="L2155" t="str">
        <f t="shared" si="33"/>
        <v>INSERT INTO msfo.statements (id_company, id_year, id_showing, value) VALUES (17,1,14,155,080894890996);</v>
      </c>
    </row>
    <row r="2156" spans="1:12">
      <c r="A2156" s="28" t="s">
        <v>51</v>
      </c>
      <c r="B2156" s="28" t="s">
        <v>34</v>
      </c>
      <c r="C2156" s="28">
        <v>2012</v>
      </c>
      <c r="D2156" s="28" t="s">
        <v>7</v>
      </c>
      <c r="E2156" s="28" t="s">
        <v>17</v>
      </c>
      <c r="F2156" s="28">
        <v>242.91551294419003</v>
      </c>
      <c r="H2156">
        <f>VLOOKUP(A2156&amp;B2156,ticker_sector[],2,FALSE)</f>
        <v>17</v>
      </c>
      <c r="I2156">
        <f>VLOOKUP(C2156,year[],2,FALSE)</f>
        <v>2</v>
      </c>
      <c r="J2156">
        <f>VLOOKUP(E2156,showing[],2,FALSE)</f>
        <v>14</v>
      </c>
      <c r="K2156">
        <f>Сектора[[#This Row],[Значение]]</f>
        <v>242.91551294419003</v>
      </c>
      <c r="L2156" t="str">
        <f t="shared" si="33"/>
        <v>INSERT INTO msfo.statements (id_company, id_year, id_showing, value) VALUES (17,2,14,242,91551294419);</v>
      </c>
    </row>
    <row r="2157" spans="1:12">
      <c r="A2157" s="28" t="s">
        <v>51</v>
      </c>
      <c r="B2157" s="28" t="s">
        <v>34</v>
      </c>
      <c r="C2157" s="28">
        <v>2013</v>
      </c>
      <c r="D2157" s="28" t="s">
        <v>7</v>
      </c>
      <c r="E2157" s="28" t="s">
        <v>17</v>
      </c>
      <c r="F2157" s="28">
        <v>261.38738496510763</v>
      </c>
      <c r="H2157">
        <f>VLOOKUP(A2157&amp;B2157,ticker_sector[],2,FALSE)</f>
        <v>17</v>
      </c>
      <c r="I2157">
        <f>VLOOKUP(C2157,year[],2,FALSE)</f>
        <v>3</v>
      </c>
      <c r="J2157">
        <f>VLOOKUP(E2157,showing[],2,FALSE)</f>
        <v>14</v>
      </c>
      <c r="K2157">
        <f>Сектора[[#This Row],[Значение]]</f>
        <v>261.38738496510763</v>
      </c>
      <c r="L2157" t="str">
        <f t="shared" si="33"/>
        <v>INSERT INTO msfo.statements (id_company, id_year, id_showing, value) VALUES (17,3,14,261,387384965108);</v>
      </c>
    </row>
    <row r="2158" spans="1:12">
      <c r="A2158" s="28" t="s">
        <v>51</v>
      </c>
      <c r="B2158" s="28" t="s">
        <v>34</v>
      </c>
      <c r="C2158" s="28">
        <v>2014</v>
      </c>
      <c r="D2158" s="28" t="s">
        <v>7</v>
      </c>
      <c r="E2158" s="28" t="s">
        <v>17</v>
      </c>
      <c r="F2158" s="28">
        <v>213.65698277946049</v>
      </c>
      <c r="H2158">
        <f>VLOOKUP(A2158&amp;B2158,ticker_sector[],2,FALSE)</f>
        <v>17</v>
      </c>
      <c r="I2158">
        <f>VLOOKUP(C2158,year[],2,FALSE)</f>
        <v>4</v>
      </c>
      <c r="J2158">
        <f>VLOOKUP(E2158,showing[],2,FALSE)</f>
        <v>14</v>
      </c>
      <c r="K2158">
        <f>Сектора[[#This Row],[Значение]]</f>
        <v>213.65698277946049</v>
      </c>
      <c r="L2158" t="str">
        <f t="shared" si="33"/>
        <v>INSERT INTO msfo.statements (id_company, id_year, id_showing, value) VALUES (17,4,14,213,65698277946);</v>
      </c>
    </row>
    <row r="2159" spans="1:12">
      <c r="A2159" s="28" t="s">
        <v>51</v>
      </c>
      <c r="B2159" s="28" t="s">
        <v>34</v>
      </c>
      <c r="C2159" s="28">
        <v>2015</v>
      </c>
      <c r="D2159" s="28" t="s">
        <v>7</v>
      </c>
      <c r="E2159" s="28" t="s">
        <v>17</v>
      </c>
      <c r="F2159" s="28">
        <v>100.31187099270471</v>
      </c>
      <c r="H2159">
        <f>VLOOKUP(A2159&amp;B2159,ticker_sector[],2,FALSE)</f>
        <v>17</v>
      </c>
      <c r="I2159">
        <f>VLOOKUP(C2159,year[],2,FALSE)</f>
        <v>5</v>
      </c>
      <c r="J2159">
        <f>VLOOKUP(E2159,showing[],2,FALSE)</f>
        <v>14</v>
      </c>
      <c r="K2159">
        <f>Сектора[[#This Row],[Значение]]</f>
        <v>100.31187099270471</v>
      </c>
      <c r="L2159" t="str">
        <f t="shared" si="33"/>
        <v>INSERT INTO msfo.statements (id_company, id_year, id_showing, value) VALUES (17,5,14,100,311870992705);</v>
      </c>
    </row>
    <row r="2160" spans="1:12">
      <c r="A2160" s="28" t="s">
        <v>51</v>
      </c>
      <c r="B2160" s="28" t="s">
        <v>34</v>
      </c>
      <c r="C2160" s="28">
        <v>2016</v>
      </c>
      <c r="D2160" s="28" t="s">
        <v>7</v>
      </c>
      <c r="E2160" s="28" t="s">
        <v>17</v>
      </c>
      <c r="F2160" s="28">
        <v>146.36422237206318</v>
      </c>
      <c r="H2160">
        <f>VLOOKUP(A2160&amp;B2160,ticker_sector[],2,FALSE)</f>
        <v>17</v>
      </c>
      <c r="I2160">
        <f>VLOOKUP(C2160,year[],2,FALSE)</f>
        <v>6</v>
      </c>
      <c r="J2160">
        <f>VLOOKUP(E2160,showing[],2,FALSE)</f>
        <v>14</v>
      </c>
      <c r="K2160">
        <f>Сектора[[#This Row],[Значение]]</f>
        <v>146.36422237206318</v>
      </c>
      <c r="L2160" t="str">
        <f t="shared" si="33"/>
        <v>INSERT INTO msfo.statements (id_company, id_year, id_showing, value) VALUES (17,6,14,146,364222372063);</v>
      </c>
    </row>
    <row r="2161" spans="1:12">
      <c r="A2161" s="28" t="s">
        <v>51</v>
      </c>
      <c r="B2161" s="28" t="s">
        <v>34</v>
      </c>
      <c r="C2161" s="28">
        <v>2017</v>
      </c>
      <c r="D2161" s="28" t="s">
        <v>7</v>
      </c>
      <c r="E2161" s="28" t="s">
        <v>17</v>
      </c>
      <c r="F2161" s="28">
        <v>169.66954975850777</v>
      </c>
      <c r="H2161">
        <f>VLOOKUP(A2161&amp;B2161,ticker_sector[],2,FALSE)</f>
        <v>17</v>
      </c>
      <c r="I2161">
        <f>VLOOKUP(C2161,year[],2,FALSE)</f>
        <v>7</v>
      </c>
      <c r="J2161">
        <f>VLOOKUP(E2161,showing[],2,FALSE)</f>
        <v>14</v>
      </c>
      <c r="K2161">
        <f>Сектора[[#This Row],[Значение]]</f>
        <v>169.66954975850777</v>
      </c>
      <c r="L2161" t="str">
        <f t="shared" si="33"/>
        <v>INSERT INTO msfo.statements (id_company, id_year, id_showing, value) VALUES (17,7,14,169,669549758508);</v>
      </c>
    </row>
    <row r="2162" spans="1:12">
      <c r="A2162" s="28" t="s">
        <v>51</v>
      </c>
      <c r="B2162" s="28" t="s">
        <v>34</v>
      </c>
      <c r="C2162" s="28">
        <v>2010</v>
      </c>
      <c r="D2162" s="28" t="s">
        <v>20</v>
      </c>
      <c r="E2162" s="28" t="s">
        <v>18</v>
      </c>
      <c r="F2162" s="28">
        <v>178.93</v>
      </c>
      <c r="H2162">
        <f>VLOOKUP(A2162&amp;B2162,ticker_sector[],2,FALSE)</f>
        <v>17</v>
      </c>
      <c r="I2162">
        <f>VLOOKUP(C2162,year[],2,FALSE)</f>
        <v>0</v>
      </c>
      <c r="J2162">
        <f>VLOOKUP(E2162,showing[],2,FALSE)</f>
        <v>15</v>
      </c>
      <c r="K2162">
        <f>Сектора[[#This Row],[Значение]]</f>
        <v>178.93</v>
      </c>
      <c r="L2162" t="str">
        <f t="shared" si="33"/>
        <v>INSERT INTO msfo.statements (id_company, id_year, id_showing, value) VALUES (17,0,15,178,93);</v>
      </c>
    </row>
    <row r="2163" spans="1:12">
      <c r="A2163" s="28" t="s">
        <v>51</v>
      </c>
      <c r="B2163" s="28" t="s">
        <v>34</v>
      </c>
      <c r="C2163" s="28">
        <v>2011</v>
      </c>
      <c r="D2163" s="28" t="s">
        <v>20</v>
      </c>
      <c r="E2163" s="28" t="s">
        <v>18</v>
      </c>
      <c r="F2163" s="28">
        <v>177.07</v>
      </c>
      <c r="H2163">
        <f>VLOOKUP(A2163&amp;B2163,ticker_sector[],2,FALSE)</f>
        <v>17</v>
      </c>
      <c r="I2163">
        <f>VLOOKUP(C2163,year[],2,FALSE)</f>
        <v>1</v>
      </c>
      <c r="J2163">
        <f>VLOOKUP(E2163,showing[],2,FALSE)</f>
        <v>15</v>
      </c>
      <c r="K2163">
        <f>Сектора[[#This Row],[Значение]]</f>
        <v>177.07</v>
      </c>
      <c r="L2163" t="str">
        <f t="shared" si="33"/>
        <v>INSERT INTO msfo.statements (id_company, id_year, id_showing, value) VALUES (17,1,15,177,07);</v>
      </c>
    </row>
    <row r="2164" spans="1:12">
      <c r="A2164" s="28" t="s">
        <v>51</v>
      </c>
      <c r="B2164" s="28" t="s">
        <v>34</v>
      </c>
      <c r="C2164" s="28">
        <v>2012</v>
      </c>
      <c r="D2164" s="28" t="s">
        <v>20</v>
      </c>
      <c r="E2164" s="28" t="s">
        <v>18</v>
      </c>
      <c r="F2164" s="28">
        <v>177.07</v>
      </c>
      <c r="H2164">
        <f>VLOOKUP(A2164&amp;B2164,ticker_sector[],2,FALSE)</f>
        <v>17</v>
      </c>
      <c r="I2164">
        <f>VLOOKUP(C2164,year[],2,FALSE)</f>
        <v>2</v>
      </c>
      <c r="J2164">
        <f>VLOOKUP(E2164,showing[],2,FALSE)</f>
        <v>15</v>
      </c>
      <c r="K2164">
        <f>Сектора[[#This Row],[Значение]]</f>
        <v>177.07</v>
      </c>
      <c r="L2164" t="str">
        <f t="shared" si="33"/>
        <v>INSERT INTO msfo.statements (id_company, id_year, id_showing, value) VALUES (17,2,15,177,07);</v>
      </c>
    </row>
    <row r="2165" spans="1:12">
      <c r="A2165" s="28" t="s">
        <v>51</v>
      </c>
      <c r="B2165" s="28" t="s">
        <v>34</v>
      </c>
      <c r="C2165" s="28">
        <v>2013</v>
      </c>
      <c r="D2165" s="28" t="s">
        <v>20</v>
      </c>
      <c r="E2165" s="28" t="s">
        <v>18</v>
      </c>
      <c r="F2165" s="28">
        <v>177.94</v>
      </c>
      <c r="H2165">
        <f>VLOOKUP(A2165&amp;B2165,ticker_sector[],2,FALSE)</f>
        <v>17</v>
      </c>
      <c r="I2165">
        <f>VLOOKUP(C2165,year[],2,FALSE)</f>
        <v>3</v>
      </c>
      <c r="J2165">
        <f>VLOOKUP(E2165,showing[],2,FALSE)</f>
        <v>15</v>
      </c>
      <c r="K2165">
        <f>Сектора[[#This Row],[Значение]]</f>
        <v>177.94</v>
      </c>
      <c r="L2165" t="str">
        <f t="shared" si="33"/>
        <v>INSERT INTO msfo.statements (id_company, id_year, id_showing, value) VALUES (17,3,15,177,94);</v>
      </c>
    </row>
    <row r="2166" spans="1:12">
      <c r="A2166" s="28" t="s">
        <v>51</v>
      </c>
      <c r="B2166" s="28" t="s">
        <v>34</v>
      </c>
      <c r="C2166" s="28">
        <v>2014</v>
      </c>
      <c r="D2166" s="28" t="s">
        <v>20</v>
      </c>
      <c r="E2166" s="28" t="s">
        <v>18</v>
      </c>
      <c r="F2166" s="28">
        <v>179.25</v>
      </c>
      <c r="H2166">
        <f>VLOOKUP(A2166&amp;B2166,ticker_sector[],2,FALSE)</f>
        <v>17</v>
      </c>
      <c r="I2166">
        <f>VLOOKUP(C2166,year[],2,FALSE)</f>
        <v>4</v>
      </c>
      <c r="J2166">
        <f>VLOOKUP(E2166,showing[],2,FALSE)</f>
        <v>15</v>
      </c>
      <c r="K2166">
        <f>Сектора[[#This Row],[Значение]]</f>
        <v>179.25</v>
      </c>
      <c r="L2166" t="str">
        <f t="shared" si="33"/>
        <v>INSERT INTO msfo.statements (id_company, id_year, id_showing, value) VALUES (17,4,15,179,25);</v>
      </c>
    </row>
    <row r="2167" spans="1:12">
      <c r="A2167" s="28" t="s">
        <v>51</v>
      </c>
      <c r="B2167" s="28" t="s">
        <v>34</v>
      </c>
      <c r="C2167" s="28">
        <v>2015</v>
      </c>
      <c r="D2167" s="28" t="s">
        <v>20</v>
      </c>
      <c r="E2167" s="28" t="s">
        <v>18</v>
      </c>
      <c r="F2167" s="28">
        <v>178.26</v>
      </c>
      <c r="H2167">
        <f>VLOOKUP(A2167&amp;B2167,ticker_sector[],2,FALSE)</f>
        <v>17</v>
      </c>
      <c r="I2167">
        <f>VLOOKUP(C2167,year[],2,FALSE)</f>
        <v>5</v>
      </c>
      <c r="J2167">
        <f>VLOOKUP(E2167,showing[],2,FALSE)</f>
        <v>15</v>
      </c>
      <c r="K2167">
        <f>Сектора[[#This Row],[Значение]]</f>
        <v>178.26</v>
      </c>
      <c r="L2167" t="str">
        <f t="shared" si="33"/>
        <v>INSERT INTO msfo.statements (id_company, id_year, id_showing, value) VALUES (17,5,15,178,26);</v>
      </c>
    </row>
    <row r="2168" spans="1:12">
      <c r="A2168" s="28" t="s">
        <v>51</v>
      </c>
      <c r="B2168" s="28" t="s">
        <v>34</v>
      </c>
      <c r="C2168" s="28">
        <v>2016</v>
      </c>
      <c r="D2168" s="28" t="s">
        <v>20</v>
      </c>
      <c r="E2168" s="28" t="s">
        <v>18</v>
      </c>
      <c r="F2168" s="28">
        <v>179.53</v>
      </c>
      <c r="H2168">
        <f>VLOOKUP(A2168&amp;B2168,ticker_sector[],2,FALSE)</f>
        <v>17</v>
      </c>
      <c r="I2168">
        <f>VLOOKUP(C2168,year[],2,FALSE)</f>
        <v>6</v>
      </c>
      <c r="J2168">
        <f>VLOOKUP(E2168,showing[],2,FALSE)</f>
        <v>15</v>
      </c>
      <c r="K2168">
        <f>Сектора[[#This Row],[Значение]]</f>
        <v>179.53</v>
      </c>
      <c r="L2168" t="str">
        <f t="shared" si="33"/>
        <v>INSERT INTO msfo.statements (id_company, id_year, id_showing, value) VALUES (17,6,15,179,53);</v>
      </c>
    </row>
    <row r="2169" spans="1:12">
      <c r="A2169" s="28" t="s">
        <v>51</v>
      </c>
      <c r="B2169" s="28" t="s">
        <v>34</v>
      </c>
      <c r="C2169" s="28">
        <v>2017</v>
      </c>
      <c r="D2169" s="28" t="s">
        <v>20</v>
      </c>
      <c r="E2169" s="28" t="s">
        <v>18</v>
      </c>
      <c r="F2169" s="28">
        <v>179.53</v>
      </c>
      <c r="H2169">
        <f>VLOOKUP(A2169&amp;B2169,ticker_sector[],2,FALSE)</f>
        <v>17</v>
      </c>
      <c r="I2169">
        <f>VLOOKUP(C2169,year[],2,FALSE)</f>
        <v>7</v>
      </c>
      <c r="J2169">
        <f>VLOOKUP(E2169,showing[],2,FALSE)</f>
        <v>15</v>
      </c>
      <c r="K2169">
        <f>Сектора[[#This Row],[Значение]]</f>
        <v>179.53</v>
      </c>
      <c r="L2169" t="str">
        <f t="shared" si="33"/>
        <v>INSERT INTO msfo.statements (id_company, id_year, id_showing, value) VALUES (17,7,15,179,53);</v>
      </c>
    </row>
    <row r="2170" spans="1:12">
      <c r="A2170" s="28" t="s">
        <v>51</v>
      </c>
      <c r="B2170" s="28" t="s">
        <v>34</v>
      </c>
      <c r="C2170" s="28">
        <v>2010</v>
      </c>
      <c r="D2170" s="28" t="s">
        <v>20</v>
      </c>
      <c r="E2170" s="28" t="s">
        <v>19</v>
      </c>
      <c r="F2170" s="28">
        <v>266.8</v>
      </c>
      <c r="H2170">
        <f>VLOOKUP(A2170&amp;B2170,ticker_sector[],2,FALSE)</f>
        <v>17</v>
      </c>
      <c r="I2170">
        <f>VLOOKUP(C2170,year[],2,FALSE)</f>
        <v>0</v>
      </c>
      <c r="J2170">
        <f>VLOOKUP(E2170,showing[],2,FALSE)</f>
        <v>16</v>
      </c>
      <c r="K2170">
        <f>Сектора[[#This Row],[Значение]]</f>
        <v>266.8</v>
      </c>
      <c r="L2170" t="str">
        <f t="shared" si="33"/>
        <v>INSERT INTO msfo.statements (id_company, id_year, id_showing, value) VALUES (17,0,16,266,8);</v>
      </c>
    </row>
    <row r="2171" spans="1:12">
      <c r="A2171" s="28" t="s">
        <v>51</v>
      </c>
      <c r="B2171" s="28" t="s">
        <v>34</v>
      </c>
      <c r="C2171" s="28">
        <v>2011</v>
      </c>
      <c r="D2171" s="28" t="s">
        <v>20</v>
      </c>
      <c r="E2171" s="28" t="s">
        <v>19</v>
      </c>
      <c r="F2171" s="28">
        <v>181.4</v>
      </c>
      <c r="H2171">
        <f>VLOOKUP(A2171&amp;B2171,ticker_sector[],2,FALSE)</f>
        <v>17</v>
      </c>
      <c r="I2171">
        <f>VLOOKUP(C2171,year[],2,FALSE)</f>
        <v>1</v>
      </c>
      <c r="J2171">
        <f>VLOOKUP(E2171,showing[],2,FALSE)</f>
        <v>16</v>
      </c>
      <c r="K2171">
        <f>Сектора[[#This Row],[Значение]]</f>
        <v>181.4</v>
      </c>
      <c r="L2171" t="str">
        <f t="shared" si="33"/>
        <v>INSERT INTO msfo.statements (id_company, id_year, id_showing, value) VALUES (17,1,16,181,4);</v>
      </c>
    </row>
    <row r="2172" spans="1:12">
      <c r="A2172" s="28" t="s">
        <v>51</v>
      </c>
      <c r="B2172" s="28" t="s">
        <v>34</v>
      </c>
      <c r="C2172" s="28">
        <v>2012</v>
      </c>
      <c r="D2172" s="28" t="s">
        <v>20</v>
      </c>
      <c r="E2172" s="28" t="s">
        <v>19</v>
      </c>
      <c r="F2172" s="28">
        <v>243</v>
      </c>
      <c r="H2172">
        <f>VLOOKUP(A2172&amp;B2172,ticker_sector[],2,FALSE)</f>
        <v>17</v>
      </c>
      <c r="I2172">
        <f>VLOOKUP(C2172,year[],2,FALSE)</f>
        <v>2</v>
      </c>
      <c r="J2172">
        <f>VLOOKUP(E2172,showing[],2,FALSE)</f>
        <v>16</v>
      </c>
      <c r="K2172">
        <f>Сектора[[#This Row],[Значение]]</f>
        <v>243</v>
      </c>
      <c r="L2172" t="str">
        <f t="shared" si="33"/>
        <v>INSERT INTO msfo.statements (id_company, id_year, id_showing, value) VALUES (17,2,16,243);</v>
      </c>
    </row>
    <row r="2173" spans="1:12">
      <c r="A2173" s="28" t="s">
        <v>51</v>
      </c>
      <c r="B2173" s="28" t="s">
        <v>34</v>
      </c>
      <c r="C2173" s="28">
        <v>2013</v>
      </c>
      <c r="D2173" s="28" t="s">
        <v>20</v>
      </c>
      <c r="E2173" s="28" t="s">
        <v>19</v>
      </c>
      <c r="F2173" s="28">
        <v>298</v>
      </c>
      <c r="H2173">
        <f>VLOOKUP(A2173&amp;B2173,ticker_sector[],2,FALSE)</f>
        <v>17</v>
      </c>
      <c r="I2173">
        <f>VLOOKUP(C2173,year[],2,FALSE)</f>
        <v>3</v>
      </c>
      <c r="J2173">
        <f>VLOOKUP(E2173,showing[],2,FALSE)</f>
        <v>16</v>
      </c>
      <c r="K2173">
        <f>Сектора[[#This Row],[Значение]]</f>
        <v>298</v>
      </c>
      <c r="L2173" t="str">
        <f t="shared" si="33"/>
        <v>INSERT INTO msfo.statements (id_company, id_year, id_showing, value) VALUES (17,3,16,298);</v>
      </c>
    </row>
    <row r="2174" spans="1:12">
      <c r="A2174" s="28" t="s">
        <v>51</v>
      </c>
      <c r="B2174" s="28" t="s">
        <v>34</v>
      </c>
      <c r="C2174" s="28">
        <v>2014</v>
      </c>
      <c r="D2174" s="28" t="s">
        <v>20</v>
      </c>
      <c r="E2174" s="28" t="s">
        <v>19</v>
      </c>
      <c r="F2174" s="28">
        <v>123.4</v>
      </c>
      <c r="H2174">
        <f>VLOOKUP(A2174&amp;B2174,ticker_sector[],2,FALSE)</f>
        <v>17</v>
      </c>
      <c r="I2174">
        <f>VLOOKUP(C2174,year[],2,FALSE)</f>
        <v>4</v>
      </c>
      <c r="J2174">
        <f>VLOOKUP(E2174,showing[],2,FALSE)</f>
        <v>16</v>
      </c>
      <c r="K2174">
        <f>Сектора[[#This Row],[Значение]]</f>
        <v>123.4</v>
      </c>
      <c r="L2174" t="str">
        <f t="shared" si="33"/>
        <v>INSERT INTO msfo.statements (id_company, id_year, id_showing, value) VALUES (17,4,16,123,4);</v>
      </c>
    </row>
    <row r="2175" spans="1:12">
      <c r="A2175" s="28" t="s">
        <v>51</v>
      </c>
      <c r="B2175" s="28" t="s">
        <v>34</v>
      </c>
      <c r="C2175" s="28">
        <v>2015</v>
      </c>
      <c r="D2175" s="28" t="s">
        <v>20</v>
      </c>
      <c r="E2175" s="28" t="s">
        <v>19</v>
      </c>
      <c r="F2175" s="28">
        <v>268.5</v>
      </c>
      <c r="H2175">
        <f>VLOOKUP(A2175&amp;B2175,ticker_sector[],2,FALSE)</f>
        <v>17</v>
      </c>
      <c r="I2175">
        <f>VLOOKUP(C2175,year[],2,FALSE)</f>
        <v>5</v>
      </c>
      <c r="J2175">
        <f>VLOOKUP(E2175,showing[],2,FALSE)</f>
        <v>16</v>
      </c>
      <c r="K2175">
        <f>Сектора[[#This Row],[Значение]]</f>
        <v>268.5</v>
      </c>
      <c r="L2175" t="str">
        <f t="shared" si="33"/>
        <v>INSERT INTO msfo.statements (id_company, id_year, id_showing, value) VALUES (17,5,16,268,5);</v>
      </c>
    </row>
    <row r="2176" spans="1:12">
      <c r="A2176" s="28" t="s">
        <v>51</v>
      </c>
      <c r="B2176" s="28" t="s">
        <v>34</v>
      </c>
      <c r="C2176" s="28">
        <v>2016</v>
      </c>
      <c r="D2176" s="28" t="s">
        <v>20</v>
      </c>
      <c r="E2176" s="28" t="s">
        <v>19</v>
      </c>
      <c r="F2176" s="28">
        <v>387.5</v>
      </c>
      <c r="H2176">
        <f>VLOOKUP(A2176&amp;B2176,ticker_sector[],2,FALSE)</f>
        <v>17</v>
      </c>
      <c r="I2176">
        <f>VLOOKUP(C2176,year[],2,FALSE)</f>
        <v>6</v>
      </c>
      <c r="J2176">
        <f>VLOOKUP(E2176,showing[],2,FALSE)</f>
        <v>16</v>
      </c>
      <c r="K2176">
        <f>Сектора[[#This Row],[Значение]]</f>
        <v>387.5</v>
      </c>
      <c r="L2176" t="str">
        <f t="shared" si="33"/>
        <v>INSERT INTO msfo.statements (id_company, id_year, id_showing, value) VALUES (17,6,16,387,5);</v>
      </c>
    </row>
    <row r="2177" spans="1:12">
      <c r="A2177" s="28" t="s">
        <v>51</v>
      </c>
      <c r="B2177" s="28" t="s">
        <v>34</v>
      </c>
      <c r="C2177" s="28">
        <v>2017</v>
      </c>
      <c r="D2177" s="28" t="s">
        <v>20</v>
      </c>
      <c r="E2177" s="28" t="s">
        <v>19</v>
      </c>
      <c r="F2177" s="28">
        <v>415</v>
      </c>
      <c r="H2177">
        <f>VLOOKUP(A2177&amp;B2177,ticker_sector[],2,FALSE)</f>
        <v>17</v>
      </c>
      <c r="I2177">
        <f>VLOOKUP(C2177,year[],2,FALSE)</f>
        <v>7</v>
      </c>
      <c r="J2177">
        <f>VLOOKUP(E2177,showing[],2,FALSE)</f>
        <v>16</v>
      </c>
      <c r="K2177">
        <f>Сектора[[#This Row],[Значение]]</f>
        <v>415</v>
      </c>
      <c r="L2177" t="str">
        <f t="shared" si="33"/>
        <v>INSERT INTO msfo.statements (id_company, id_year, id_showing, value) VALUES (17,7,16,415);</v>
      </c>
    </row>
    <row r="2178" spans="1:12">
      <c r="A2178" s="28" t="s">
        <v>52</v>
      </c>
      <c r="B2178" s="28" t="s">
        <v>53</v>
      </c>
      <c r="C2178" s="28">
        <v>2010</v>
      </c>
      <c r="D2178" s="28" t="s">
        <v>1</v>
      </c>
      <c r="E2178" s="28" t="s">
        <v>2</v>
      </c>
      <c r="F2178" s="28">
        <v>635459</v>
      </c>
      <c r="H2178">
        <f>VLOOKUP(A2178&amp;B2178,ticker_sector[],2,FALSE)</f>
        <v>18</v>
      </c>
      <c r="I2178">
        <f>VLOOKUP(C2178,year[],2,FALSE)</f>
        <v>0</v>
      </c>
      <c r="J2178">
        <f>VLOOKUP(E2178,showing[],2,FALSE)</f>
        <v>1</v>
      </c>
      <c r="K2178">
        <f>Сектора[[#This Row],[Значение]]</f>
        <v>635459</v>
      </c>
      <c r="L2178" t="str">
        <f t="shared" si="33"/>
        <v>INSERT INTO msfo.statements (id_company, id_year, id_showing, value) VALUES (18,0,1,635459);</v>
      </c>
    </row>
    <row r="2179" spans="1:12">
      <c r="A2179" s="28" t="s">
        <v>52</v>
      </c>
      <c r="B2179" s="28" t="s">
        <v>53</v>
      </c>
      <c r="C2179" s="28">
        <v>2011</v>
      </c>
      <c r="D2179" s="28" t="s">
        <v>1</v>
      </c>
      <c r="E2179" s="28" t="s">
        <v>2</v>
      </c>
      <c r="F2179" s="28">
        <v>686659</v>
      </c>
      <c r="H2179">
        <f>VLOOKUP(A2179&amp;B2179,ticker_sector[],2,FALSE)</f>
        <v>18</v>
      </c>
      <c r="I2179">
        <f>VLOOKUP(C2179,year[],2,FALSE)</f>
        <v>1</v>
      </c>
      <c r="J2179">
        <f>VLOOKUP(E2179,showing[],2,FALSE)</f>
        <v>1</v>
      </c>
      <c r="K2179">
        <f>Сектора[[#This Row],[Значение]]</f>
        <v>686659</v>
      </c>
      <c r="L2179" t="str">
        <f t="shared" ref="L2179:L2242" si="34">"INSERT INTO msfo.statements (id_company, id_year, id_showing, value) VALUES ("&amp;H2179&amp; ","&amp;I2179&amp; ","&amp;J2179&amp; ","&amp;K2179&amp;");"</f>
        <v>INSERT INTO msfo.statements (id_company, id_year, id_showing, value) VALUES (18,1,1,686659);</v>
      </c>
    </row>
    <row r="2180" spans="1:12">
      <c r="A2180" s="28" t="s">
        <v>52</v>
      </c>
      <c r="B2180" s="28" t="s">
        <v>53</v>
      </c>
      <c r="C2180" s="28">
        <v>2012</v>
      </c>
      <c r="D2180" s="28" t="s">
        <v>1</v>
      </c>
      <c r="E2180" s="28" t="s">
        <v>2</v>
      </c>
      <c r="F2180" s="28">
        <v>661695</v>
      </c>
      <c r="H2180">
        <f>VLOOKUP(A2180&amp;B2180,ticker_sector[],2,FALSE)</f>
        <v>18</v>
      </c>
      <c r="I2180">
        <f>VLOOKUP(C2180,year[],2,FALSE)</f>
        <v>2</v>
      </c>
      <c r="J2180">
        <f>VLOOKUP(E2180,showing[],2,FALSE)</f>
        <v>1</v>
      </c>
      <c r="K2180">
        <f>Сектора[[#This Row],[Значение]]</f>
        <v>661695</v>
      </c>
      <c r="L2180" t="str">
        <f t="shared" si="34"/>
        <v>INSERT INTO msfo.statements (id_company, id_year, id_showing, value) VALUES (18,2,1,661695);</v>
      </c>
    </row>
    <row r="2181" spans="1:12">
      <c r="A2181" s="28" t="s">
        <v>52</v>
      </c>
      <c r="B2181" s="28" t="s">
        <v>53</v>
      </c>
      <c r="C2181" s="28">
        <v>2013</v>
      </c>
      <c r="D2181" s="28" t="s">
        <v>1</v>
      </c>
      <c r="E2181" s="28" t="s">
        <v>2</v>
      </c>
      <c r="F2181" s="28">
        <v>694917</v>
      </c>
      <c r="H2181">
        <f>VLOOKUP(A2181&amp;B2181,ticker_sector[],2,FALSE)</f>
        <v>18</v>
      </c>
      <c r="I2181">
        <f>VLOOKUP(C2181,year[],2,FALSE)</f>
        <v>3</v>
      </c>
      <c r="J2181">
        <f>VLOOKUP(E2181,showing[],2,FALSE)</f>
        <v>1</v>
      </c>
      <c r="K2181">
        <f>Сектора[[#This Row],[Значение]]</f>
        <v>694917</v>
      </c>
      <c r="L2181" t="str">
        <f t="shared" si="34"/>
        <v>INSERT INTO msfo.statements (id_company, id_year, id_showing, value) VALUES (18,3,1,694917);</v>
      </c>
    </row>
    <row r="2182" spans="1:12">
      <c r="A2182" s="28" t="s">
        <v>52</v>
      </c>
      <c r="B2182" s="28" t="s">
        <v>53</v>
      </c>
      <c r="C2182" s="28">
        <v>2014</v>
      </c>
      <c r="D2182" s="28" t="s">
        <v>1</v>
      </c>
      <c r="E2182" s="28" t="s">
        <v>2</v>
      </c>
      <c r="F2182" s="28">
        <v>734730</v>
      </c>
      <c r="H2182">
        <f>VLOOKUP(A2182&amp;B2182,ticker_sector[],2,FALSE)</f>
        <v>18</v>
      </c>
      <c r="I2182">
        <f>VLOOKUP(C2182,year[],2,FALSE)</f>
        <v>4</v>
      </c>
      <c r="J2182">
        <f>VLOOKUP(E2182,showing[],2,FALSE)</f>
        <v>1</v>
      </c>
      <c r="K2182">
        <f>Сектора[[#This Row],[Значение]]</f>
        <v>734730</v>
      </c>
      <c r="L2182" t="str">
        <f t="shared" si="34"/>
        <v>INSERT INTO msfo.statements (id_company, id_year, id_showing, value) VALUES (18,4,1,734730);</v>
      </c>
    </row>
    <row r="2183" spans="1:12">
      <c r="A2183" s="28" t="s">
        <v>52</v>
      </c>
      <c r="B2183" s="28" t="s">
        <v>53</v>
      </c>
      <c r="C2183" s="28">
        <v>2015</v>
      </c>
      <c r="D2183" s="28" t="s">
        <v>1</v>
      </c>
      <c r="E2183" s="28" t="s">
        <v>2</v>
      </c>
      <c r="F2183" s="28">
        <v>791709</v>
      </c>
      <c r="H2183">
        <f>VLOOKUP(A2183&amp;B2183,ticker_sector[],2,FALSE)</f>
        <v>18</v>
      </c>
      <c r="I2183">
        <f>VLOOKUP(C2183,year[],2,FALSE)</f>
        <v>5</v>
      </c>
      <c r="J2183">
        <f>VLOOKUP(E2183,showing[],2,FALSE)</f>
        <v>1</v>
      </c>
      <c r="K2183">
        <f>Сектора[[#This Row],[Значение]]</f>
        <v>791709</v>
      </c>
      <c r="L2183" t="str">
        <f t="shared" si="34"/>
        <v>INSERT INTO msfo.statements (id_company, id_year, id_showing, value) VALUES (18,5,1,791709);</v>
      </c>
    </row>
    <row r="2184" spans="1:12">
      <c r="A2184" s="28" t="s">
        <v>52</v>
      </c>
      <c r="B2184" s="28" t="s">
        <v>53</v>
      </c>
      <c r="C2184" s="28">
        <v>2016</v>
      </c>
      <c r="D2184" s="28" t="s">
        <v>1</v>
      </c>
      <c r="E2184" s="28" t="s">
        <v>2</v>
      </c>
      <c r="F2184" s="28">
        <v>834993</v>
      </c>
      <c r="H2184">
        <f>VLOOKUP(A2184&amp;B2184,ticker_sector[],2,FALSE)</f>
        <v>18</v>
      </c>
      <c r="I2184">
        <f>VLOOKUP(C2184,year[],2,FALSE)</f>
        <v>6</v>
      </c>
      <c r="J2184">
        <f>VLOOKUP(E2184,showing[],2,FALSE)</f>
        <v>1</v>
      </c>
      <c r="K2184">
        <f>Сектора[[#This Row],[Значение]]</f>
        <v>834993</v>
      </c>
      <c r="L2184" t="str">
        <f t="shared" si="34"/>
        <v>INSERT INTO msfo.statements (id_company, id_year, id_showing, value) VALUES (18,6,1,834993);</v>
      </c>
    </row>
    <row r="2185" spans="1:12">
      <c r="A2185" s="28" t="s">
        <v>52</v>
      </c>
      <c r="B2185" s="28" t="s">
        <v>53</v>
      </c>
      <c r="C2185" s="28">
        <v>2017</v>
      </c>
      <c r="D2185" s="28" t="s">
        <v>1</v>
      </c>
      <c r="E2185" s="28" t="s">
        <v>2</v>
      </c>
      <c r="F2185" s="28">
        <v>873132</v>
      </c>
      <c r="H2185">
        <f>VLOOKUP(A2185&amp;B2185,ticker_sector[],2,FALSE)</f>
        <v>18</v>
      </c>
      <c r="I2185">
        <f>VLOOKUP(C2185,year[],2,FALSE)</f>
        <v>7</v>
      </c>
      <c r="J2185">
        <f>VLOOKUP(E2185,showing[],2,FALSE)</f>
        <v>1</v>
      </c>
      <c r="K2185">
        <f>Сектора[[#This Row],[Значение]]</f>
        <v>873132</v>
      </c>
      <c r="L2185" t="str">
        <f t="shared" si="34"/>
        <v>INSERT INTO msfo.statements (id_company, id_year, id_showing, value) VALUES (18,7,1,873132);</v>
      </c>
    </row>
    <row r="2186" spans="1:12">
      <c r="A2186" s="28" t="s">
        <v>52</v>
      </c>
      <c r="B2186" s="28" t="s">
        <v>53</v>
      </c>
      <c r="C2186" s="28">
        <v>2010</v>
      </c>
      <c r="D2186" s="28" t="s">
        <v>1</v>
      </c>
      <c r="E2186" s="28" t="s">
        <v>3</v>
      </c>
      <c r="F2186" s="28">
        <v>109534</v>
      </c>
      <c r="H2186">
        <f>VLOOKUP(A2186&amp;B2186,ticker_sector[],2,FALSE)</f>
        <v>18</v>
      </c>
      <c r="I2186">
        <f>VLOOKUP(C2186,year[],2,FALSE)</f>
        <v>0</v>
      </c>
      <c r="J2186">
        <f>VLOOKUP(E2186,showing[],2,FALSE)</f>
        <v>2</v>
      </c>
      <c r="K2186">
        <f>Сектора[[#This Row],[Значение]]</f>
        <v>109534</v>
      </c>
      <c r="L2186" t="str">
        <f t="shared" si="34"/>
        <v>INSERT INTO msfo.statements (id_company, id_year, id_showing, value) VALUES (18,0,2,109534);</v>
      </c>
    </row>
    <row r="2187" spans="1:12">
      <c r="A2187" s="28" t="s">
        <v>52</v>
      </c>
      <c r="B2187" s="28" t="s">
        <v>53</v>
      </c>
      <c r="C2187" s="28">
        <v>2011</v>
      </c>
      <c r="D2187" s="28" t="s">
        <v>1</v>
      </c>
      <c r="E2187" s="28" t="s">
        <v>3</v>
      </c>
      <c r="F2187" s="28">
        <v>125124</v>
      </c>
      <c r="H2187">
        <f>VLOOKUP(A2187&amp;B2187,ticker_sector[],2,FALSE)</f>
        <v>18</v>
      </c>
      <c r="I2187">
        <f>VLOOKUP(C2187,year[],2,FALSE)</f>
        <v>1</v>
      </c>
      <c r="J2187">
        <f>VLOOKUP(E2187,showing[],2,FALSE)</f>
        <v>2</v>
      </c>
      <c r="K2187">
        <f>Сектора[[#This Row],[Значение]]</f>
        <v>125124</v>
      </c>
      <c r="L2187" t="str">
        <f t="shared" si="34"/>
        <v>INSERT INTO msfo.statements (id_company, id_year, id_showing, value) VALUES (18,1,2,125124);</v>
      </c>
    </row>
    <row r="2188" spans="1:12">
      <c r="A2188" s="28" t="s">
        <v>52</v>
      </c>
      <c r="B2188" s="28" t="s">
        <v>53</v>
      </c>
      <c r="C2188" s="28">
        <v>2012</v>
      </c>
      <c r="D2188" s="28" t="s">
        <v>1</v>
      </c>
      <c r="E2188" s="28" t="s">
        <v>3</v>
      </c>
      <c r="F2188" s="28">
        <v>192572</v>
      </c>
      <c r="H2188">
        <f>VLOOKUP(A2188&amp;B2188,ticker_sector[],2,FALSE)</f>
        <v>18</v>
      </c>
      <c r="I2188">
        <f>VLOOKUP(C2188,year[],2,FALSE)</f>
        <v>2</v>
      </c>
      <c r="J2188">
        <f>VLOOKUP(E2188,showing[],2,FALSE)</f>
        <v>2</v>
      </c>
      <c r="K2188">
        <f>Сектора[[#This Row],[Значение]]</f>
        <v>192572</v>
      </c>
      <c r="L2188" t="str">
        <f t="shared" si="34"/>
        <v>INSERT INTO msfo.statements (id_company, id_year, id_showing, value) VALUES (18,2,2,192572);</v>
      </c>
    </row>
    <row r="2189" spans="1:12">
      <c r="A2189" s="28" t="s">
        <v>52</v>
      </c>
      <c r="B2189" s="28" t="s">
        <v>53</v>
      </c>
      <c r="C2189" s="28">
        <v>2013</v>
      </c>
      <c r="D2189" s="28" t="s">
        <v>1</v>
      </c>
      <c r="E2189" s="28" t="s">
        <v>3</v>
      </c>
      <c r="F2189" s="28">
        <v>157129</v>
      </c>
      <c r="H2189">
        <f>VLOOKUP(A2189&amp;B2189,ticker_sector[],2,FALSE)</f>
        <v>18</v>
      </c>
      <c r="I2189">
        <f>VLOOKUP(C2189,year[],2,FALSE)</f>
        <v>3</v>
      </c>
      <c r="J2189">
        <f>VLOOKUP(E2189,showing[],2,FALSE)</f>
        <v>2</v>
      </c>
      <c r="K2189">
        <f>Сектора[[#This Row],[Значение]]</f>
        <v>157129</v>
      </c>
      <c r="L2189" t="str">
        <f t="shared" si="34"/>
        <v>INSERT INTO msfo.statements (id_company, id_year, id_showing, value) VALUES (18,3,2,157129);</v>
      </c>
    </row>
    <row r="2190" spans="1:12">
      <c r="A2190" s="28" t="s">
        <v>52</v>
      </c>
      <c r="B2190" s="28" t="s">
        <v>53</v>
      </c>
      <c r="C2190" s="28">
        <v>2014</v>
      </c>
      <c r="D2190" s="28" t="s">
        <v>1</v>
      </c>
      <c r="E2190" s="28" t="s">
        <v>3</v>
      </c>
      <c r="F2190" s="28">
        <v>149040</v>
      </c>
      <c r="H2190">
        <f>VLOOKUP(A2190&amp;B2190,ticker_sector[],2,FALSE)</f>
        <v>18</v>
      </c>
      <c r="I2190">
        <f>VLOOKUP(C2190,year[],2,FALSE)</f>
        <v>4</v>
      </c>
      <c r="J2190">
        <f>VLOOKUP(E2190,showing[],2,FALSE)</f>
        <v>2</v>
      </c>
      <c r="K2190">
        <f>Сектора[[#This Row],[Значение]]</f>
        <v>149040</v>
      </c>
      <c r="L2190" t="str">
        <f t="shared" si="34"/>
        <v>INSERT INTO msfo.statements (id_company, id_year, id_showing, value) VALUES (18,4,2,149040);</v>
      </c>
    </row>
    <row r="2191" spans="1:12">
      <c r="A2191" s="28" t="s">
        <v>52</v>
      </c>
      <c r="B2191" s="28" t="s">
        <v>53</v>
      </c>
      <c r="C2191" s="28">
        <v>2015</v>
      </c>
      <c r="D2191" s="28" t="s">
        <v>1</v>
      </c>
      <c r="E2191" s="28" t="s">
        <v>3</v>
      </c>
      <c r="F2191" s="28">
        <v>146428</v>
      </c>
      <c r="H2191">
        <f>VLOOKUP(A2191&amp;B2191,ticker_sector[],2,FALSE)</f>
        <v>18</v>
      </c>
      <c r="I2191">
        <f>VLOOKUP(C2191,year[],2,FALSE)</f>
        <v>5</v>
      </c>
      <c r="J2191">
        <f>VLOOKUP(E2191,showing[],2,FALSE)</f>
        <v>2</v>
      </c>
      <c r="K2191">
        <f>Сектора[[#This Row],[Значение]]</f>
        <v>146428</v>
      </c>
      <c r="L2191" t="str">
        <f t="shared" si="34"/>
        <v>INSERT INTO msfo.statements (id_company, id_year, id_showing, value) VALUES (18,5,2,146428);</v>
      </c>
    </row>
    <row r="2192" spans="1:12">
      <c r="A2192" s="28" t="s">
        <v>52</v>
      </c>
      <c r="B2192" s="28" t="s">
        <v>53</v>
      </c>
      <c r="C2192" s="28">
        <v>2016</v>
      </c>
      <c r="D2192" s="28" t="s">
        <v>1</v>
      </c>
      <c r="E2192" s="28" t="s">
        <v>3</v>
      </c>
      <c r="F2192" s="28">
        <v>148453</v>
      </c>
      <c r="H2192">
        <f>VLOOKUP(A2192&amp;B2192,ticker_sector[],2,FALSE)</f>
        <v>18</v>
      </c>
      <c r="I2192">
        <f>VLOOKUP(C2192,year[],2,FALSE)</f>
        <v>6</v>
      </c>
      <c r="J2192">
        <f>VLOOKUP(E2192,showing[],2,FALSE)</f>
        <v>2</v>
      </c>
      <c r="K2192">
        <f>Сектора[[#This Row],[Значение]]</f>
        <v>148453</v>
      </c>
      <c r="L2192" t="str">
        <f t="shared" si="34"/>
        <v>INSERT INTO msfo.statements (id_company, id_year, id_showing, value) VALUES (18,6,2,148453);</v>
      </c>
    </row>
    <row r="2193" spans="1:12">
      <c r="A2193" s="28" t="s">
        <v>52</v>
      </c>
      <c r="B2193" s="28" t="s">
        <v>53</v>
      </c>
      <c r="C2193" s="28">
        <v>2017</v>
      </c>
      <c r="D2193" s="28" t="s">
        <v>1</v>
      </c>
      <c r="E2193" s="28" t="s">
        <v>3</v>
      </c>
      <c r="F2193" s="28">
        <v>155119</v>
      </c>
      <c r="H2193">
        <f>VLOOKUP(A2193&amp;B2193,ticker_sector[],2,FALSE)</f>
        <v>18</v>
      </c>
      <c r="I2193">
        <f>VLOOKUP(C2193,year[],2,FALSE)</f>
        <v>7</v>
      </c>
      <c r="J2193">
        <f>VLOOKUP(E2193,showing[],2,FALSE)</f>
        <v>2</v>
      </c>
      <c r="K2193">
        <f>Сектора[[#This Row],[Значение]]</f>
        <v>155119</v>
      </c>
      <c r="L2193" t="str">
        <f t="shared" si="34"/>
        <v>INSERT INTO msfo.statements (id_company, id_year, id_showing, value) VALUES (18,7,2,155119);</v>
      </c>
    </row>
    <row r="2194" spans="1:12">
      <c r="A2194" s="28" t="s">
        <v>52</v>
      </c>
      <c r="B2194" s="28" t="s">
        <v>53</v>
      </c>
      <c r="C2194" s="28">
        <v>2010</v>
      </c>
      <c r="D2194" s="28" t="s">
        <v>1</v>
      </c>
      <c r="E2194" s="28" t="s">
        <v>5</v>
      </c>
      <c r="F2194" s="28">
        <v>744993</v>
      </c>
      <c r="H2194">
        <f>VLOOKUP(A2194&amp;B2194,ticker_sector[],2,FALSE)</f>
        <v>18</v>
      </c>
      <c r="I2194">
        <f>VLOOKUP(C2194,year[],2,FALSE)</f>
        <v>0</v>
      </c>
      <c r="J2194">
        <f>VLOOKUP(E2194,showing[],2,FALSE)</f>
        <v>3</v>
      </c>
      <c r="K2194">
        <f>Сектора[[#This Row],[Значение]]</f>
        <v>744993</v>
      </c>
      <c r="L2194" t="str">
        <f t="shared" si="34"/>
        <v>INSERT INTO msfo.statements (id_company, id_year, id_showing, value) VALUES (18,0,3,744993);</v>
      </c>
    </row>
    <row r="2195" spans="1:12">
      <c r="A2195" s="28" t="s">
        <v>52</v>
      </c>
      <c r="B2195" s="28" t="s">
        <v>53</v>
      </c>
      <c r="C2195" s="28">
        <v>2011</v>
      </c>
      <c r="D2195" s="28" t="s">
        <v>1</v>
      </c>
      <c r="E2195" s="28" t="s">
        <v>5</v>
      </c>
      <c r="F2195" s="28">
        <v>811783</v>
      </c>
      <c r="H2195">
        <f>VLOOKUP(A2195&amp;B2195,ticker_sector[],2,FALSE)</f>
        <v>18</v>
      </c>
      <c r="I2195">
        <f>VLOOKUP(C2195,year[],2,FALSE)</f>
        <v>1</v>
      </c>
      <c r="J2195">
        <f>VLOOKUP(E2195,showing[],2,FALSE)</f>
        <v>3</v>
      </c>
      <c r="K2195">
        <f>Сектора[[#This Row],[Значение]]</f>
        <v>811783</v>
      </c>
      <c r="L2195" t="str">
        <f t="shared" si="34"/>
        <v>INSERT INTO msfo.statements (id_company, id_year, id_showing, value) VALUES (18,1,3,811783);</v>
      </c>
    </row>
    <row r="2196" spans="1:12">
      <c r="A2196" s="28" t="s">
        <v>52</v>
      </c>
      <c r="B2196" s="28" t="s">
        <v>53</v>
      </c>
      <c r="C2196" s="28">
        <v>2012</v>
      </c>
      <c r="D2196" s="28" t="s">
        <v>1</v>
      </c>
      <c r="E2196" s="28" t="s">
        <v>5</v>
      </c>
      <c r="F2196" s="28">
        <v>854267</v>
      </c>
      <c r="H2196">
        <f>VLOOKUP(A2196&amp;B2196,ticker_sector[],2,FALSE)</f>
        <v>18</v>
      </c>
      <c r="I2196">
        <f>VLOOKUP(C2196,year[],2,FALSE)</f>
        <v>2</v>
      </c>
      <c r="J2196">
        <f>VLOOKUP(E2196,showing[],2,FALSE)</f>
        <v>3</v>
      </c>
      <c r="K2196">
        <f>Сектора[[#This Row],[Значение]]</f>
        <v>854267</v>
      </c>
      <c r="L2196" t="str">
        <f t="shared" si="34"/>
        <v>INSERT INTO msfo.statements (id_company, id_year, id_showing, value) VALUES (18,2,3,854267);</v>
      </c>
    </row>
    <row r="2197" spans="1:12">
      <c r="A2197" s="28" t="s">
        <v>52</v>
      </c>
      <c r="B2197" s="28" t="s">
        <v>53</v>
      </c>
      <c r="C2197" s="28">
        <v>2013</v>
      </c>
      <c r="D2197" s="28" t="s">
        <v>1</v>
      </c>
      <c r="E2197" s="28" t="s">
        <v>5</v>
      </c>
      <c r="F2197" s="28">
        <v>852046</v>
      </c>
      <c r="H2197">
        <f>VLOOKUP(A2197&amp;B2197,ticker_sector[],2,FALSE)</f>
        <v>18</v>
      </c>
      <c r="I2197">
        <f>VLOOKUP(C2197,year[],2,FALSE)</f>
        <v>3</v>
      </c>
      <c r="J2197">
        <f>VLOOKUP(E2197,showing[],2,FALSE)</f>
        <v>3</v>
      </c>
      <c r="K2197">
        <f>Сектора[[#This Row],[Значение]]</f>
        <v>852046</v>
      </c>
      <c r="L2197" t="str">
        <f t="shared" si="34"/>
        <v>INSERT INTO msfo.statements (id_company, id_year, id_showing, value) VALUES (18,3,3,852046);</v>
      </c>
    </row>
    <row r="2198" spans="1:12">
      <c r="A2198" s="28" t="s">
        <v>52</v>
      </c>
      <c r="B2198" s="28" t="s">
        <v>53</v>
      </c>
      <c r="C2198" s="28">
        <v>2014</v>
      </c>
      <c r="D2198" s="28" t="s">
        <v>1</v>
      </c>
      <c r="E2198" s="28" t="s">
        <v>5</v>
      </c>
      <c r="F2198" s="28">
        <v>883770</v>
      </c>
      <c r="H2198">
        <f>VLOOKUP(A2198&amp;B2198,ticker_sector[],2,FALSE)</f>
        <v>18</v>
      </c>
      <c r="I2198">
        <f>VLOOKUP(C2198,year[],2,FALSE)</f>
        <v>4</v>
      </c>
      <c r="J2198">
        <f>VLOOKUP(E2198,showing[],2,FALSE)</f>
        <v>3</v>
      </c>
      <c r="K2198">
        <f>Сектора[[#This Row],[Значение]]</f>
        <v>883770</v>
      </c>
      <c r="L2198" t="str">
        <f t="shared" si="34"/>
        <v>INSERT INTO msfo.statements (id_company, id_year, id_showing, value) VALUES (18,4,3,883770);</v>
      </c>
    </row>
    <row r="2199" spans="1:12">
      <c r="A2199" s="28" t="s">
        <v>52</v>
      </c>
      <c r="B2199" s="28" t="s">
        <v>53</v>
      </c>
      <c r="C2199" s="28">
        <v>2015</v>
      </c>
      <c r="D2199" s="28" t="s">
        <v>1</v>
      </c>
      <c r="E2199" s="28" t="s">
        <v>5</v>
      </c>
      <c r="F2199" s="28">
        <v>938137</v>
      </c>
      <c r="H2199">
        <f>VLOOKUP(A2199&amp;B2199,ticker_sector[],2,FALSE)</f>
        <v>18</v>
      </c>
      <c r="I2199">
        <f>VLOOKUP(C2199,year[],2,FALSE)</f>
        <v>5</v>
      </c>
      <c r="J2199">
        <f>VLOOKUP(E2199,showing[],2,FALSE)</f>
        <v>3</v>
      </c>
      <c r="K2199">
        <f>Сектора[[#This Row],[Значение]]</f>
        <v>938137</v>
      </c>
      <c r="L2199" t="str">
        <f t="shared" si="34"/>
        <v>INSERT INTO msfo.statements (id_company, id_year, id_showing, value) VALUES (18,5,3,938137);</v>
      </c>
    </row>
    <row r="2200" spans="1:12">
      <c r="A2200" s="28" t="s">
        <v>52</v>
      </c>
      <c r="B2200" s="28" t="s">
        <v>53</v>
      </c>
      <c r="C2200" s="28">
        <v>2016</v>
      </c>
      <c r="D2200" s="28" t="s">
        <v>1</v>
      </c>
      <c r="E2200" s="28" t="s">
        <v>5</v>
      </c>
      <c r="F2200" s="28">
        <v>983446</v>
      </c>
      <c r="H2200">
        <f>VLOOKUP(A2200&amp;B2200,ticker_sector[],2,FALSE)</f>
        <v>18</v>
      </c>
      <c r="I2200">
        <f>VLOOKUP(C2200,year[],2,FALSE)</f>
        <v>6</v>
      </c>
      <c r="J2200">
        <f>VLOOKUP(E2200,showing[],2,FALSE)</f>
        <v>3</v>
      </c>
      <c r="K2200">
        <f>Сектора[[#This Row],[Значение]]</f>
        <v>983446</v>
      </c>
      <c r="L2200" t="str">
        <f t="shared" si="34"/>
        <v>INSERT INTO msfo.statements (id_company, id_year, id_showing, value) VALUES (18,6,3,983446);</v>
      </c>
    </row>
    <row r="2201" spans="1:12">
      <c r="A2201" s="28" t="s">
        <v>52</v>
      </c>
      <c r="B2201" s="28" t="s">
        <v>53</v>
      </c>
      <c r="C2201" s="28">
        <v>2017</v>
      </c>
      <c r="D2201" s="28" t="s">
        <v>1</v>
      </c>
      <c r="E2201" s="28" t="s">
        <v>5</v>
      </c>
      <c r="F2201" s="28">
        <v>1028251</v>
      </c>
      <c r="H2201">
        <f>VLOOKUP(A2201&amp;B2201,ticker_sector[],2,FALSE)</f>
        <v>18</v>
      </c>
      <c r="I2201">
        <f>VLOOKUP(C2201,year[],2,FALSE)</f>
        <v>7</v>
      </c>
      <c r="J2201">
        <f>VLOOKUP(E2201,showing[],2,FALSE)</f>
        <v>3</v>
      </c>
      <c r="K2201">
        <f>Сектора[[#This Row],[Значение]]</f>
        <v>1028251</v>
      </c>
      <c r="L2201" t="str">
        <f t="shared" si="34"/>
        <v>INSERT INTO msfo.statements (id_company, id_year, id_showing, value) VALUES (18,7,3,1028251);</v>
      </c>
    </row>
    <row r="2202" spans="1:12">
      <c r="A2202" s="28" t="s">
        <v>52</v>
      </c>
      <c r="B2202" s="28" t="s">
        <v>53</v>
      </c>
      <c r="C2202" s="28">
        <v>2010</v>
      </c>
      <c r="D2202" s="28" t="s">
        <v>1</v>
      </c>
      <c r="E2202" s="28" t="s">
        <v>6</v>
      </c>
      <c r="F2202" s="28">
        <v>539568</v>
      </c>
      <c r="H2202">
        <f>VLOOKUP(A2202&amp;B2202,ticker_sector[],2,FALSE)</f>
        <v>18</v>
      </c>
      <c r="I2202">
        <f>VLOOKUP(C2202,year[],2,FALSE)</f>
        <v>0</v>
      </c>
      <c r="J2202">
        <f>VLOOKUP(E2202,showing[],2,FALSE)</f>
        <v>4</v>
      </c>
      <c r="K2202">
        <f>Сектора[[#This Row],[Значение]]</f>
        <v>539568</v>
      </c>
      <c r="L2202" t="str">
        <f t="shared" si="34"/>
        <v>INSERT INTO msfo.statements (id_company, id_year, id_showing, value) VALUES (18,0,4,539568);</v>
      </c>
    </row>
    <row r="2203" spans="1:12">
      <c r="A2203" s="28" t="s">
        <v>52</v>
      </c>
      <c r="B2203" s="28" t="s">
        <v>53</v>
      </c>
      <c r="C2203" s="28">
        <v>2011</v>
      </c>
      <c r="D2203" s="28" t="s">
        <v>1</v>
      </c>
      <c r="E2203" s="28" t="s">
        <v>6</v>
      </c>
      <c r="F2203" s="28">
        <v>525659</v>
      </c>
      <c r="H2203">
        <f>VLOOKUP(A2203&amp;B2203,ticker_sector[],2,FALSE)</f>
        <v>18</v>
      </c>
      <c r="I2203">
        <f>VLOOKUP(C2203,year[],2,FALSE)</f>
        <v>1</v>
      </c>
      <c r="J2203">
        <f>VLOOKUP(E2203,showing[],2,FALSE)</f>
        <v>4</v>
      </c>
      <c r="K2203">
        <f>Сектора[[#This Row],[Значение]]</f>
        <v>525659</v>
      </c>
      <c r="L2203" t="str">
        <f t="shared" si="34"/>
        <v>INSERT INTO msfo.statements (id_company, id_year, id_showing, value) VALUES (18,1,4,525659);</v>
      </c>
    </row>
    <row r="2204" spans="1:12">
      <c r="A2204" s="28" t="s">
        <v>52</v>
      </c>
      <c r="B2204" s="28" t="s">
        <v>53</v>
      </c>
      <c r="C2204" s="28">
        <v>2012</v>
      </c>
      <c r="D2204" s="28" t="s">
        <v>1</v>
      </c>
      <c r="E2204" s="28" t="s">
        <v>6</v>
      </c>
      <c r="F2204" s="28">
        <v>540405</v>
      </c>
      <c r="H2204">
        <f>VLOOKUP(A2204&amp;B2204,ticker_sector[],2,FALSE)</f>
        <v>18</v>
      </c>
      <c r="I2204">
        <f>VLOOKUP(C2204,year[],2,FALSE)</f>
        <v>2</v>
      </c>
      <c r="J2204">
        <f>VLOOKUP(E2204,showing[],2,FALSE)</f>
        <v>4</v>
      </c>
      <c r="K2204">
        <f>Сектора[[#This Row],[Значение]]</f>
        <v>540405</v>
      </c>
      <c r="L2204" t="str">
        <f t="shared" si="34"/>
        <v>INSERT INTO msfo.statements (id_company, id_year, id_showing, value) VALUES (18,2,4,540405);</v>
      </c>
    </row>
    <row r="2205" spans="1:12">
      <c r="A2205" s="28" t="s">
        <v>52</v>
      </c>
      <c r="B2205" s="28" t="s">
        <v>53</v>
      </c>
      <c r="C2205" s="28">
        <v>2013</v>
      </c>
      <c r="D2205" s="28" t="s">
        <v>1</v>
      </c>
      <c r="E2205" s="28" t="s">
        <v>6</v>
      </c>
      <c r="F2205" s="28">
        <v>596707</v>
      </c>
      <c r="H2205">
        <f>VLOOKUP(A2205&amp;B2205,ticker_sector[],2,FALSE)</f>
        <v>18</v>
      </c>
      <c r="I2205">
        <f>VLOOKUP(C2205,year[],2,FALSE)</f>
        <v>3</v>
      </c>
      <c r="J2205">
        <f>VLOOKUP(E2205,showing[],2,FALSE)</f>
        <v>4</v>
      </c>
      <c r="K2205">
        <f>Сектора[[#This Row],[Значение]]</f>
        <v>596707</v>
      </c>
      <c r="L2205" t="str">
        <f t="shared" si="34"/>
        <v>INSERT INTO msfo.statements (id_company, id_year, id_showing, value) VALUES (18,3,4,596707);</v>
      </c>
    </row>
    <row r="2206" spans="1:12">
      <c r="A2206" s="28" t="s">
        <v>52</v>
      </c>
      <c r="B2206" s="28" t="s">
        <v>53</v>
      </c>
      <c r="C2206" s="28">
        <v>2014</v>
      </c>
      <c r="D2206" s="28" t="s">
        <v>1</v>
      </c>
      <c r="E2206" s="28" t="s">
        <v>6</v>
      </c>
      <c r="F2206" s="28">
        <v>595151</v>
      </c>
      <c r="H2206">
        <f>VLOOKUP(A2206&amp;B2206,ticker_sector[],2,FALSE)</f>
        <v>18</v>
      </c>
      <c r="I2206">
        <f>VLOOKUP(C2206,year[],2,FALSE)</f>
        <v>4</v>
      </c>
      <c r="J2206">
        <f>VLOOKUP(E2206,showing[],2,FALSE)</f>
        <v>4</v>
      </c>
      <c r="K2206">
        <f>Сектора[[#This Row],[Значение]]</f>
        <v>595151</v>
      </c>
      <c r="L2206" t="str">
        <f t="shared" si="34"/>
        <v>INSERT INTO msfo.statements (id_company, id_year, id_showing, value) VALUES (18,4,4,595151);</v>
      </c>
    </row>
    <row r="2207" spans="1:12">
      <c r="A2207" s="28" t="s">
        <v>52</v>
      </c>
      <c r="B2207" s="28" t="s">
        <v>53</v>
      </c>
      <c r="C2207" s="28">
        <v>2015</v>
      </c>
      <c r="D2207" s="28" t="s">
        <v>1</v>
      </c>
      <c r="E2207" s="28" t="s">
        <v>6</v>
      </c>
      <c r="F2207" s="28">
        <v>613919</v>
      </c>
      <c r="H2207">
        <f>VLOOKUP(A2207&amp;B2207,ticker_sector[],2,FALSE)</f>
        <v>18</v>
      </c>
      <c r="I2207">
        <f>VLOOKUP(C2207,year[],2,FALSE)</f>
        <v>5</v>
      </c>
      <c r="J2207">
        <f>VLOOKUP(E2207,showing[],2,FALSE)</f>
        <v>4</v>
      </c>
      <c r="K2207">
        <f>Сектора[[#This Row],[Значение]]</f>
        <v>613919</v>
      </c>
      <c r="L2207" t="str">
        <f t="shared" si="34"/>
        <v>INSERT INTO msfo.statements (id_company, id_year, id_showing, value) VALUES (18,5,4,613919);</v>
      </c>
    </row>
    <row r="2208" spans="1:12">
      <c r="A2208" s="28" t="s">
        <v>52</v>
      </c>
      <c r="B2208" s="28" t="s">
        <v>53</v>
      </c>
      <c r="C2208" s="28">
        <v>2016</v>
      </c>
      <c r="D2208" s="28" t="s">
        <v>1</v>
      </c>
      <c r="E2208" s="28" t="s">
        <v>6</v>
      </c>
      <c r="F2208" s="28">
        <v>650932</v>
      </c>
      <c r="H2208">
        <f>VLOOKUP(A2208&amp;B2208,ticker_sector[],2,FALSE)</f>
        <v>18</v>
      </c>
      <c r="I2208">
        <f>VLOOKUP(C2208,year[],2,FALSE)</f>
        <v>6</v>
      </c>
      <c r="J2208">
        <f>VLOOKUP(E2208,showing[],2,FALSE)</f>
        <v>4</v>
      </c>
      <c r="K2208">
        <f>Сектора[[#This Row],[Значение]]</f>
        <v>650932</v>
      </c>
      <c r="L2208" t="str">
        <f t="shared" si="34"/>
        <v>INSERT INTO msfo.statements (id_company, id_year, id_showing, value) VALUES (18,6,4,650932);</v>
      </c>
    </row>
    <row r="2209" spans="1:12">
      <c r="A2209" s="28" t="s">
        <v>52</v>
      </c>
      <c r="B2209" s="28" t="s">
        <v>53</v>
      </c>
      <c r="C2209" s="28">
        <v>2017</v>
      </c>
      <c r="D2209" s="28" t="s">
        <v>1</v>
      </c>
      <c r="E2209" s="28" t="s">
        <v>6</v>
      </c>
      <c r="F2209" s="28">
        <v>695564</v>
      </c>
      <c r="H2209">
        <f>VLOOKUP(A2209&amp;B2209,ticker_sector[],2,FALSE)</f>
        <v>18</v>
      </c>
      <c r="I2209">
        <f>VLOOKUP(C2209,year[],2,FALSE)</f>
        <v>7</v>
      </c>
      <c r="J2209">
        <f>VLOOKUP(E2209,showing[],2,FALSE)</f>
        <v>4</v>
      </c>
      <c r="K2209">
        <f>Сектора[[#This Row],[Значение]]</f>
        <v>695564</v>
      </c>
      <c r="L2209" t="str">
        <f t="shared" si="34"/>
        <v>INSERT INTO msfo.statements (id_company, id_year, id_showing, value) VALUES (18,7,4,695564);</v>
      </c>
    </row>
    <row r="2210" spans="1:12">
      <c r="A2210" s="28" t="s">
        <v>52</v>
      </c>
      <c r="B2210" s="28" t="s">
        <v>53</v>
      </c>
      <c r="C2210" s="28">
        <v>2010</v>
      </c>
      <c r="D2210" s="28" t="s">
        <v>1</v>
      </c>
      <c r="E2210" s="28" t="s">
        <v>8</v>
      </c>
      <c r="F2210" s="28">
        <v>106194</v>
      </c>
      <c r="H2210">
        <f>VLOOKUP(A2210&amp;B2210,ticker_sector[],2,FALSE)</f>
        <v>18</v>
      </c>
      <c r="I2210">
        <f>VLOOKUP(C2210,year[],2,FALSE)</f>
        <v>0</v>
      </c>
      <c r="J2210">
        <f>VLOOKUP(E2210,showing[],2,FALSE)</f>
        <v>5</v>
      </c>
      <c r="K2210">
        <f>Сектора[[#This Row],[Значение]]</f>
        <v>106194</v>
      </c>
      <c r="L2210" t="str">
        <f t="shared" si="34"/>
        <v>INSERT INTO msfo.statements (id_company, id_year, id_showing, value) VALUES (18,0,5,106194);</v>
      </c>
    </row>
    <row r="2211" spans="1:12">
      <c r="A2211" s="28" t="s">
        <v>52</v>
      </c>
      <c r="B2211" s="28" t="s">
        <v>53</v>
      </c>
      <c r="C2211" s="28">
        <v>2011</v>
      </c>
      <c r="D2211" s="28" t="s">
        <v>1</v>
      </c>
      <c r="E2211" s="28" t="s">
        <v>8</v>
      </c>
      <c r="F2211" s="28">
        <v>159965</v>
      </c>
      <c r="H2211">
        <f>VLOOKUP(A2211&amp;B2211,ticker_sector[],2,FALSE)</f>
        <v>18</v>
      </c>
      <c r="I2211">
        <f>VLOOKUP(C2211,year[],2,FALSE)</f>
        <v>1</v>
      </c>
      <c r="J2211">
        <f>VLOOKUP(E2211,showing[],2,FALSE)</f>
        <v>5</v>
      </c>
      <c r="K2211">
        <f>Сектора[[#This Row],[Значение]]</f>
        <v>159965</v>
      </c>
      <c r="L2211" t="str">
        <f t="shared" si="34"/>
        <v>INSERT INTO msfo.statements (id_company, id_year, id_showing, value) VALUES (18,1,5,159965);</v>
      </c>
    </row>
    <row r="2212" spans="1:12">
      <c r="A2212" s="28" t="s">
        <v>52</v>
      </c>
      <c r="B2212" s="28" t="s">
        <v>53</v>
      </c>
      <c r="C2212" s="28">
        <v>2012</v>
      </c>
      <c r="D2212" s="28" t="s">
        <v>1</v>
      </c>
      <c r="E2212" s="28" t="s">
        <v>8</v>
      </c>
      <c r="F2212" s="28">
        <v>118844</v>
      </c>
      <c r="H2212">
        <f>VLOOKUP(A2212&amp;B2212,ticker_sector[],2,FALSE)</f>
        <v>18</v>
      </c>
      <c r="I2212">
        <f>VLOOKUP(C2212,year[],2,FALSE)</f>
        <v>2</v>
      </c>
      <c r="J2212">
        <f>VLOOKUP(E2212,showing[],2,FALSE)</f>
        <v>5</v>
      </c>
      <c r="K2212">
        <f>Сектора[[#This Row],[Значение]]</f>
        <v>118844</v>
      </c>
      <c r="L2212" t="str">
        <f t="shared" si="34"/>
        <v>INSERT INTO msfo.statements (id_company, id_year, id_showing, value) VALUES (18,2,5,118844);</v>
      </c>
    </row>
    <row r="2213" spans="1:12">
      <c r="A2213" s="28" t="s">
        <v>52</v>
      </c>
      <c r="B2213" s="28" t="s">
        <v>53</v>
      </c>
      <c r="C2213" s="28">
        <v>2013</v>
      </c>
      <c r="D2213" s="28" t="s">
        <v>1</v>
      </c>
      <c r="E2213" s="28" t="s">
        <v>8</v>
      </c>
      <c r="F2213" s="28">
        <v>174920</v>
      </c>
      <c r="H2213">
        <f>VLOOKUP(A2213&amp;B2213,ticker_sector[],2,FALSE)</f>
        <v>18</v>
      </c>
      <c r="I2213">
        <f>VLOOKUP(C2213,year[],2,FALSE)</f>
        <v>3</v>
      </c>
      <c r="J2213">
        <f>VLOOKUP(E2213,showing[],2,FALSE)</f>
        <v>5</v>
      </c>
      <c r="K2213">
        <f>Сектора[[#This Row],[Значение]]</f>
        <v>174920</v>
      </c>
      <c r="L2213" t="str">
        <f t="shared" si="34"/>
        <v>INSERT INTO msfo.statements (id_company, id_year, id_showing, value) VALUES (18,3,5,174920);</v>
      </c>
    </row>
    <row r="2214" spans="1:12">
      <c r="A2214" s="28" t="s">
        <v>52</v>
      </c>
      <c r="B2214" s="28" t="s">
        <v>53</v>
      </c>
      <c r="C2214" s="28">
        <v>2014</v>
      </c>
      <c r="D2214" s="28" t="s">
        <v>1</v>
      </c>
      <c r="E2214" s="28" t="s">
        <v>8</v>
      </c>
      <c r="F2214" s="28">
        <v>166273</v>
      </c>
      <c r="H2214">
        <f>VLOOKUP(A2214&amp;B2214,ticker_sector[],2,FALSE)</f>
        <v>18</v>
      </c>
      <c r="I2214">
        <f>VLOOKUP(C2214,year[],2,FALSE)</f>
        <v>4</v>
      </c>
      <c r="J2214">
        <f>VLOOKUP(E2214,showing[],2,FALSE)</f>
        <v>5</v>
      </c>
      <c r="K2214">
        <f>Сектора[[#This Row],[Значение]]</f>
        <v>166273</v>
      </c>
      <c r="L2214" t="str">
        <f t="shared" si="34"/>
        <v>INSERT INTO msfo.statements (id_company, id_year, id_showing, value) VALUES (18,4,5,166273);</v>
      </c>
    </row>
    <row r="2215" spans="1:12">
      <c r="A2215" s="28" t="s">
        <v>52</v>
      </c>
      <c r="B2215" s="28" t="s">
        <v>53</v>
      </c>
      <c r="C2215" s="28">
        <v>2015</v>
      </c>
      <c r="D2215" s="28" t="s">
        <v>1</v>
      </c>
      <c r="E2215" s="28" t="s">
        <v>8</v>
      </c>
      <c r="F2215" s="28">
        <v>186764</v>
      </c>
      <c r="H2215">
        <f>VLOOKUP(A2215&amp;B2215,ticker_sector[],2,FALSE)</f>
        <v>18</v>
      </c>
      <c r="I2215">
        <f>VLOOKUP(C2215,year[],2,FALSE)</f>
        <v>5</v>
      </c>
      <c r="J2215">
        <f>VLOOKUP(E2215,showing[],2,FALSE)</f>
        <v>5</v>
      </c>
      <c r="K2215">
        <f>Сектора[[#This Row],[Значение]]</f>
        <v>186764</v>
      </c>
      <c r="L2215" t="str">
        <f t="shared" si="34"/>
        <v>INSERT INTO msfo.statements (id_company, id_year, id_showing, value) VALUES (18,5,5,186764);</v>
      </c>
    </row>
    <row r="2216" spans="1:12">
      <c r="A2216" s="28" t="s">
        <v>52</v>
      </c>
      <c r="B2216" s="28" t="s">
        <v>53</v>
      </c>
      <c r="C2216" s="28">
        <v>2016</v>
      </c>
      <c r="D2216" s="28" t="s">
        <v>1</v>
      </c>
      <c r="E2216" s="28" t="s">
        <v>8</v>
      </c>
      <c r="F2216" s="28">
        <v>215858</v>
      </c>
      <c r="H2216">
        <f>VLOOKUP(A2216&amp;B2216,ticker_sector[],2,FALSE)</f>
        <v>18</v>
      </c>
      <c r="I2216">
        <f>VLOOKUP(C2216,year[],2,FALSE)</f>
        <v>6</v>
      </c>
      <c r="J2216">
        <f>VLOOKUP(E2216,showing[],2,FALSE)</f>
        <v>5</v>
      </c>
      <c r="K2216">
        <f>Сектора[[#This Row],[Значение]]</f>
        <v>215858</v>
      </c>
      <c r="L2216" t="str">
        <f t="shared" si="34"/>
        <v>INSERT INTO msfo.statements (id_company, id_year, id_showing, value) VALUES (18,6,5,215858);</v>
      </c>
    </row>
    <row r="2217" spans="1:12">
      <c r="A2217" s="28" t="s">
        <v>52</v>
      </c>
      <c r="B2217" s="28" t="s">
        <v>53</v>
      </c>
      <c r="C2217" s="28">
        <v>2017</v>
      </c>
      <c r="D2217" s="28" t="s">
        <v>1</v>
      </c>
      <c r="E2217" s="28" t="s">
        <v>8</v>
      </c>
      <c r="F2217" s="28">
        <v>181439</v>
      </c>
      <c r="H2217">
        <f>VLOOKUP(A2217&amp;B2217,ticker_sector[],2,FALSE)</f>
        <v>18</v>
      </c>
      <c r="I2217">
        <f>VLOOKUP(C2217,year[],2,FALSE)</f>
        <v>7</v>
      </c>
      <c r="J2217">
        <f>VLOOKUP(E2217,showing[],2,FALSE)</f>
        <v>5</v>
      </c>
      <c r="K2217">
        <f>Сектора[[#This Row],[Значение]]</f>
        <v>181439</v>
      </c>
      <c r="L2217" t="str">
        <f t="shared" si="34"/>
        <v>INSERT INTO msfo.statements (id_company, id_year, id_showing, value) VALUES (18,7,5,181439);</v>
      </c>
    </row>
    <row r="2218" spans="1:12">
      <c r="A2218" s="28" t="s">
        <v>52</v>
      </c>
      <c r="B2218" s="28" t="s">
        <v>53</v>
      </c>
      <c r="C2218" s="28">
        <v>2010</v>
      </c>
      <c r="D2218" s="28" t="s">
        <v>1</v>
      </c>
      <c r="E2218" s="28" t="s">
        <v>9</v>
      </c>
      <c r="F2218" s="28">
        <v>99231</v>
      </c>
      <c r="H2218">
        <f>VLOOKUP(A2218&amp;B2218,ticker_sector[],2,FALSE)</f>
        <v>18</v>
      </c>
      <c r="I2218">
        <f>VLOOKUP(C2218,year[],2,FALSE)</f>
        <v>0</v>
      </c>
      <c r="J2218">
        <f>VLOOKUP(E2218,showing[],2,FALSE)</f>
        <v>6</v>
      </c>
      <c r="K2218">
        <f>Сектора[[#This Row],[Значение]]</f>
        <v>99231</v>
      </c>
      <c r="L2218" t="str">
        <f t="shared" si="34"/>
        <v>INSERT INTO msfo.statements (id_company, id_year, id_showing, value) VALUES (18,0,6,99231);</v>
      </c>
    </row>
    <row r="2219" spans="1:12">
      <c r="A2219" s="28" t="s">
        <v>52</v>
      </c>
      <c r="B2219" s="28" t="s">
        <v>53</v>
      </c>
      <c r="C2219" s="28">
        <v>2011</v>
      </c>
      <c r="D2219" s="28" t="s">
        <v>1</v>
      </c>
      <c r="E2219" s="28" t="s">
        <v>9</v>
      </c>
      <c r="F2219" s="28">
        <v>126159</v>
      </c>
      <c r="H2219">
        <f>VLOOKUP(A2219&amp;B2219,ticker_sector[],2,FALSE)</f>
        <v>18</v>
      </c>
      <c r="I2219">
        <f>VLOOKUP(C2219,year[],2,FALSE)</f>
        <v>1</v>
      </c>
      <c r="J2219">
        <f>VLOOKUP(E2219,showing[],2,FALSE)</f>
        <v>6</v>
      </c>
      <c r="K2219">
        <f>Сектора[[#This Row],[Значение]]</f>
        <v>126159</v>
      </c>
      <c r="L2219" t="str">
        <f t="shared" si="34"/>
        <v>INSERT INTO msfo.statements (id_company, id_year, id_showing, value) VALUES (18,1,6,126159);</v>
      </c>
    </row>
    <row r="2220" spans="1:12">
      <c r="A2220" s="28" t="s">
        <v>52</v>
      </c>
      <c r="B2220" s="28" t="s">
        <v>53</v>
      </c>
      <c r="C2220" s="28">
        <v>2012</v>
      </c>
      <c r="D2220" s="28" t="s">
        <v>1</v>
      </c>
      <c r="E2220" s="28" t="s">
        <v>9</v>
      </c>
      <c r="F2220" s="28">
        <v>195018</v>
      </c>
      <c r="H2220">
        <f>VLOOKUP(A2220&amp;B2220,ticker_sector[],2,FALSE)</f>
        <v>18</v>
      </c>
      <c r="I2220">
        <f>VLOOKUP(C2220,year[],2,FALSE)</f>
        <v>2</v>
      </c>
      <c r="J2220">
        <f>VLOOKUP(E2220,showing[],2,FALSE)</f>
        <v>6</v>
      </c>
      <c r="K2220">
        <f>Сектора[[#This Row],[Значение]]</f>
        <v>195018</v>
      </c>
      <c r="L2220" t="str">
        <f t="shared" si="34"/>
        <v>INSERT INTO msfo.statements (id_company, id_year, id_showing, value) VALUES (18,2,6,195018);</v>
      </c>
    </row>
    <row r="2221" spans="1:12">
      <c r="A2221" s="28" t="s">
        <v>52</v>
      </c>
      <c r="B2221" s="28" t="s">
        <v>53</v>
      </c>
      <c r="C2221" s="28">
        <v>2013</v>
      </c>
      <c r="D2221" s="28" t="s">
        <v>1</v>
      </c>
      <c r="E2221" s="28" t="s">
        <v>9</v>
      </c>
      <c r="F2221" s="28">
        <v>80419</v>
      </c>
      <c r="H2221">
        <f>VLOOKUP(A2221&amp;B2221,ticker_sector[],2,FALSE)</f>
        <v>18</v>
      </c>
      <c r="I2221">
        <f>VLOOKUP(C2221,year[],2,FALSE)</f>
        <v>3</v>
      </c>
      <c r="J2221">
        <f>VLOOKUP(E2221,showing[],2,FALSE)</f>
        <v>6</v>
      </c>
      <c r="K2221">
        <f>Сектора[[#This Row],[Значение]]</f>
        <v>80419</v>
      </c>
      <c r="L2221" t="str">
        <f t="shared" si="34"/>
        <v>INSERT INTO msfo.statements (id_company, id_year, id_showing, value) VALUES (18,3,6,80419);</v>
      </c>
    </row>
    <row r="2222" spans="1:12">
      <c r="A2222" s="28" t="s">
        <v>52</v>
      </c>
      <c r="B2222" s="28" t="s">
        <v>53</v>
      </c>
      <c r="C2222" s="28">
        <v>2014</v>
      </c>
      <c r="D2222" s="28" t="s">
        <v>1</v>
      </c>
      <c r="E2222" s="28" t="s">
        <v>9</v>
      </c>
      <c r="F2222" s="28">
        <v>122346</v>
      </c>
      <c r="H2222">
        <f>VLOOKUP(A2222&amp;B2222,ticker_sector[],2,FALSE)</f>
        <v>18</v>
      </c>
      <c r="I2222">
        <f>VLOOKUP(C2222,year[],2,FALSE)</f>
        <v>4</v>
      </c>
      <c r="J2222">
        <f>VLOOKUP(E2222,showing[],2,FALSE)</f>
        <v>6</v>
      </c>
      <c r="K2222">
        <f>Сектора[[#This Row],[Значение]]</f>
        <v>122346</v>
      </c>
      <c r="L2222" t="str">
        <f t="shared" si="34"/>
        <v>INSERT INTO msfo.statements (id_company, id_year, id_showing, value) VALUES (18,4,6,122346);</v>
      </c>
    </row>
    <row r="2223" spans="1:12">
      <c r="A2223" s="28" t="s">
        <v>52</v>
      </c>
      <c r="B2223" s="28" t="s">
        <v>53</v>
      </c>
      <c r="C2223" s="28">
        <v>2015</v>
      </c>
      <c r="D2223" s="28" t="s">
        <v>1</v>
      </c>
      <c r="E2223" s="28" t="s">
        <v>9</v>
      </c>
      <c r="F2223" s="28">
        <v>137454</v>
      </c>
      <c r="H2223">
        <f>VLOOKUP(A2223&amp;B2223,ticker_sector[],2,FALSE)</f>
        <v>18</v>
      </c>
      <c r="I2223">
        <f>VLOOKUP(C2223,year[],2,FALSE)</f>
        <v>5</v>
      </c>
      <c r="J2223">
        <f>VLOOKUP(E2223,showing[],2,FALSE)</f>
        <v>6</v>
      </c>
      <c r="K2223">
        <f>Сектора[[#This Row],[Значение]]</f>
        <v>137454</v>
      </c>
      <c r="L2223" t="str">
        <f t="shared" si="34"/>
        <v>INSERT INTO msfo.statements (id_company, id_year, id_showing, value) VALUES (18,5,6,137454);</v>
      </c>
    </row>
    <row r="2224" spans="1:12">
      <c r="A2224" s="28" t="s">
        <v>52</v>
      </c>
      <c r="B2224" s="28" t="s">
        <v>53</v>
      </c>
      <c r="C2224" s="28">
        <v>2016</v>
      </c>
      <c r="D2224" s="28" t="s">
        <v>1</v>
      </c>
      <c r="E2224" s="28" t="s">
        <v>9</v>
      </c>
      <c r="F2224" s="28">
        <v>116656</v>
      </c>
      <c r="H2224">
        <f>VLOOKUP(A2224&amp;B2224,ticker_sector[],2,FALSE)</f>
        <v>18</v>
      </c>
      <c r="I2224">
        <f>VLOOKUP(C2224,year[],2,FALSE)</f>
        <v>6</v>
      </c>
      <c r="J2224">
        <f>VLOOKUP(E2224,showing[],2,FALSE)</f>
        <v>6</v>
      </c>
      <c r="K2224">
        <f>Сектора[[#This Row],[Значение]]</f>
        <v>116656</v>
      </c>
      <c r="L2224" t="str">
        <f t="shared" si="34"/>
        <v>INSERT INTO msfo.statements (id_company, id_year, id_showing, value) VALUES (18,6,6,116656);</v>
      </c>
    </row>
    <row r="2225" spans="1:12">
      <c r="A2225" s="28" t="s">
        <v>52</v>
      </c>
      <c r="B2225" s="28" t="s">
        <v>53</v>
      </c>
      <c r="C2225" s="28">
        <v>2017</v>
      </c>
      <c r="D2225" s="28" t="s">
        <v>1</v>
      </c>
      <c r="E2225" s="28" t="s">
        <v>9</v>
      </c>
      <c r="F2225" s="28">
        <v>151248</v>
      </c>
      <c r="H2225">
        <f>VLOOKUP(A2225&amp;B2225,ticker_sector[],2,FALSE)</f>
        <v>18</v>
      </c>
      <c r="I2225">
        <f>VLOOKUP(C2225,year[],2,FALSE)</f>
        <v>7</v>
      </c>
      <c r="J2225">
        <f>VLOOKUP(E2225,showing[],2,FALSE)</f>
        <v>6</v>
      </c>
      <c r="K2225">
        <f>Сектора[[#This Row],[Значение]]</f>
        <v>151248</v>
      </c>
      <c r="L2225" t="str">
        <f t="shared" si="34"/>
        <v>INSERT INTO msfo.statements (id_company, id_year, id_showing, value) VALUES (18,7,6,151248);</v>
      </c>
    </row>
    <row r="2226" spans="1:12">
      <c r="A2226" s="28" t="s">
        <v>52</v>
      </c>
      <c r="B2226" s="28" t="s">
        <v>53</v>
      </c>
      <c r="C2226" s="28">
        <v>2010</v>
      </c>
      <c r="D2226" s="28" t="s">
        <v>1</v>
      </c>
      <c r="E2226" s="28" t="s">
        <v>10</v>
      </c>
      <c r="F2226" s="28">
        <v>744993</v>
      </c>
      <c r="H2226">
        <f>VLOOKUP(A2226&amp;B2226,ticker_sector[],2,FALSE)</f>
        <v>18</v>
      </c>
      <c r="I2226">
        <f>VLOOKUP(C2226,year[],2,FALSE)</f>
        <v>0</v>
      </c>
      <c r="J2226">
        <f>VLOOKUP(E2226,showing[],2,FALSE)</f>
        <v>7</v>
      </c>
      <c r="K2226">
        <f>Сектора[[#This Row],[Значение]]</f>
        <v>744993</v>
      </c>
      <c r="L2226" t="str">
        <f t="shared" si="34"/>
        <v>INSERT INTO msfo.statements (id_company, id_year, id_showing, value) VALUES (18,0,7,744993);</v>
      </c>
    </row>
    <row r="2227" spans="1:12">
      <c r="A2227" s="28" t="s">
        <v>52</v>
      </c>
      <c r="B2227" s="28" t="s">
        <v>53</v>
      </c>
      <c r="C2227" s="28">
        <v>2011</v>
      </c>
      <c r="D2227" s="28" t="s">
        <v>1</v>
      </c>
      <c r="E2227" s="28" t="s">
        <v>10</v>
      </c>
      <c r="F2227" s="28">
        <v>811783</v>
      </c>
      <c r="H2227">
        <f>VLOOKUP(A2227&amp;B2227,ticker_sector[],2,FALSE)</f>
        <v>18</v>
      </c>
      <c r="I2227">
        <f>VLOOKUP(C2227,year[],2,FALSE)</f>
        <v>1</v>
      </c>
      <c r="J2227">
        <f>VLOOKUP(E2227,showing[],2,FALSE)</f>
        <v>7</v>
      </c>
      <c r="K2227">
        <f>Сектора[[#This Row],[Значение]]</f>
        <v>811783</v>
      </c>
      <c r="L2227" t="str">
        <f t="shared" si="34"/>
        <v>INSERT INTO msfo.statements (id_company, id_year, id_showing, value) VALUES (18,1,7,811783);</v>
      </c>
    </row>
    <row r="2228" spans="1:12">
      <c r="A2228" s="28" t="s">
        <v>52</v>
      </c>
      <c r="B2228" s="28" t="s">
        <v>53</v>
      </c>
      <c r="C2228" s="28">
        <v>2012</v>
      </c>
      <c r="D2228" s="28" t="s">
        <v>1</v>
      </c>
      <c r="E2228" s="28" t="s">
        <v>10</v>
      </c>
      <c r="F2228" s="28">
        <v>854267</v>
      </c>
      <c r="H2228">
        <f>VLOOKUP(A2228&amp;B2228,ticker_sector[],2,FALSE)</f>
        <v>18</v>
      </c>
      <c r="I2228">
        <f>VLOOKUP(C2228,year[],2,FALSE)</f>
        <v>2</v>
      </c>
      <c r="J2228">
        <f>VLOOKUP(E2228,showing[],2,FALSE)</f>
        <v>7</v>
      </c>
      <c r="K2228">
        <f>Сектора[[#This Row],[Значение]]</f>
        <v>854267</v>
      </c>
      <c r="L2228" t="str">
        <f t="shared" si="34"/>
        <v>INSERT INTO msfo.statements (id_company, id_year, id_showing, value) VALUES (18,2,7,854267);</v>
      </c>
    </row>
    <row r="2229" spans="1:12">
      <c r="A2229" s="28" t="s">
        <v>52</v>
      </c>
      <c r="B2229" s="28" t="s">
        <v>53</v>
      </c>
      <c r="C2229" s="28">
        <v>2013</v>
      </c>
      <c r="D2229" s="28" t="s">
        <v>1</v>
      </c>
      <c r="E2229" s="28" t="s">
        <v>10</v>
      </c>
      <c r="F2229" s="28">
        <v>852046</v>
      </c>
      <c r="H2229">
        <f>VLOOKUP(A2229&amp;B2229,ticker_sector[],2,FALSE)</f>
        <v>18</v>
      </c>
      <c r="I2229">
        <f>VLOOKUP(C2229,year[],2,FALSE)</f>
        <v>3</v>
      </c>
      <c r="J2229">
        <f>VLOOKUP(E2229,showing[],2,FALSE)</f>
        <v>7</v>
      </c>
      <c r="K2229">
        <f>Сектора[[#This Row],[Значение]]</f>
        <v>852046</v>
      </c>
      <c r="L2229" t="str">
        <f t="shared" si="34"/>
        <v>INSERT INTO msfo.statements (id_company, id_year, id_showing, value) VALUES (18,3,7,852046);</v>
      </c>
    </row>
    <row r="2230" spans="1:12">
      <c r="A2230" s="28" t="s">
        <v>52</v>
      </c>
      <c r="B2230" s="28" t="s">
        <v>53</v>
      </c>
      <c r="C2230" s="28">
        <v>2014</v>
      </c>
      <c r="D2230" s="28" t="s">
        <v>1</v>
      </c>
      <c r="E2230" s="28" t="s">
        <v>10</v>
      </c>
      <c r="F2230" s="28">
        <v>883770</v>
      </c>
      <c r="H2230">
        <f>VLOOKUP(A2230&amp;B2230,ticker_sector[],2,FALSE)</f>
        <v>18</v>
      </c>
      <c r="I2230">
        <f>VLOOKUP(C2230,year[],2,FALSE)</f>
        <v>4</v>
      </c>
      <c r="J2230">
        <f>VLOOKUP(E2230,showing[],2,FALSE)</f>
        <v>7</v>
      </c>
      <c r="K2230">
        <f>Сектора[[#This Row],[Значение]]</f>
        <v>883770</v>
      </c>
      <c r="L2230" t="str">
        <f t="shared" si="34"/>
        <v>INSERT INTO msfo.statements (id_company, id_year, id_showing, value) VALUES (18,4,7,883770);</v>
      </c>
    </row>
    <row r="2231" spans="1:12">
      <c r="A2231" s="28" t="s">
        <v>52</v>
      </c>
      <c r="B2231" s="28" t="s">
        <v>53</v>
      </c>
      <c r="C2231" s="28">
        <v>2015</v>
      </c>
      <c r="D2231" s="28" t="s">
        <v>1</v>
      </c>
      <c r="E2231" s="28" t="s">
        <v>10</v>
      </c>
      <c r="F2231" s="28">
        <v>938137</v>
      </c>
      <c r="H2231">
        <f>VLOOKUP(A2231&amp;B2231,ticker_sector[],2,FALSE)</f>
        <v>18</v>
      </c>
      <c r="I2231">
        <f>VLOOKUP(C2231,year[],2,FALSE)</f>
        <v>5</v>
      </c>
      <c r="J2231">
        <f>VLOOKUP(E2231,showing[],2,FALSE)</f>
        <v>7</v>
      </c>
      <c r="K2231">
        <f>Сектора[[#This Row],[Значение]]</f>
        <v>938137</v>
      </c>
      <c r="L2231" t="str">
        <f t="shared" si="34"/>
        <v>INSERT INTO msfo.statements (id_company, id_year, id_showing, value) VALUES (18,5,7,938137);</v>
      </c>
    </row>
    <row r="2232" spans="1:12">
      <c r="A2232" s="28" t="s">
        <v>52</v>
      </c>
      <c r="B2232" s="28" t="s">
        <v>53</v>
      </c>
      <c r="C2232" s="28">
        <v>2016</v>
      </c>
      <c r="D2232" s="28" t="s">
        <v>1</v>
      </c>
      <c r="E2232" s="28" t="s">
        <v>10</v>
      </c>
      <c r="F2232" s="28">
        <v>983446</v>
      </c>
      <c r="H2232">
        <f>VLOOKUP(A2232&amp;B2232,ticker_sector[],2,FALSE)</f>
        <v>18</v>
      </c>
      <c r="I2232">
        <f>VLOOKUP(C2232,year[],2,FALSE)</f>
        <v>6</v>
      </c>
      <c r="J2232">
        <f>VLOOKUP(E2232,showing[],2,FALSE)</f>
        <v>7</v>
      </c>
      <c r="K2232">
        <f>Сектора[[#This Row],[Значение]]</f>
        <v>983446</v>
      </c>
      <c r="L2232" t="str">
        <f t="shared" si="34"/>
        <v>INSERT INTO msfo.statements (id_company, id_year, id_showing, value) VALUES (18,6,7,983446);</v>
      </c>
    </row>
    <row r="2233" spans="1:12">
      <c r="A2233" s="28" t="s">
        <v>52</v>
      </c>
      <c r="B2233" s="28" t="s">
        <v>53</v>
      </c>
      <c r="C2233" s="28">
        <v>2017</v>
      </c>
      <c r="D2233" s="28" t="s">
        <v>1</v>
      </c>
      <c r="E2233" s="28" t="s">
        <v>10</v>
      </c>
      <c r="F2233" s="28">
        <v>1028251</v>
      </c>
      <c r="H2233">
        <f>VLOOKUP(A2233&amp;B2233,ticker_sector[],2,FALSE)</f>
        <v>18</v>
      </c>
      <c r="I2233">
        <f>VLOOKUP(C2233,year[],2,FALSE)</f>
        <v>7</v>
      </c>
      <c r="J2233">
        <f>VLOOKUP(E2233,showing[],2,FALSE)</f>
        <v>7</v>
      </c>
      <c r="K2233">
        <f>Сектора[[#This Row],[Значение]]</f>
        <v>1028251</v>
      </c>
      <c r="L2233" t="str">
        <f t="shared" si="34"/>
        <v>INSERT INTO msfo.statements (id_company, id_year, id_showing, value) VALUES (18,7,7,1028251);</v>
      </c>
    </row>
    <row r="2234" spans="1:12">
      <c r="A2234" s="28" t="s">
        <v>52</v>
      </c>
      <c r="B2234" s="28" t="s">
        <v>53</v>
      </c>
      <c r="C2234" s="28">
        <v>2010</v>
      </c>
      <c r="D2234" s="28" t="s">
        <v>1</v>
      </c>
      <c r="E2234" s="28" t="s">
        <v>11</v>
      </c>
      <c r="F2234" s="28">
        <v>0.27574084588714254</v>
      </c>
      <c r="H2234">
        <f>VLOOKUP(A2234&amp;B2234,ticker_sector[],2,FALSE)</f>
        <v>18</v>
      </c>
      <c r="I2234">
        <f>VLOOKUP(C2234,year[],2,FALSE)</f>
        <v>0</v>
      </c>
      <c r="J2234">
        <f>VLOOKUP(E2234,showing[],2,FALSE)</f>
        <v>8</v>
      </c>
      <c r="K2234">
        <f>Сектора[[#This Row],[Значение]]</f>
        <v>0.27574084588714254</v>
      </c>
      <c r="L2234" t="str">
        <f t="shared" si="34"/>
        <v>INSERT INTO msfo.statements (id_company, id_year, id_showing, value) VALUES (18,0,8,0,275740845887143);</v>
      </c>
    </row>
    <row r="2235" spans="1:12">
      <c r="A2235" s="28" t="s">
        <v>52</v>
      </c>
      <c r="B2235" s="28" t="s">
        <v>53</v>
      </c>
      <c r="C2235" s="28">
        <v>2011</v>
      </c>
      <c r="D2235" s="28" t="s">
        <v>1</v>
      </c>
      <c r="E2235" s="28" t="s">
        <v>11</v>
      </c>
      <c r="F2235" s="28">
        <v>0.35246365100032889</v>
      </c>
      <c r="H2235">
        <f>VLOOKUP(A2235&amp;B2235,ticker_sector[],2,FALSE)</f>
        <v>18</v>
      </c>
      <c r="I2235">
        <f>VLOOKUP(C2235,year[],2,FALSE)</f>
        <v>1</v>
      </c>
      <c r="J2235">
        <f>VLOOKUP(E2235,showing[],2,FALSE)</f>
        <v>8</v>
      </c>
      <c r="K2235">
        <f>Сектора[[#This Row],[Значение]]</f>
        <v>0.35246365100032889</v>
      </c>
      <c r="L2235" t="str">
        <f t="shared" si="34"/>
        <v>INSERT INTO msfo.statements (id_company, id_year, id_showing, value) VALUES (18,1,8,0,352463651000329);</v>
      </c>
    </row>
    <row r="2236" spans="1:12">
      <c r="A2236" s="28" t="s">
        <v>52</v>
      </c>
      <c r="B2236" s="28" t="s">
        <v>53</v>
      </c>
      <c r="C2236" s="28">
        <v>2012</v>
      </c>
      <c r="D2236" s="28" t="s">
        <v>1</v>
      </c>
      <c r="E2236" s="28" t="s">
        <v>11</v>
      </c>
      <c r="F2236" s="28">
        <v>0.36740503847157857</v>
      </c>
      <c r="H2236">
        <f>VLOOKUP(A2236&amp;B2236,ticker_sector[],2,FALSE)</f>
        <v>18</v>
      </c>
      <c r="I2236">
        <f>VLOOKUP(C2236,year[],2,FALSE)</f>
        <v>2</v>
      </c>
      <c r="J2236">
        <f>VLOOKUP(E2236,showing[],2,FALSE)</f>
        <v>8</v>
      </c>
      <c r="K2236">
        <f>Сектора[[#This Row],[Значение]]</f>
        <v>0.36740503847157857</v>
      </c>
      <c r="L2236" t="str">
        <f t="shared" si="34"/>
        <v>INSERT INTO msfo.statements (id_company, id_year, id_showing, value) VALUES (18,2,8,0,367405038471579);</v>
      </c>
    </row>
    <row r="2237" spans="1:12">
      <c r="A2237" s="28" t="s">
        <v>52</v>
      </c>
      <c r="B2237" s="28" t="s">
        <v>53</v>
      </c>
      <c r="C2237" s="28">
        <v>2013</v>
      </c>
      <c r="D2237" s="28" t="s">
        <v>1</v>
      </c>
      <c r="E2237" s="28" t="s">
        <v>11</v>
      </c>
      <c r="F2237" s="28">
        <v>0.29967748220166518</v>
      </c>
      <c r="H2237">
        <f>VLOOKUP(A2237&amp;B2237,ticker_sector[],2,FALSE)</f>
        <v>18</v>
      </c>
      <c r="I2237">
        <f>VLOOKUP(C2237,year[],2,FALSE)</f>
        <v>3</v>
      </c>
      <c r="J2237">
        <f>VLOOKUP(E2237,showing[],2,FALSE)</f>
        <v>8</v>
      </c>
      <c r="K2237">
        <f>Сектора[[#This Row],[Значение]]</f>
        <v>0.29967748220166518</v>
      </c>
      <c r="L2237" t="str">
        <f t="shared" si="34"/>
        <v>INSERT INTO msfo.statements (id_company, id_year, id_showing, value) VALUES (18,3,8,0,299677482201665);</v>
      </c>
    </row>
    <row r="2238" spans="1:12">
      <c r="A2238" s="28" t="s">
        <v>52</v>
      </c>
      <c r="B2238" s="28" t="s">
        <v>53</v>
      </c>
      <c r="C2238" s="28">
        <v>2014</v>
      </c>
      <c r="D2238" s="28" t="s">
        <v>1</v>
      </c>
      <c r="E2238" s="28" t="s">
        <v>11</v>
      </c>
      <c r="F2238" s="28">
        <v>0.32657705059008568</v>
      </c>
      <c r="H2238">
        <f>VLOOKUP(A2238&amp;B2238,ticker_sector[],2,FALSE)</f>
        <v>18</v>
      </c>
      <c r="I2238">
        <f>VLOOKUP(C2238,year[],2,FALSE)</f>
        <v>4</v>
      </c>
      <c r="J2238">
        <f>VLOOKUP(E2238,showing[],2,FALSE)</f>
        <v>8</v>
      </c>
      <c r="K2238">
        <f>Сектора[[#This Row],[Значение]]</f>
        <v>0.32657705059008568</v>
      </c>
      <c r="L2238" t="str">
        <f t="shared" si="34"/>
        <v>INSERT INTO msfo.statements (id_company, id_year, id_showing, value) VALUES (18,4,8,0,326577050590086);</v>
      </c>
    </row>
    <row r="2239" spans="1:12">
      <c r="A2239" s="28" t="s">
        <v>52</v>
      </c>
      <c r="B2239" s="28" t="s">
        <v>53</v>
      </c>
      <c r="C2239" s="28">
        <v>2015</v>
      </c>
      <c r="D2239" s="28" t="s">
        <v>1</v>
      </c>
      <c r="E2239" s="28" t="s">
        <v>11</v>
      </c>
      <c r="F2239" s="28">
        <v>0.34559771120849087</v>
      </c>
      <c r="H2239">
        <f>VLOOKUP(A2239&amp;B2239,ticker_sector[],2,FALSE)</f>
        <v>18</v>
      </c>
      <c r="I2239">
        <f>VLOOKUP(C2239,year[],2,FALSE)</f>
        <v>5</v>
      </c>
      <c r="J2239">
        <f>VLOOKUP(E2239,showing[],2,FALSE)</f>
        <v>8</v>
      </c>
      <c r="K2239">
        <f>Сектора[[#This Row],[Значение]]</f>
        <v>0.34559771120849087</v>
      </c>
      <c r="L2239" t="str">
        <f t="shared" si="34"/>
        <v>INSERT INTO msfo.statements (id_company, id_year, id_showing, value) VALUES (18,5,8,0,345597711208491);</v>
      </c>
    </row>
    <row r="2240" spans="1:12">
      <c r="A2240" s="28" t="s">
        <v>52</v>
      </c>
      <c r="B2240" s="28" t="s">
        <v>53</v>
      </c>
      <c r="C2240" s="28">
        <v>2016</v>
      </c>
      <c r="D2240" s="28" t="s">
        <v>1</v>
      </c>
      <c r="E2240" s="28" t="s">
        <v>11</v>
      </c>
      <c r="F2240" s="28">
        <v>0.33811109100042097</v>
      </c>
      <c r="H2240">
        <f>VLOOKUP(A2240&amp;B2240,ticker_sector[],2,FALSE)</f>
        <v>18</v>
      </c>
      <c r="I2240">
        <f>VLOOKUP(C2240,year[],2,FALSE)</f>
        <v>6</v>
      </c>
      <c r="J2240">
        <f>VLOOKUP(E2240,showing[],2,FALSE)</f>
        <v>8</v>
      </c>
      <c r="K2240">
        <f>Сектора[[#This Row],[Значение]]</f>
        <v>0.33811109100042097</v>
      </c>
      <c r="L2240" t="str">
        <f t="shared" si="34"/>
        <v>INSERT INTO msfo.statements (id_company, id_year, id_showing, value) VALUES (18,6,8,0,338111091000421);</v>
      </c>
    </row>
    <row r="2241" spans="1:12">
      <c r="A2241" s="28" t="s">
        <v>52</v>
      </c>
      <c r="B2241" s="28" t="s">
        <v>53</v>
      </c>
      <c r="C2241" s="28">
        <v>2017</v>
      </c>
      <c r="D2241" s="28" t="s">
        <v>1</v>
      </c>
      <c r="E2241" s="28" t="s">
        <v>11</v>
      </c>
      <c r="F2241" s="28">
        <v>0.32354648816290965</v>
      </c>
      <c r="H2241">
        <f>VLOOKUP(A2241&amp;B2241,ticker_sector[],2,FALSE)</f>
        <v>18</v>
      </c>
      <c r="I2241">
        <f>VLOOKUP(C2241,year[],2,FALSE)</f>
        <v>7</v>
      </c>
      <c r="J2241">
        <f>VLOOKUP(E2241,showing[],2,FALSE)</f>
        <v>8</v>
      </c>
      <c r="K2241">
        <f>Сектора[[#This Row],[Значение]]</f>
        <v>0.32354648816290965</v>
      </c>
      <c r="L2241" t="str">
        <f t="shared" si="34"/>
        <v>INSERT INTO msfo.statements (id_company, id_year, id_showing, value) VALUES (18,7,8,0,32354648816291);</v>
      </c>
    </row>
    <row r="2242" spans="1:12">
      <c r="A2242" s="28" t="s">
        <v>52</v>
      </c>
      <c r="B2242" s="28" t="s">
        <v>53</v>
      </c>
      <c r="C2242" s="28">
        <v>2010</v>
      </c>
      <c r="D2242" s="28" t="s">
        <v>4</v>
      </c>
      <c r="E2242" s="28" t="s">
        <v>12</v>
      </c>
      <c r="F2242" s="28">
        <v>526581</v>
      </c>
      <c r="H2242">
        <f>VLOOKUP(A2242&amp;B2242,ticker_sector[],2,FALSE)</f>
        <v>18</v>
      </c>
      <c r="I2242">
        <f>VLOOKUP(C2242,year[],2,FALSE)</f>
        <v>0</v>
      </c>
      <c r="J2242">
        <f>VLOOKUP(E2242,showing[],2,FALSE)</f>
        <v>9</v>
      </c>
      <c r="K2242">
        <f>Сектора[[#This Row],[Значение]]</f>
        <v>526581</v>
      </c>
      <c r="L2242" t="str">
        <f t="shared" si="34"/>
        <v>INSERT INTO msfo.statements (id_company, id_year, id_showing, value) VALUES (18,0,9,526581);</v>
      </c>
    </row>
    <row r="2243" spans="1:12">
      <c r="A2243" s="28" t="s">
        <v>52</v>
      </c>
      <c r="B2243" s="28" t="s">
        <v>53</v>
      </c>
      <c r="C2243" s="28">
        <v>2011</v>
      </c>
      <c r="D2243" s="28" t="s">
        <v>4</v>
      </c>
      <c r="E2243" s="28" t="s">
        <v>12</v>
      </c>
      <c r="F2243" s="28">
        <v>362599</v>
      </c>
      <c r="H2243">
        <f>VLOOKUP(A2243&amp;B2243,ticker_sector[],2,FALSE)</f>
        <v>18</v>
      </c>
      <c r="I2243">
        <f>VLOOKUP(C2243,year[],2,FALSE)</f>
        <v>1</v>
      </c>
      <c r="J2243">
        <f>VLOOKUP(E2243,showing[],2,FALSE)</f>
        <v>9</v>
      </c>
      <c r="K2243">
        <f>Сектора[[#This Row],[Значение]]</f>
        <v>362599</v>
      </c>
      <c r="L2243" t="str">
        <f t="shared" ref="L2243:L2306" si="35">"INSERT INTO msfo.statements (id_company, id_year, id_showing, value) VALUES ("&amp;H2243&amp; ","&amp;I2243&amp; ","&amp;J2243&amp; ","&amp;K2243&amp;");"</f>
        <v>INSERT INTO msfo.statements (id_company, id_year, id_showing, value) VALUES (18,1,9,362599);</v>
      </c>
    </row>
    <row r="2244" spans="1:12">
      <c r="A2244" s="28" t="s">
        <v>52</v>
      </c>
      <c r="B2244" s="28" t="s">
        <v>53</v>
      </c>
      <c r="C2244" s="28">
        <v>2012</v>
      </c>
      <c r="D2244" s="28" t="s">
        <v>4</v>
      </c>
      <c r="E2244" s="28" t="s">
        <v>12</v>
      </c>
      <c r="F2244" s="28">
        <v>298805</v>
      </c>
      <c r="H2244">
        <f>VLOOKUP(A2244&amp;B2244,ticker_sector[],2,FALSE)</f>
        <v>18</v>
      </c>
      <c r="I2244">
        <f>VLOOKUP(C2244,year[],2,FALSE)</f>
        <v>2</v>
      </c>
      <c r="J2244">
        <f>VLOOKUP(E2244,showing[],2,FALSE)</f>
        <v>9</v>
      </c>
      <c r="K2244">
        <f>Сектора[[#This Row],[Значение]]</f>
        <v>298805</v>
      </c>
      <c r="L2244" t="str">
        <f t="shared" si="35"/>
        <v>INSERT INTO msfo.statements (id_company, id_year, id_showing, value) VALUES (18,2,9,298805);</v>
      </c>
    </row>
    <row r="2245" spans="1:12">
      <c r="A2245" s="28" t="s">
        <v>52</v>
      </c>
      <c r="B2245" s="28" t="s">
        <v>53</v>
      </c>
      <c r="C2245" s="28">
        <v>2013</v>
      </c>
      <c r="D2245" s="28" t="s">
        <v>4</v>
      </c>
      <c r="E2245" s="28" t="s">
        <v>12</v>
      </c>
      <c r="F2245" s="28">
        <v>313632</v>
      </c>
      <c r="H2245">
        <f>VLOOKUP(A2245&amp;B2245,ticker_sector[],2,FALSE)</f>
        <v>18</v>
      </c>
      <c r="I2245">
        <f>VLOOKUP(C2245,year[],2,FALSE)</f>
        <v>3</v>
      </c>
      <c r="J2245">
        <f>VLOOKUP(E2245,showing[],2,FALSE)</f>
        <v>9</v>
      </c>
      <c r="K2245">
        <f>Сектора[[#This Row],[Значение]]</f>
        <v>313632</v>
      </c>
      <c r="L2245" t="str">
        <f t="shared" si="35"/>
        <v>INSERT INTO msfo.statements (id_company, id_year, id_showing, value) VALUES (18,3,9,313632);</v>
      </c>
    </row>
    <row r="2246" spans="1:12">
      <c r="A2246" s="28" t="s">
        <v>52</v>
      </c>
      <c r="B2246" s="28" t="s">
        <v>53</v>
      </c>
      <c r="C2246" s="28">
        <v>2014</v>
      </c>
      <c r="D2246" s="28" t="s">
        <v>4</v>
      </c>
      <c r="E2246" s="28" t="s">
        <v>12</v>
      </c>
      <c r="F2246" s="28">
        <v>329560</v>
      </c>
      <c r="H2246">
        <f>VLOOKUP(A2246&amp;B2246,ticker_sector[],2,FALSE)</f>
        <v>18</v>
      </c>
      <c r="I2246">
        <f>VLOOKUP(C2246,year[],2,FALSE)</f>
        <v>4</v>
      </c>
      <c r="J2246">
        <f>VLOOKUP(E2246,showing[],2,FALSE)</f>
        <v>9</v>
      </c>
      <c r="K2246">
        <f>Сектора[[#This Row],[Значение]]</f>
        <v>329560</v>
      </c>
      <c r="L2246" t="str">
        <f t="shared" si="35"/>
        <v>INSERT INTO msfo.statements (id_company, id_year, id_showing, value) VALUES (18,4,9,329560);</v>
      </c>
    </row>
    <row r="2247" spans="1:12">
      <c r="A2247" s="28" t="s">
        <v>52</v>
      </c>
      <c r="B2247" s="28" t="s">
        <v>53</v>
      </c>
      <c r="C2247" s="28">
        <v>2015</v>
      </c>
      <c r="D2247" s="28" t="s">
        <v>4</v>
      </c>
      <c r="E2247" s="28" t="s">
        <v>12</v>
      </c>
      <c r="F2247" s="28">
        <v>347512</v>
      </c>
      <c r="H2247">
        <f>VLOOKUP(A2247&amp;B2247,ticker_sector[],2,FALSE)</f>
        <v>18</v>
      </c>
      <c r="I2247">
        <f>VLOOKUP(C2247,year[],2,FALSE)</f>
        <v>5</v>
      </c>
      <c r="J2247">
        <f>VLOOKUP(E2247,showing[],2,FALSE)</f>
        <v>9</v>
      </c>
      <c r="K2247">
        <f>Сектора[[#This Row],[Значение]]</f>
        <v>347512</v>
      </c>
      <c r="L2247" t="str">
        <f t="shared" si="35"/>
        <v>INSERT INTO msfo.statements (id_company, id_year, id_showing, value) VALUES (18,5,9,347512);</v>
      </c>
    </row>
    <row r="2248" spans="1:12">
      <c r="A2248" s="28" t="s">
        <v>52</v>
      </c>
      <c r="B2248" s="28" t="s">
        <v>53</v>
      </c>
      <c r="C2248" s="28">
        <v>2016</v>
      </c>
      <c r="D2248" s="28" t="s">
        <v>4</v>
      </c>
      <c r="E2248" s="28" t="s">
        <v>12</v>
      </c>
      <c r="F2248" s="28">
        <v>374072</v>
      </c>
      <c r="H2248">
        <f>VLOOKUP(A2248&amp;B2248,ticker_sector[],2,FALSE)</f>
        <v>18</v>
      </c>
      <c r="I2248">
        <f>VLOOKUP(C2248,year[],2,FALSE)</f>
        <v>6</v>
      </c>
      <c r="J2248">
        <f>VLOOKUP(E2248,showing[],2,FALSE)</f>
        <v>9</v>
      </c>
      <c r="K2248">
        <f>Сектора[[#This Row],[Значение]]</f>
        <v>374072</v>
      </c>
      <c r="L2248" t="str">
        <f t="shared" si="35"/>
        <v>INSERT INTO msfo.statements (id_company, id_year, id_showing, value) VALUES (18,6,9,374072);</v>
      </c>
    </row>
    <row r="2249" spans="1:12">
      <c r="A2249" s="28" t="s">
        <v>52</v>
      </c>
      <c r="B2249" s="28" t="s">
        <v>53</v>
      </c>
      <c r="C2249" s="28">
        <v>2017</v>
      </c>
      <c r="D2249" s="28" t="s">
        <v>4</v>
      </c>
      <c r="E2249" s="28" t="s">
        <v>12</v>
      </c>
      <c r="F2249" s="28">
        <v>348119</v>
      </c>
      <c r="H2249">
        <f>VLOOKUP(A2249&amp;B2249,ticker_sector[],2,FALSE)</f>
        <v>18</v>
      </c>
      <c r="I2249">
        <f>VLOOKUP(C2249,year[],2,FALSE)</f>
        <v>7</v>
      </c>
      <c r="J2249">
        <f>VLOOKUP(E2249,showing[],2,FALSE)</f>
        <v>9</v>
      </c>
      <c r="K2249">
        <f>Сектора[[#This Row],[Значение]]</f>
        <v>348119</v>
      </c>
      <c r="L2249" t="str">
        <f t="shared" si="35"/>
        <v>INSERT INTO msfo.statements (id_company, id_year, id_showing, value) VALUES (18,7,9,348119);</v>
      </c>
    </row>
    <row r="2250" spans="1:12">
      <c r="A2250" s="28" t="s">
        <v>52</v>
      </c>
      <c r="B2250" s="28" t="s">
        <v>53</v>
      </c>
      <c r="C2250" s="28">
        <v>2010</v>
      </c>
      <c r="D2250" s="28" t="s">
        <v>4</v>
      </c>
      <c r="E2250" s="28" t="s">
        <v>13</v>
      </c>
      <c r="F2250" s="28">
        <v>9139</v>
      </c>
      <c r="H2250">
        <f>VLOOKUP(A2250&amp;B2250,ticker_sector[],2,FALSE)</f>
        <v>18</v>
      </c>
      <c r="I2250">
        <f>VLOOKUP(C2250,year[],2,FALSE)</f>
        <v>0</v>
      </c>
      <c r="J2250">
        <f>VLOOKUP(E2250,showing[],2,FALSE)</f>
        <v>10</v>
      </c>
      <c r="K2250">
        <f>Сектора[[#This Row],[Значение]]</f>
        <v>9139</v>
      </c>
      <c r="L2250" t="str">
        <f t="shared" si="35"/>
        <v>INSERT INTO msfo.statements (id_company, id_year, id_showing, value) VALUES (18,0,10,9139);</v>
      </c>
    </row>
    <row r="2251" spans="1:12">
      <c r="A2251" s="28" t="s">
        <v>52</v>
      </c>
      <c r="B2251" s="28" t="s">
        <v>53</v>
      </c>
      <c r="C2251" s="28">
        <v>2011</v>
      </c>
      <c r="D2251" s="28" t="s">
        <v>4</v>
      </c>
      <c r="E2251" s="28" t="s">
        <v>13</v>
      </c>
      <c r="F2251" s="28">
        <v>31411</v>
      </c>
      <c r="H2251">
        <f>VLOOKUP(A2251&amp;B2251,ticker_sector[],2,FALSE)</f>
        <v>18</v>
      </c>
      <c r="I2251">
        <f>VLOOKUP(C2251,year[],2,FALSE)</f>
        <v>1</v>
      </c>
      <c r="J2251">
        <f>VLOOKUP(E2251,showing[],2,FALSE)</f>
        <v>10</v>
      </c>
      <c r="K2251">
        <f>Сектора[[#This Row],[Значение]]</f>
        <v>31411</v>
      </c>
      <c r="L2251" t="str">
        <f t="shared" si="35"/>
        <v>INSERT INTO msfo.statements (id_company, id_year, id_showing, value) VALUES (18,1,10,31411);</v>
      </c>
    </row>
    <row r="2252" spans="1:12">
      <c r="A2252" s="28" t="s">
        <v>52</v>
      </c>
      <c r="B2252" s="28" t="s">
        <v>53</v>
      </c>
      <c r="C2252" s="28">
        <v>2012</v>
      </c>
      <c r="D2252" s="28" t="s">
        <v>4</v>
      </c>
      <c r="E2252" s="28" t="s">
        <v>13</v>
      </c>
      <c r="F2252" s="28">
        <v>-22631</v>
      </c>
      <c r="H2252">
        <f>VLOOKUP(A2252&amp;B2252,ticker_sector[],2,FALSE)</f>
        <v>18</v>
      </c>
      <c r="I2252">
        <f>VLOOKUP(C2252,year[],2,FALSE)</f>
        <v>2</v>
      </c>
      <c r="J2252">
        <f>VLOOKUP(E2252,showing[],2,FALSE)</f>
        <v>10</v>
      </c>
      <c r="K2252">
        <f>Сектора[[#This Row],[Значение]]</f>
        <v>-22631</v>
      </c>
      <c r="L2252" t="str">
        <f t="shared" si="35"/>
        <v>INSERT INTO msfo.statements (id_company, id_year, id_showing, value) VALUES (18,2,10,-22631);</v>
      </c>
    </row>
    <row r="2253" spans="1:12">
      <c r="A2253" s="28" t="s">
        <v>52</v>
      </c>
      <c r="B2253" s="28" t="s">
        <v>53</v>
      </c>
      <c r="C2253" s="28">
        <v>2013</v>
      </c>
      <c r="D2253" s="28" t="s">
        <v>4</v>
      </c>
      <c r="E2253" s="28" t="s">
        <v>13</v>
      </c>
      <c r="F2253" s="28">
        <v>19767</v>
      </c>
      <c r="H2253">
        <f>VLOOKUP(A2253&amp;B2253,ticker_sector[],2,FALSE)</f>
        <v>18</v>
      </c>
      <c r="I2253">
        <f>VLOOKUP(C2253,year[],2,FALSE)</f>
        <v>3</v>
      </c>
      <c r="J2253">
        <f>VLOOKUP(E2253,showing[],2,FALSE)</f>
        <v>10</v>
      </c>
      <c r="K2253">
        <f>Сектора[[#This Row],[Значение]]</f>
        <v>19767</v>
      </c>
      <c r="L2253" t="str">
        <f t="shared" si="35"/>
        <v>INSERT INTO msfo.statements (id_company, id_year, id_showing, value) VALUES (18,3,10,19767);</v>
      </c>
    </row>
    <row r="2254" spans="1:12">
      <c r="A2254" s="28" t="s">
        <v>52</v>
      </c>
      <c r="B2254" s="28" t="s">
        <v>53</v>
      </c>
      <c r="C2254" s="28">
        <v>2014</v>
      </c>
      <c r="D2254" s="28" t="s">
        <v>4</v>
      </c>
      <c r="E2254" s="28" t="s">
        <v>13</v>
      </c>
      <c r="F2254" s="28">
        <v>25606</v>
      </c>
      <c r="H2254">
        <f>VLOOKUP(A2254&amp;B2254,ticker_sector[],2,FALSE)</f>
        <v>18</v>
      </c>
      <c r="I2254">
        <f>VLOOKUP(C2254,year[],2,FALSE)</f>
        <v>4</v>
      </c>
      <c r="J2254">
        <f>VLOOKUP(E2254,showing[],2,FALSE)</f>
        <v>10</v>
      </c>
      <c r="K2254">
        <f>Сектора[[#This Row],[Значение]]</f>
        <v>25606</v>
      </c>
      <c r="L2254" t="str">
        <f t="shared" si="35"/>
        <v>INSERT INTO msfo.statements (id_company, id_year, id_showing, value) VALUES (18,4,10,25606);</v>
      </c>
    </row>
    <row r="2255" spans="1:12">
      <c r="A2255" s="28" t="s">
        <v>52</v>
      </c>
      <c r="B2255" s="28" t="s">
        <v>53</v>
      </c>
      <c r="C2255" s="28">
        <v>2015</v>
      </c>
      <c r="D2255" s="28" t="s">
        <v>4</v>
      </c>
      <c r="E2255" s="28" t="s">
        <v>13</v>
      </c>
      <c r="F2255" s="28">
        <v>31539</v>
      </c>
      <c r="H2255">
        <f>VLOOKUP(A2255&amp;B2255,ticker_sector[],2,FALSE)</f>
        <v>18</v>
      </c>
      <c r="I2255">
        <f>VLOOKUP(C2255,year[],2,FALSE)</f>
        <v>5</v>
      </c>
      <c r="J2255">
        <f>VLOOKUP(E2255,showing[],2,FALSE)</f>
        <v>10</v>
      </c>
      <c r="K2255">
        <f>Сектора[[#This Row],[Значение]]</f>
        <v>31539</v>
      </c>
      <c r="L2255" t="str">
        <f t="shared" si="35"/>
        <v>INSERT INTO msfo.statements (id_company, id_year, id_showing, value) VALUES (18,5,10,31539);</v>
      </c>
    </row>
    <row r="2256" spans="1:12">
      <c r="A2256" s="28" t="s">
        <v>52</v>
      </c>
      <c r="B2256" s="28" t="s">
        <v>53</v>
      </c>
      <c r="C2256" s="28">
        <v>2016</v>
      </c>
      <c r="D2256" s="28" t="s">
        <v>4</v>
      </c>
      <c r="E2256" s="28" t="s">
        <v>13</v>
      </c>
      <c r="F2256" s="28">
        <v>40205</v>
      </c>
      <c r="H2256">
        <f>VLOOKUP(A2256&amp;B2256,ticker_sector[],2,FALSE)</f>
        <v>18</v>
      </c>
      <c r="I2256">
        <f>VLOOKUP(C2256,year[],2,FALSE)</f>
        <v>6</v>
      </c>
      <c r="J2256">
        <f>VLOOKUP(E2256,showing[],2,FALSE)</f>
        <v>10</v>
      </c>
      <c r="K2256">
        <f>Сектора[[#This Row],[Значение]]</f>
        <v>40205</v>
      </c>
      <c r="L2256" t="str">
        <f t="shared" si="35"/>
        <v>INSERT INTO msfo.statements (id_company, id_year, id_showing, value) VALUES (18,6,10,40205);</v>
      </c>
    </row>
    <row r="2257" spans="1:12">
      <c r="A2257" s="28" t="s">
        <v>52</v>
      </c>
      <c r="B2257" s="28" t="s">
        <v>53</v>
      </c>
      <c r="C2257" s="28">
        <v>2017</v>
      </c>
      <c r="D2257" s="28" t="s">
        <v>4</v>
      </c>
      <c r="E2257" s="28" t="s">
        <v>13</v>
      </c>
      <c r="F2257" s="28">
        <v>24013</v>
      </c>
      <c r="H2257">
        <f>VLOOKUP(A2257&amp;B2257,ticker_sector[],2,FALSE)</f>
        <v>18</v>
      </c>
      <c r="I2257">
        <f>VLOOKUP(C2257,year[],2,FALSE)</f>
        <v>7</v>
      </c>
      <c r="J2257">
        <f>VLOOKUP(E2257,showing[],2,FALSE)</f>
        <v>10</v>
      </c>
      <c r="K2257">
        <f>Сектора[[#This Row],[Значение]]</f>
        <v>24013</v>
      </c>
      <c r="L2257" t="str">
        <f t="shared" si="35"/>
        <v>INSERT INTO msfo.statements (id_company, id_year, id_showing, value) VALUES (18,7,10,24013);</v>
      </c>
    </row>
    <row r="2258" spans="1:12">
      <c r="A2258" s="28" t="s">
        <v>52</v>
      </c>
      <c r="B2258" s="28" t="s">
        <v>53</v>
      </c>
      <c r="C2258" s="28">
        <v>2010</v>
      </c>
      <c r="D2258" s="28" t="s">
        <v>4</v>
      </c>
      <c r="E2258" s="28" t="s">
        <v>14</v>
      </c>
      <c r="F2258" s="28">
        <v>17278.036808205557</v>
      </c>
      <c r="H2258">
        <f>VLOOKUP(A2258&amp;B2258,ticker_sector[],2,FALSE)</f>
        <v>18</v>
      </c>
      <c r="I2258">
        <f>VLOOKUP(C2258,year[],2,FALSE)</f>
        <v>0</v>
      </c>
      <c r="J2258">
        <f>VLOOKUP(E2258,showing[],2,FALSE)</f>
        <v>11</v>
      </c>
      <c r="K2258">
        <f>Сектора[[#This Row],[Значение]]</f>
        <v>17278.036808205557</v>
      </c>
      <c r="L2258" t="str">
        <f t="shared" si="35"/>
        <v>INSERT INTO msfo.statements (id_company, id_year, id_showing, value) VALUES (18,0,11,17278,0368082056);</v>
      </c>
    </row>
    <row r="2259" spans="1:12">
      <c r="A2259" s="28" t="s">
        <v>52</v>
      </c>
      <c r="B2259" s="28" t="s">
        <v>53</v>
      </c>
      <c r="C2259" s="28">
        <v>2011</v>
      </c>
      <c r="D2259" s="28" t="s">
        <v>4</v>
      </c>
      <c r="E2259" s="28" t="s">
        <v>14</v>
      </c>
      <c r="F2259" s="28">
        <v>11262.202564906929</v>
      </c>
      <c r="H2259">
        <f>VLOOKUP(A2259&amp;B2259,ticker_sector[],2,FALSE)</f>
        <v>18</v>
      </c>
      <c r="I2259">
        <f>VLOOKUP(C2259,year[],2,FALSE)</f>
        <v>1</v>
      </c>
      <c r="J2259">
        <f>VLOOKUP(E2259,showing[],2,FALSE)</f>
        <v>11</v>
      </c>
      <c r="K2259">
        <f>Сектора[[#This Row],[Значение]]</f>
        <v>11262.202564906929</v>
      </c>
      <c r="L2259" t="str">
        <f t="shared" si="35"/>
        <v>INSERT INTO msfo.statements (id_company, id_year, id_showing, value) VALUES (18,1,11,11262,2025649069);</v>
      </c>
    </row>
    <row r="2260" spans="1:12">
      <c r="A2260" s="28" t="s">
        <v>52</v>
      </c>
      <c r="B2260" s="28" t="s">
        <v>53</v>
      </c>
      <c r="C2260" s="28">
        <v>2012</v>
      </c>
      <c r="D2260" s="28" t="s">
        <v>4</v>
      </c>
      <c r="E2260" s="28" t="s">
        <v>14</v>
      </c>
      <c r="F2260" s="28">
        <v>9837.9465770247625</v>
      </c>
      <c r="H2260">
        <f>VLOOKUP(A2260&amp;B2260,ticker_sector[],2,FALSE)</f>
        <v>18</v>
      </c>
      <c r="I2260">
        <f>VLOOKUP(C2260,year[],2,FALSE)</f>
        <v>2</v>
      </c>
      <c r="J2260">
        <f>VLOOKUP(E2260,showing[],2,FALSE)</f>
        <v>11</v>
      </c>
      <c r="K2260">
        <f>Сектора[[#This Row],[Значение]]</f>
        <v>9837.9465770247625</v>
      </c>
      <c r="L2260" t="str">
        <f t="shared" si="35"/>
        <v>INSERT INTO msfo.statements (id_company, id_year, id_showing, value) VALUES (18,2,11,9837,94657702476);</v>
      </c>
    </row>
    <row r="2261" spans="1:12">
      <c r="A2261" s="28" t="s">
        <v>52</v>
      </c>
      <c r="B2261" s="28" t="s">
        <v>53</v>
      </c>
      <c r="C2261" s="28">
        <v>2013</v>
      </c>
      <c r="D2261" s="28" t="s">
        <v>4</v>
      </c>
      <c r="E2261" s="28" t="s">
        <v>14</v>
      </c>
      <c r="F2261" s="28">
        <v>9582.6356892316344</v>
      </c>
      <c r="H2261">
        <f>VLOOKUP(A2261&amp;B2261,ticker_sector[],2,FALSE)</f>
        <v>18</v>
      </c>
      <c r="I2261">
        <f>VLOOKUP(C2261,year[],2,FALSE)</f>
        <v>3</v>
      </c>
      <c r="J2261">
        <f>VLOOKUP(E2261,showing[],2,FALSE)</f>
        <v>11</v>
      </c>
      <c r="K2261">
        <f>Сектора[[#This Row],[Значение]]</f>
        <v>9582.6356892316344</v>
      </c>
      <c r="L2261" t="str">
        <f t="shared" si="35"/>
        <v>INSERT INTO msfo.statements (id_company, id_year, id_showing, value) VALUES (18,3,11,9582,63568923163);</v>
      </c>
    </row>
    <row r="2262" spans="1:12">
      <c r="A2262" s="28" t="s">
        <v>52</v>
      </c>
      <c r="B2262" s="28" t="s">
        <v>53</v>
      </c>
      <c r="C2262" s="28">
        <v>2014</v>
      </c>
      <c r="D2262" s="28" t="s">
        <v>4</v>
      </c>
      <c r="E2262" s="28" t="s">
        <v>14</v>
      </c>
      <c r="F2262" s="28">
        <v>5857.9696543094005</v>
      </c>
      <c r="H2262">
        <f>VLOOKUP(A2262&amp;B2262,ticker_sector[],2,FALSE)</f>
        <v>18</v>
      </c>
      <c r="I2262">
        <f>VLOOKUP(C2262,year[],2,FALSE)</f>
        <v>4</v>
      </c>
      <c r="J2262">
        <f>VLOOKUP(E2262,showing[],2,FALSE)</f>
        <v>11</v>
      </c>
      <c r="K2262">
        <f>Сектора[[#This Row],[Значение]]</f>
        <v>5857.9696543094005</v>
      </c>
      <c r="L2262" t="str">
        <f t="shared" si="35"/>
        <v>INSERT INTO msfo.statements (id_company, id_year, id_showing, value) VALUES (18,4,11,5857,9696543094);</v>
      </c>
    </row>
    <row r="2263" spans="1:12">
      <c r="A2263" s="28" t="s">
        <v>52</v>
      </c>
      <c r="B2263" s="28" t="s">
        <v>53</v>
      </c>
      <c r="C2263" s="28">
        <v>2015</v>
      </c>
      <c r="D2263" s="28" t="s">
        <v>4</v>
      </c>
      <c r="E2263" s="28" t="s">
        <v>14</v>
      </c>
      <c r="F2263" s="28">
        <v>4768.0999743423336</v>
      </c>
      <c r="H2263">
        <f>VLOOKUP(A2263&amp;B2263,ticker_sector[],2,FALSE)</f>
        <v>18</v>
      </c>
      <c r="I2263">
        <f>VLOOKUP(C2263,year[],2,FALSE)</f>
        <v>5</v>
      </c>
      <c r="J2263">
        <f>VLOOKUP(E2263,showing[],2,FALSE)</f>
        <v>11</v>
      </c>
      <c r="K2263">
        <f>Сектора[[#This Row],[Значение]]</f>
        <v>4768.0999743423336</v>
      </c>
      <c r="L2263" t="str">
        <f t="shared" si="35"/>
        <v>INSERT INTO msfo.statements (id_company, id_year, id_showing, value) VALUES (18,5,11,4768,09997434233);</v>
      </c>
    </row>
    <row r="2264" spans="1:12">
      <c r="A2264" s="28" t="s">
        <v>52</v>
      </c>
      <c r="B2264" s="28" t="s">
        <v>53</v>
      </c>
      <c r="C2264" s="28">
        <v>2016</v>
      </c>
      <c r="D2264" s="28" t="s">
        <v>4</v>
      </c>
      <c r="E2264" s="28" t="s">
        <v>14</v>
      </c>
      <c r="F2264" s="28">
        <v>6167.0147996353262</v>
      </c>
      <c r="H2264">
        <f>VLOOKUP(A2264&amp;B2264,ticker_sector[],2,FALSE)</f>
        <v>18</v>
      </c>
      <c r="I2264">
        <f>VLOOKUP(C2264,year[],2,FALSE)</f>
        <v>6</v>
      </c>
      <c r="J2264">
        <f>VLOOKUP(E2264,showing[],2,FALSE)</f>
        <v>11</v>
      </c>
      <c r="K2264">
        <f>Сектора[[#This Row],[Значение]]</f>
        <v>6167.0147996353262</v>
      </c>
      <c r="L2264" t="str">
        <f t="shared" si="35"/>
        <v>INSERT INTO msfo.statements (id_company, id_year, id_showing, value) VALUES (18,6,11,6167,01479963533);</v>
      </c>
    </row>
    <row r="2265" spans="1:12">
      <c r="A2265" s="28" t="s">
        <v>52</v>
      </c>
      <c r="B2265" s="28" t="s">
        <v>53</v>
      </c>
      <c r="C2265" s="28">
        <v>2017</v>
      </c>
      <c r="D2265" s="28" t="s">
        <v>4</v>
      </c>
      <c r="E2265" s="28" t="s">
        <v>14</v>
      </c>
      <c r="F2265" s="28">
        <v>6043.7116537789798</v>
      </c>
      <c r="H2265">
        <f>VLOOKUP(A2265&amp;B2265,ticker_sector[],2,FALSE)</f>
        <v>18</v>
      </c>
      <c r="I2265">
        <f>VLOOKUP(C2265,year[],2,FALSE)</f>
        <v>7</v>
      </c>
      <c r="J2265">
        <f>VLOOKUP(E2265,showing[],2,FALSE)</f>
        <v>11</v>
      </c>
      <c r="K2265">
        <f>Сектора[[#This Row],[Значение]]</f>
        <v>6043.7116537789798</v>
      </c>
      <c r="L2265" t="str">
        <f t="shared" si="35"/>
        <v>INSERT INTO msfo.statements (id_company, id_year, id_showing, value) VALUES (18,7,11,6043,71165377898);</v>
      </c>
    </row>
    <row r="2266" spans="1:12">
      <c r="A2266" s="28" t="s">
        <v>52</v>
      </c>
      <c r="B2266" s="28" t="s">
        <v>53</v>
      </c>
      <c r="C2266" s="28">
        <v>2010</v>
      </c>
      <c r="D2266" s="28" t="s">
        <v>4</v>
      </c>
      <c r="E2266" s="28" t="s">
        <v>15</v>
      </c>
      <c r="F2266" s="28">
        <v>299.86645623406582</v>
      </c>
      <c r="H2266">
        <f>VLOOKUP(A2266&amp;B2266,ticker_sector[],2,FALSE)</f>
        <v>18</v>
      </c>
      <c r="I2266">
        <f>VLOOKUP(C2266,year[],2,FALSE)</f>
        <v>0</v>
      </c>
      <c r="J2266">
        <f>VLOOKUP(E2266,showing[],2,FALSE)</f>
        <v>12</v>
      </c>
      <c r="K2266">
        <f>Сектора[[#This Row],[Значение]]</f>
        <v>299.86645623406582</v>
      </c>
      <c r="L2266" t="str">
        <f t="shared" si="35"/>
        <v>INSERT INTO msfo.statements (id_company, id_year, id_showing, value) VALUES (18,0,12,299,866456234066);</v>
      </c>
    </row>
    <row r="2267" spans="1:12">
      <c r="A2267" s="28" t="s">
        <v>52</v>
      </c>
      <c r="B2267" s="28" t="s">
        <v>53</v>
      </c>
      <c r="C2267" s="28">
        <v>2011</v>
      </c>
      <c r="D2267" s="28" t="s">
        <v>4</v>
      </c>
      <c r="E2267" s="28" t="s">
        <v>15</v>
      </c>
      <c r="F2267" s="28">
        <v>975.6150589667692</v>
      </c>
      <c r="H2267">
        <f>VLOOKUP(A2267&amp;B2267,ticker_sector[],2,FALSE)</f>
        <v>18</v>
      </c>
      <c r="I2267">
        <f>VLOOKUP(C2267,year[],2,FALSE)</f>
        <v>1</v>
      </c>
      <c r="J2267">
        <f>VLOOKUP(E2267,showing[],2,FALSE)</f>
        <v>12</v>
      </c>
      <c r="K2267">
        <f>Сектора[[#This Row],[Значение]]</f>
        <v>975.6150589667692</v>
      </c>
      <c r="L2267" t="str">
        <f t="shared" si="35"/>
        <v>INSERT INTO msfo.statements (id_company, id_year, id_showing, value) VALUES (18,1,12,975,615058966769);</v>
      </c>
    </row>
    <row r="2268" spans="1:12">
      <c r="A2268" s="28" t="s">
        <v>52</v>
      </c>
      <c r="B2268" s="28" t="s">
        <v>53</v>
      </c>
      <c r="C2268" s="28">
        <v>2012</v>
      </c>
      <c r="D2268" s="28" t="s">
        <v>4</v>
      </c>
      <c r="E2268" s="28" t="s">
        <v>15</v>
      </c>
      <c r="F2268" s="28">
        <v>-745.1099177880136</v>
      </c>
      <c r="H2268">
        <f>VLOOKUP(A2268&amp;B2268,ticker_sector[],2,FALSE)</f>
        <v>18</v>
      </c>
      <c r="I2268">
        <f>VLOOKUP(C2268,year[],2,FALSE)</f>
        <v>2</v>
      </c>
      <c r="J2268">
        <f>VLOOKUP(E2268,showing[],2,FALSE)</f>
        <v>12</v>
      </c>
      <c r="K2268">
        <f>Сектора[[#This Row],[Значение]]</f>
        <v>-745.1099177880136</v>
      </c>
      <c r="L2268" t="str">
        <f t="shared" si="35"/>
        <v>INSERT INTO msfo.statements (id_company, id_year, id_showing, value) VALUES (18,2,12,-745,109917788014);</v>
      </c>
    </row>
    <row r="2269" spans="1:12">
      <c r="A2269" s="28" t="s">
        <v>52</v>
      </c>
      <c r="B2269" s="28" t="s">
        <v>53</v>
      </c>
      <c r="C2269" s="28">
        <v>2013</v>
      </c>
      <c r="D2269" s="28" t="s">
        <v>4</v>
      </c>
      <c r="E2269" s="28" t="s">
        <v>15</v>
      </c>
      <c r="F2269" s="28">
        <v>603.95610036297865</v>
      </c>
      <c r="H2269">
        <f>VLOOKUP(A2269&amp;B2269,ticker_sector[],2,FALSE)</f>
        <v>18</v>
      </c>
      <c r="I2269">
        <f>VLOOKUP(C2269,year[],2,FALSE)</f>
        <v>3</v>
      </c>
      <c r="J2269">
        <f>VLOOKUP(E2269,showing[],2,FALSE)</f>
        <v>12</v>
      </c>
      <c r="K2269">
        <f>Сектора[[#This Row],[Значение]]</f>
        <v>603.95610036297865</v>
      </c>
      <c r="L2269" t="str">
        <f t="shared" si="35"/>
        <v>INSERT INTO msfo.statements (id_company, id_year, id_showing, value) VALUES (18,3,12,603,956100362979);</v>
      </c>
    </row>
    <row r="2270" spans="1:12">
      <c r="A2270" s="28" t="s">
        <v>52</v>
      </c>
      <c r="B2270" s="28" t="s">
        <v>53</v>
      </c>
      <c r="C2270" s="28">
        <v>2014</v>
      </c>
      <c r="D2270" s="28" t="s">
        <v>4</v>
      </c>
      <c r="E2270" s="28" t="s">
        <v>15</v>
      </c>
      <c r="F2270" s="28">
        <v>455.14980873967266</v>
      </c>
      <c r="H2270">
        <f>VLOOKUP(A2270&amp;B2270,ticker_sector[],2,FALSE)</f>
        <v>18</v>
      </c>
      <c r="I2270">
        <f>VLOOKUP(C2270,year[],2,FALSE)</f>
        <v>4</v>
      </c>
      <c r="J2270">
        <f>VLOOKUP(E2270,showing[],2,FALSE)</f>
        <v>12</v>
      </c>
      <c r="K2270">
        <f>Сектора[[#This Row],[Значение]]</f>
        <v>455.14980873967266</v>
      </c>
      <c r="L2270" t="str">
        <f t="shared" si="35"/>
        <v>INSERT INTO msfo.statements (id_company, id_year, id_showing, value) VALUES (18,4,12,455,149808739673);</v>
      </c>
    </row>
    <row r="2271" spans="1:12">
      <c r="A2271" s="28" t="s">
        <v>52</v>
      </c>
      <c r="B2271" s="28" t="s">
        <v>53</v>
      </c>
      <c r="C2271" s="28">
        <v>2015</v>
      </c>
      <c r="D2271" s="28" t="s">
        <v>4</v>
      </c>
      <c r="E2271" s="28" t="s">
        <v>15</v>
      </c>
      <c r="F2271" s="28">
        <v>432.73643813964082</v>
      </c>
      <c r="H2271">
        <f>VLOOKUP(A2271&amp;B2271,ticker_sector[],2,FALSE)</f>
        <v>18</v>
      </c>
      <c r="I2271">
        <f>VLOOKUP(C2271,year[],2,FALSE)</f>
        <v>5</v>
      </c>
      <c r="J2271">
        <f>VLOOKUP(E2271,showing[],2,FALSE)</f>
        <v>12</v>
      </c>
      <c r="K2271">
        <f>Сектора[[#This Row],[Значение]]</f>
        <v>432.73643813964082</v>
      </c>
      <c r="L2271" t="str">
        <f t="shared" si="35"/>
        <v>INSERT INTO msfo.statements (id_company, id_year, id_showing, value) VALUES (18,5,12,432,736438139641);</v>
      </c>
    </row>
    <row r="2272" spans="1:12">
      <c r="A2272" s="28" t="s">
        <v>52</v>
      </c>
      <c r="B2272" s="28" t="s">
        <v>53</v>
      </c>
      <c r="C2272" s="28">
        <v>2016</v>
      </c>
      <c r="D2272" s="28" t="s">
        <v>4</v>
      </c>
      <c r="E2272" s="28" t="s">
        <v>15</v>
      </c>
      <c r="F2272" s="28">
        <v>662.82648800054073</v>
      </c>
      <c r="H2272">
        <f>VLOOKUP(A2272&amp;B2272,ticker_sector[],2,FALSE)</f>
        <v>18</v>
      </c>
      <c r="I2272">
        <f>VLOOKUP(C2272,year[],2,FALSE)</f>
        <v>6</v>
      </c>
      <c r="J2272">
        <f>VLOOKUP(E2272,showing[],2,FALSE)</f>
        <v>12</v>
      </c>
      <c r="K2272">
        <f>Сектора[[#This Row],[Значение]]</f>
        <v>662.82648800054073</v>
      </c>
      <c r="L2272" t="str">
        <f t="shared" si="35"/>
        <v>INSERT INTO msfo.statements (id_company, id_year, id_showing, value) VALUES (18,6,12,662,826488000541);</v>
      </c>
    </row>
    <row r="2273" spans="1:12">
      <c r="A2273" s="28" t="s">
        <v>52</v>
      </c>
      <c r="B2273" s="28" t="s">
        <v>53</v>
      </c>
      <c r="C2273" s="28">
        <v>2017</v>
      </c>
      <c r="D2273" s="28" t="s">
        <v>4</v>
      </c>
      <c r="E2273" s="28" t="s">
        <v>15</v>
      </c>
      <c r="F2273" s="28">
        <v>416.89091357321678</v>
      </c>
      <c r="H2273">
        <f>VLOOKUP(A2273&amp;B2273,ticker_sector[],2,FALSE)</f>
        <v>18</v>
      </c>
      <c r="I2273">
        <f>VLOOKUP(C2273,year[],2,FALSE)</f>
        <v>7</v>
      </c>
      <c r="J2273">
        <f>VLOOKUP(E2273,showing[],2,FALSE)</f>
        <v>12</v>
      </c>
      <c r="K2273">
        <f>Сектора[[#This Row],[Значение]]</f>
        <v>416.89091357321678</v>
      </c>
      <c r="L2273" t="str">
        <f t="shared" si="35"/>
        <v>INSERT INTO msfo.statements (id_company, id_year, id_showing, value) VALUES (18,7,12,416,890913573217);</v>
      </c>
    </row>
    <row r="2274" spans="1:12">
      <c r="A2274" s="28" t="s">
        <v>52</v>
      </c>
      <c r="B2274" s="28" t="s">
        <v>53</v>
      </c>
      <c r="C2274" s="28">
        <v>2010</v>
      </c>
      <c r="D2274" s="28" t="s">
        <v>7</v>
      </c>
      <c r="E2274" s="28" t="s">
        <v>16</v>
      </c>
      <c r="F2274" s="28">
        <v>59888</v>
      </c>
      <c r="H2274">
        <f>VLOOKUP(A2274&amp;B2274,ticker_sector[],2,FALSE)</f>
        <v>18</v>
      </c>
      <c r="I2274">
        <f>VLOOKUP(C2274,year[],2,FALSE)</f>
        <v>0</v>
      </c>
      <c r="J2274">
        <f>VLOOKUP(E2274,showing[],2,FALSE)</f>
        <v>13</v>
      </c>
      <c r="K2274">
        <f>Сектора[[#This Row],[Значение]]</f>
        <v>59888</v>
      </c>
      <c r="L2274" t="str">
        <f t="shared" si="35"/>
        <v>INSERT INTO msfo.statements (id_company, id_year, id_showing, value) VALUES (18,0,13,59888);</v>
      </c>
    </row>
    <row r="2275" spans="1:12">
      <c r="A2275" s="28" t="s">
        <v>52</v>
      </c>
      <c r="B2275" s="28" t="s">
        <v>53</v>
      </c>
      <c r="C2275" s="28">
        <v>2011</v>
      </c>
      <c r="D2275" s="28" t="s">
        <v>7</v>
      </c>
      <c r="E2275" s="28" t="s">
        <v>16</v>
      </c>
      <c r="F2275" s="28">
        <v>62526</v>
      </c>
      <c r="H2275">
        <f>VLOOKUP(A2275&amp;B2275,ticker_sector[],2,FALSE)</f>
        <v>18</v>
      </c>
      <c r="I2275">
        <f>VLOOKUP(C2275,year[],2,FALSE)</f>
        <v>1</v>
      </c>
      <c r="J2275">
        <f>VLOOKUP(E2275,showing[],2,FALSE)</f>
        <v>13</v>
      </c>
      <c r="K2275">
        <f>Сектора[[#This Row],[Значение]]</f>
        <v>62526</v>
      </c>
      <c r="L2275" t="str">
        <f t="shared" si="35"/>
        <v>INSERT INTO msfo.statements (id_company, id_year, id_showing, value) VALUES (18,1,13,62526);</v>
      </c>
    </row>
    <row r="2276" spans="1:12">
      <c r="A2276" s="28" t="s">
        <v>52</v>
      </c>
      <c r="B2276" s="28" t="s">
        <v>53</v>
      </c>
      <c r="C2276" s="28">
        <v>2012</v>
      </c>
      <c r="D2276" s="28" t="s">
        <v>7</v>
      </c>
      <c r="E2276" s="28" t="s">
        <v>16</v>
      </c>
      <c r="F2276" s="28">
        <v>61254</v>
      </c>
      <c r="H2276">
        <f>VLOOKUP(A2276&amp;B2276,ticker_sector[],2,FALSE)</f>
        <v>18</v>
      </c>
      <c r="I2276">
        <f>VLOOKUP(C2276,year[],2,FALSE)</f>
        <v>2</v>
      </c>
      <c r="J2276">
        <f>VLOOKUP(E2276,showing[],2,FALSE)</f>
        <v>13</v>
      </c>
      <c r="K2276">
        <f>Сектора[[#This Row],[Значение]]</f>
        <v>61254</v>
      </c>
      <c r="L2276" t="str">
        <f t="shared" si="35"/>
        <v>INSERT INTO msfo.statements (id_company, id_year, id_showing, value) VALUES (18,2,13,61254);</v>
      </c>
    </row>
    <row r="2277" spans="1:12">
      <c r="A2277" s="28" t="s">
        <v>52</v>
      </c>
      <c r="B2277" s="28" t="s">
        <v>53</v>
      </c>
      <c r="C2277" s="28">
        <v>2013</v>
      </c>
      <c r="D2277" s="28" t="s">
        <v>7</v>
      </c>
      <c r="E2277" s="28" t="s">
        <v>16</v>
      </c>
      <c r="F2277" s="28">
        <v>72713</v>
      </c>
      <c r="H2277">
        <f>VLOOKUP(A2277&amp;B2277,ticker_sector[],2,FALSE)</f>
        <v>18</v>
      </c>
      <c r="I2277">
        <f>VLOOKUP(C2277,year[],2,FALSE)</f>
        <v>3</v>
      </c>
      <c r="J2277">
        <f>VLOOKUP(E2277,showing[],2,FALSE)</f>
        <v>13</v>
      </c>
      <c r="K2277">
        <f>Сектора[[#This Row],[Значение]]</f>
        <v>72713</v>
      </c>
      <c r="L2277" t="str">
        <f t="shared" si="35"/>
        <v>INSERT INTO msfo.statements (id_company, id_year, id_showing, value) VALUES (18,3,13,72713);</v>
      </c>
    </row>
    <row r="2278" spans="1:12">
      <c r="A2278" s="28" t="s">
        <v>52</v>
      </c>
      <c r="B2278" s="28" t="s">
        <v>53</v>
      </c>
      <c r="C2278" s="28">
        <v>2014</v>
      </c>
      <c r="D2278" s="28" t="s">
        <v>7</v>
      </c>
      <c r="E2278" s="28" t="s">
        <v>16</v>
      </c>
      <c r="F2278" s="28">
        <v>60708</v>
      </c>
      <c r="H2278">
        <f>VLOOKUP(A2278&amp;B2278,ticker_sector[],2,FALSE)</f>
        <v>18</v>
      </c>
      <c r="I2278">
        <f>VLOOKUP(C2278,year[],2,FALSE)</f>
        <v>4</v>
      </c>
      <c r="J2278">
        <f>VLOOKUP(E2278,showing[],2,FALSE)</f>
        <v>13</v>
      </c>
      <c r="K2278">
        <f>Сектора[[#This Row],[Значение]]</f>
        <v>60708</v>
      </c>
      <c r="L2278" t="str">
        <f t="shared" si="35"/>
        <v>INSERT INTO msfo.statements (id_company, id_year, id_showing, value) VALUES (18,4,13,60708);</v>
      </c>
    </row>
    <row r="2279" spans="1:12">
      <c r="A2279" s="28" t="s">
        <v>52</v>
      </c>
      <c r="B2279" s="28" t="s">
        <v>53</v>
      </c>
      <c r="C2279" s="28">
        <v>2015</v>
      </c>
      <c r="D2279" s="28" t="s">
        <v>7</v>
      </c>
      <c r="E2279" s="28" t="s">
        <v>16</v>
      </c>
      <c r="F2279" s="28">
        <v>53143</v>
      </c>
      <c r="H2279">
        <f>VLOOKUP(A2279&amp;B2279,ticker_sector[],2,FALSE)</f>
        <v>18</v>
      </c>
      <c r="I2279">
        <f>VLOOKUP(C2279,year[],2,FALSE)</f>
        <v>5</v>
      </c>
      <c r="J2279">
        <f>VLOOKUP(E2279,showing[],2,FALSE)</f>
        <v>13</v>
      </c>
      <c r="K2279">
        <f>Сектора[[#This Row],[Значение]]</f>
        <v>53143</v>
      </c>
      <c r="L2279" t="str">
        <f t="shared" si="35"/>
        <v>INSERT INTO msfo.statements (id_company, id_year, id_showing, value) VALUES (18,5,13,53143);</v>
      </c>
    </row>
    <row r="2280" spans="1:12">
      <c r="A2280" s="28" t="s">
        <v>52</v>
      </c>
      <c r="B2280" s="28" t="s">
        <v>53</v>
      </c>
      <c r="C2280" s="28">
        <v>2016</v>
      </c>
      <c r="D2280" s="28" t="s">
        <v>7</v>
      </c>
      <c r="E2280" s="28" t="s">
        <v>16</v>
      </c>
      <c r="F2280" s="28">
        <v>73590</v>
      </c>
      <c r="H2280">
        <f>VLOOKUP(A2280&amp;B2280,ticker_sector[],2,FALSE)</f>
        <v>18</v>
      </c>
      <c r="I2280">
        <f>VLOOKUP(C2280,year[],2,FALSE)</f>
        <v>6</v>
      </c>
      <c r="J2280">
        <f>VLOOKUP(E2280,showing[],2,FALSE)</f>
        <v>13</v>
      </c>
      <c r="K2280">
        <f>Сектора[[#This Row],[Значение]]</f>
        <v>73590</v>
      </c>
      <c r="L2280" t="str">
        <f t="shared" si="35"/>
        <v>INSERT INTO msfo.statements (id_company, id_year, id_showing, value) VALUES (18,6,13,73590);</v>
      </c>
    </row>
    <row r="2281" spans="1:12">
      <c r="A2281" s="28" t="s">
        <v>52</v>
      </c>
      <c r="B2281" s="28" t="s">
        <v>53</v>
      </c>
      <c r="C2281" s="28">
        <v>2017</v>
      </c>
      <c r="D2281" s="28" t="s">
        <v>7</v>
      </c>
      <c r="E2281" s="28" t="s">
        <v>16</v>
      </c>
      <c r="F2281" s="28">
        <v>79670</v>
      </c>
      <c r="H2281">
        <f>VLOOKUP(A2281&amp;B2281,ticker_sector[],2,FALSE)</f>
        <v>18</v>
      </c>
      <c r="I2281">
        <f>VLOOKUP(C2281,year[],2,FALSE)</f>
        <v>7</v>
      </c>
      <c r="J2281">
        <f>VLOOKUP(E2281,showing[],2,FALSE)</f>
        <v>13</v>
      </c>
      <c r="K2281">
        <f>Сектора[[#This Row],[Значение]]</f>
        <v>79670</v>
      </c>
      <c r="L2281" t="str">
        <f t="shared" si="35"/>
        <v>INSERT INTO msfo.statements (id_company, id_year, id_showing, value) VALUES (18,7,13,79670);</v>
      </c>
    </row>
    <row r="2282" spans="1:12">
      <c r="A2282" s="28" t="s">
        <v>52</v>
      </c>
      <c r="B2282" s="28" t="s">
        <v>53</v>
      </c>
      <c r="C2282" s="28">
        <v>2010</v>
      </c>
      <c r="D2282" s="28" t="s">
        <v>7</v>
      </c>
      <c r="E2282" s="28" t="s">
        <v>17</v>
      </c>
      <c r="F2282" s="28">
        <v>1965.0292516627346</v>
      </c>
      <c r="H2282">
        <f>VLOOKUP(A2282&amp;B2282,ticker_sector[],2,FALSE)</f>
        <v>18</v>
      </c>
      <c r="I2282">
        <f>VLOOKUP(C2282,year[],2,FALSE)</f>
        <v>0</v>
      </c>
      <c r="J2282">
        <f>VLOOKUP(E2282,showing[],2,FALSE)</f>
        <v>14</v>
      </c>
      <c r="K2282">
        <f>Сектора[[#This Row],[Значение]]</f>
        <v>1965.0292516627346</v>
      </c>
      <c r="L2282" t="str">
        <f t="shared" si="35"/>
        <v>INSERT INTO msfo.statements (id_company, id_year, id_showing, value) VALUES (18,0,14,1965,02925166273);</v>
      </c>
    </row>
    <row r="2283" spans="1:12">
      <c r="A2283" s="28" t="s">
        <v>52</v>
      </c>
      <c r="B2283" s="28" t="s">
        <v>53</v>
      </c>
      <c r="C2283" s="28">
        <v>2011</v>
      </c>
      <c r="D2283" s="28" t="s">
        <v>7</v>
      </c>
      <c r="E2283" s="28" t="s">
        <v>17</v>
      </c>
      <c r="F2283" s="28">
        <v>1942.036457831849</v>
      </c>
      <c r="H2283">
        <f>VLOOKUP(A2283&amp;B2283,ticker_sector[],2,FALSE)</f>
        <v>18</v>
      </c>
      <c r="I2283">
        <f>VLOOKUP(C2283,year[],2,FALSE)</f>
        <v>1</v>
      </c>
      <c r="J2283">
        <f>VLOOKUP(E2283,showing[],2,FALSE)</f>
        <v>14</v>
      </c>
      <c r="K2283">
        <f>Сектора[[#This Row],[Значение]]</f>
        <v>1942.036457831849</v>
      </c>
      <c r="L2283" t="str">
        <f t="shared" si="35"/>
        <v>INSERT INTO msfo.statements (id_company, id_year, id_showing, value) VALUES (18,1,14,1942,03645783185);</v>
      </c>
    </row>
    <row r="2284" spans="1:12">
      <c r="A2284" s="28" t="s">
        <v>52</v>
      </c>
      <c r="B2284" s="28" t="s">
        <v>53</v>
      </c>
      <c r="C2284" s="28">
        <v>2012</v>
      </c>
      <c r="D2284" s="28" t="s">
        <v>7</v>
      </c>
      <c r="E2284" s="28" t="s">
        <v>17</v>
      </c>
      <c r="F2284" s="28">
        <v>2016.7453008787497</v>
      </c>
      <c r="H2284">
        <f>VLOOKUP(A2284&amp;B2284,ticker_sector[],2,FALSE)</f>
        <v>18</v>
      </c>
      <c r="I2284">
        <f>VLOOKUP(C2284,year[],2,FALSE)</f>
        <v>2</v>
      </c>
      <c r="J2284">
        <f>VLOOKUP(E2284,showing[],2,FALSE)</f>
        <v>14</v>
      </c>
      <c r="K2284">
        <f>Сектора[[#This Row],[Значение]]</f>
        <v>2016.7453008787497</v>
      </c>
      <c r="L2284" t="str">
        <f t="shared" si="35"/>
        <v>INSERT INTO msfo.statements (id_company, id_year, id_showing, value) VALUES (18,2,14,2016,74530087875);</v>
      </c>
    </row>
    <row r="2285" spans="1:12">
      <c r="A2285" s="28" t="s">
        <v>52</v>
      </c>
      <c r="B2285" s="28" t="s">
        <v>53</v>
      </c>
      <c r="C2285" s="28">
        <v>2013</v>
      </c>
      <c r="D2285" s="28" t="s">
        <v>7</v>
      </c>
      <c r="E2285" s="28" t="s">
        <v>17</v>
      </c>
      <c r="F2285" s="28">
        <v>2221.65528030016</v>
      </c>
      <c r="H2285">
        <f>VLOOKUP(A2285&amp;B2285,ticker_sector[],2,FALSE)</f>
        <v>18</v>
      </c>
      <c r="I2285">
        <f>VLOOKUP(C2285,year[],2,FALSE)</f>
        <v>3</v>
      </c>
      <c r="J2285">
        <f>VLOOKUP(E2285,showing[],2,FALSE)</f>
        <v>14</v>
      </c>
      <c r="K2285">
        <f>Сектора[[#This Row],[Значение]]</f>
        <v>2221.65528030016</v>
      </c>
      <c r="L2285" t="str">
        <f t="shared" si="35"/>
        <v>INSERT INTO msfo.statements (id_company, id_year, id_showing, value) VALUES (18,3,14,2221,65528030016);</v>
      </c>
    </row>
    <row r="2286" spans="1:12">
      <c r="A2286" s="28" t="s">
        <v>52</v>
      </c>
      <c r="B2286" s="28" t="s">
        <v>53</v>
      </c>
      <c r="C2286" s="28">
        <v>2014</v>
      </c>
      <c r="D2286" s="28" t="s">
        <v>7</v>
      </c>
      <c r="E2286" s="28" t="s">
        <v>17</v>
      </c>
      <c r="F2286" s="28">
        <v>1079.0921888997909</v>
      </c>
      <c r="H2286">
        <f>VLOOKUP(A2286&amp;B2286,ticker_sector[],2,FALSE)</f>
        <v>18</v>
      </c>
      <c r="I2286">
        <f>VLOOKUP(C2286,year[],2,FALSE)</f>
        <v>4</v>
      </c>
      <c r="J2286">
        <f>VLOOKUP(E2286,showing[],2,FALSE)</f>
        <v>14</v>
      </c>
      <c r="K2286">
        <f>Сектора[[#This Row],[Значение]]</f>
        <v>1079.0921888997909</v>
      </c>
      <c r="L2286" t="str">
        <f t="shared" si="35"/>
        <v>INSERT INTO msfo.statements (id_company, id_year, id_showing, value) VALUES (18,4,14,1079,09218889979);</v>
      </c>
    </row>
    <row r="2287" spans="1:12">
      <c r="A2287" s="28" t="s">
        <v>52</v>
      </c>
      <c r="B2287" s="28" t="s">
        <v>53</v>
      </c>
      <c r="C2287" s="28">
        <v>2015</v>
      </c>
      <c r="D2287" s="28" t="s">
        <v>7</v>
      </c>
      <c r="E2287" s="28" t="s">
        <v>17</v>
      </c>
      <c r="F2287" s="28">
        <v>729.15794831969731</v>
      </c>
      <c r="H2287">
        <f>VLOOKUP(A2287&amp;B2287,ticker_sector[],2,FALSE)</f>
        <v>18</v>
      </c>
      <c r="I2287">
        <f>VLOOKUP(C2287,year[],2,FALSE)</f>
        <v>5</v>
      </c>
      <c r="J2287">
        <f>VLOOKUP(E2287,showing[],2,FALSE)</f>
        <v>14</v>
      </c>
      <c r="K2287">
        <f>Сектора[[#This Row],[Значение]]</f>
        <v>729.15794831969731</v>
      </c>
      <c r="L2287" t="str">
        <f t="shared" si="35"/>
        <v>INSERT INTO msfo.statements (id_company, id_year, id_showing, value) VALUES (18,5,14,729,157948319697);</v>
      </c>
    </row>
    <row r="2288" spans="1:12">
      <c r="A2288" s="28" t="s">
        <v>52</v>
      </c>
      <c r="B2288" s="28" t="s">
        <v>53</v>
      </c>
      <c r="C2288" s="28">
        <v>2016</v>
      </c>
      <c r="D2288" s="28" t="s">
        <v>7</v>
      </c>
      <c r="E2288" s="28" t="s">
        <v>17</v>
      </c>
      <c r="F2288" s="28">
        <v>1213.2172926740404</v>
      </c>
      <c r="H2288">
        <f>VLOOKUP(A2288&amp;B2288,ticker_sector[],2,FALSE)</f>
        <v>18</v>
      </c>
      <c r="I2288">
        <f>VLOOKUP(C2288,year[],2,FALSE)</f>
        <v>6</v>
      </c>
      <c r="J2288">
        <f>VLOOKUP(E2288,showing[],2,FALSE)</f>
        <v>14</v>
      </c>
      <c r="K2288">
        <f>Сектора[[#This Row],[Значение]]</f>
        <v>1213.2172926740404</v>
      </c>
      <c r="L2288" t="str">
        <f t="shared" si="35"/>
        <v>INSERT INTO msfo.statements (id_company, id_year, id_showing, value) VALUES (18,6,14,1213,21729267404);</v>
      </c>
    </row>
    <row r="2289" spans="1:12">
      <c r="A2289" s="28" t="s">
        <v>52</v>
      </c>
      <c r="B2289" s="28" t="s">
        <v>53</v>
      </c>
      <c r="C2289" s="28">
        <v>2017</v>
      </c>
      <c r="D2289" s="28" t="s">
        <v>7</v>
      </c>
      <c r="E2289" s="28" t="s">
        <v>17</v>
      </c>
      <c r="F2289" s="28">
        <v>1383.1549196009735</v>
      </c>
      <c r="H2289">
        <f>VLOOKUP(A2289&amp;B2289,ticker_sector[],2,FALSE)</f>
        <v>18</v>
      </c>
      <c r="I2289">
        <f>VLOOKUP(C2289,year[],2,FALSE)</f>
        <v>7</v>
      </c>
      <c r="J2289">
        <f>VLOOKUP(E2289,showing[],2,FALSE)</f>
        <v>14</v>
      </c>
      <c r="K2289">
        <f>Сектора[[#This Row],[Значение]]</f>
        <v>1383.1549196009735</v>
      </c>
      <c r="L2289" t="str">
        <f t="shared" si="35"/>
        <v>INSERT INTO msfo.statements (id_company, id_year, id_showing, value) VALUES (18,7,14,1383,15491960097);</v>
      </c>
    </row>
    <row r="2290" spans="1:12">
      <c r="A2290" s="28" t="s">
        <v>52</v>
      </c>
      <c r="B2290" s="28" t="s">
        <v>53</v>
      </c>
      <c r="C2290" s="28">
        <v>2010</v>
      </c>
      <c r="D2290" s="28" t="s">
        <v>20</v>
      </c>
      <c r="E2290" s="28" t="s">
        <v>18</v>
      </c>
      <c r="F2290" s="28">
        <v>260732.85200000001</v>
      </c>
      <c r="H2290">
        <f>VLOOKUP(A2290&amp;B2290,ticker_sector[],2,FALSE)</f>
        <v>18</v>
      </c>
      <c r="I2290">
        <f>VLOOKUP(C2290,year[],2,FALSE)</f>
        <v>0</v>
      </c>
      <c r="J2290">
        <f>VLOOKUP(E2290,showing[],2,FALSE)</f>
        <v>15</v>
      </c>
      <c r="K2290">
        <f>Сектора[[#This Row],[Значение]]</f>
        <v>260732.85200000001</v>
      </c>
      <c r="L2290" t="str">
        <f t="shared" si="35"/>
        <v>INSERT INTO msfo.statements (id_company, id_year, id_showing, value) VALUES (18,0,15,260732,852);</v>
      </c>
    </row>
    <row r="2291" spans="1:12">
      <c r="A2291" s="28" t="s">
        <v>52</v>
      </c>
      <c r="B2291" s="28" t="s">
        <v>53</v>
      </c>
      <c r="C2291" s="28">
        <v>2011</v>
      </c>
      <c r="D2291" s="28" t="s">
        <v>20</v>
      </c>
      <c r="E2291" s="28" t="s">
        <v>18</v>
      </c>
      <c r="F2291" s="28">
        <v>281247.95199999999</v>
      </c>
      <c r="H2291">
        <f>VLOOKUP(A2291&amp;B2291,ticker_sector[],2,FALSE)</f>
        <v>18</v>
      </c>
      <c r="I2291">
        <f>VLOOKUP(C2291,year[],2,FALSE)</f>
        <v>1</v>
      </c>
      <c r="J2291">
        <f>VLOOKUP(E2291,showing[],2,FALSE)</f>
        <v>15</v>
      </c>
      <c r="K2291">
        <f>Сектора[[#This Row],[Значение]]</f>
        <v>281247.95199999999</v>
      </c>
      <c r="L2291" t="str">
        <f t="shared" si="35"/>
        <v>INSERT INTO msfo.statements (id_company, id_year, id_showing, value) VALUES (18,1,15,281247,952);</v>
      </c>
    </row>
    <row r="2292" spans="1:12">
      <c r="A2292" s="28" t="s">
        <v>52</v>
      </c>
      <c r="B2292" s="28" t="s">
        <v>53</v>
      </c>
      <c r="C2292" s="28">
        <v>2012</v>
      </c>
      <c r="D2292" s="28" t="s">
        <v>20</v>
      </c>
      <c r="E2292" s="28" t="s">
        <v>18</v>
      </c>
      <c r="F2292" s="28">
        <v>290262.44500000001</v>
      </c>
      <c r="H2292">
        <f>VLOOKUP(A2292&amp;B2292,ticker_sector[],2,FALSE)</f>
        <v>18</v>
      </c>
      <c r="I2292">
        <f>VLOOKUP(C2292,year[],2,FALSE)</f>
        <v>2</v>
      </c>
      <c r="J2292">
        <f>VLOOKUP(E2292,showing[],2,FALSE)</f>
        <v>15</v>
      </c>
      <c r="K2292">
        <f>Сектора[[#This Row],[Значение]]</f>
        <v>290262.44500000001</v>
      </c>
      <c r="L2292" t="str">
        <f t="shared" si="35"/>
        <v>INSERT INTO msfo.statements (id_company, id_year, id_showing, value) VALUES (18,2,15,290262,445);</v>
      </c>
    </row>
    <row r="2293" spans="1:12">
      <c r="A2293" s="28" t="s">
        <v>52</v>
      </c>
      <c r="B2293" s="28" t="s">
        <v>53</v>
      </c>
      <c r="C2293" s="28">
        <v>2013</v>
      </c>
      <c r="D2293" s="28" t="s">
        <v>20</v>
      </c>
      <c r="E2293" s="28" t="s">
        <v>18</v>
      </c>
      <c r="F2293" s="28">
        <v>309873.68400000001</v>
      </c>
      <c r="H2293">
        <f>VLOOKUP(A2293&amp;B2293,ticker_sector[],2,FALSE)</f>
        <v>18</v>
      </c>
      <c r="I2293">
        <f>VLOOKUP(C2293,year[],2,FALSE)</f>
        <v>3</v>
      </c>
      <c r="J2293">
        <f>VLOOKUP(E2293,showing[],2,FALSE)</f>
        <v>15</v>
      </c>
      <c r="K2293">
        <f>Сектора[[#This Row],[Значение]]</f>
        <v>309873.68400000001</v>
      </c>
      <c r="L2293" t="str">
        <f t="shared" si="35"/>
        <v>INSERT INTO msfo.statements (id_company, id_year, id_showing, value) VALUES (18,3,15,309873,684);</v>
      </c>
    </row>
    <row r="2294" spans="1:12">
      <c r="A2294" s="28" t="s">
        <v>52</v>
      </c>
      <c r="B2294" s="28" t="s">
        <v>53</v>
      </c>
      <c r="C2294" s="28">
        <v>2014</v>
      </c>
      <c r="D2294" s="28" t="s">
        <v>20</v>
      </c>
      <c r="E2294" s="28" t="s">
        <v>18</v>
      </c>
      <c r="F2294" s="28">
        <v>371494.14</v>
      </c>
      <c r="H2294">
        <f>VLOOKUP(A2294&amp;B2294,ticker_sector[],2,FALSE)</f>
        <v>18</v>
      </c>
      <c r="I2294">
        <f>VLOOKUP(C2294,year[],2,FALSE)</f>
        <v>4</v>
      </c>
      <c r="J2294">
        <f>VLOOKUP(E2294,showing[],2,FALSE)</f>
        <v>15</v>
      </c>
      <c r="K2294">
        <f>Сектора[[#This Row],[Значение]]</f>
        <v>371494.14</v>
      </c>
      <c r="L2294" t="str">
        <f t="shared" si="35"/>
        <v>INSERT INTO msfo.statements (id_company, id_year, id_showing, value) VALUES (18,4,15,371494,14);</v>
      </c>
    </row>
    <row r="2295" spans="1:12">
      <c r="A2295" s="28" t="s">
        <v>52</v>
      </c>
      <c r="B2295" s="28" t="s">
        <v>53</v>
      </c>
      <c r="C2295" s="28">
        <v>2015</v>
      </c>
      <c r="D2295" s="28" t="s">
        <v>20</v>
      </c>
      <c r="E2295" s="28" t="s">
        <v>18</v>
      </c>
      <c r="F2295" s="28">
        <v>364468.853</v>
      </c>
      <c r="H2295">
        <f>VLOOKUP(A2295&amp;B2295,ticker_sector[],2,FALSE)</f>
        <v>18</v>
      </c>
      <c r="I2295">
        <f>VLOOKUP(C2295,year[],2,FALSE)</f>
        <v>5</v>
      </c>
      <c r="J2295">
        <f>VLOOKUP(E2295,showing[],2,FALSE)</f>
        <v>15</v>
      </c>
      <c r="K2295">
        <f>Сектора[[#This Row],[Значение]]</f>
        <v>364468.853</v>
      </c>
      <c r="L2295" t="str">
        <f t="shared" si="35"/>
        <v>INSERT INTO msfo.statements (id_company, id_year, id_showing, value) VALUES (18,5,15,364468,853);</v>
      </c>
    </row>
    <row r="2296" spans="1:12">
      <c r="A2296" s="28" t="s">
        <v>52</v>
      </c>
      <c r="B2296" s="28" t="s">
        <v>53</v>
      </c>
      <c r="C2296" s="28">
        <v>2016</v>
      </c>
      <c r="D2296" s="28" t="s">
        <v>20</v>
      </c>
      <c r="E2296" s="28" t="s">
        <v>18</v>
      </c>
      <c r="F2296" s="28">
        <v>367138.48200000002</v>
      </c>
      <c r="H2296">
        <f>VLOOKUP(A2296&amp;B2296,ticker_sector[],2,FALSE)</f>
        <v>18</v>
      </c>
      <c r="I2296">
        <f>VLOOKUP(C2296,year[],2,FALSE)</f>
        <v>6</v>
      </c>
      <c r="J2296">
        <f>VLOOKUP(E2296,showing[],2,FALSE)</f>
        <v>15</v>
      </c>
      <c r="K2296">
        <f>Сектора[[#This Row],[Значение]]</f>
        <v>367138.48200000002</v>
      </c>
      <c r="L2296" t="str">
        <f t="shared" si="35"/>
        <v>INSERT INTO msfo.statements (id_company, id_year, id_showing, value) VALUES (18,6,15,367138,482);</v>
      </c>
    </row>
    <row r="2297" spans="1:12">
      <c r="A2297" s="28" t="s">
        <v>52</v>
      </c>
      <c r="B2297" s="28" t="s">
        <v>53</v>
      </c>
      <c r="C2297" s="28">
        <v>2017</v>
      </c>
      <c r="D2297" s="28" t="s">
        <v>20</v>
      </c>
      <c r="E2297" s="28" t="s">
        <v>18</v>
      </c>
      <c r="F2297" s="28">
        <v>402655.10800000001</v>
      </c>
      <c r="H2297">
        <f>VLOOKUP(A2297&amp;B2297,ticker_sector[],2,FALSE)</f>
        <v>18</v>
      </c>
      <c r="I2297">
        <f>VLOOKUP(C2297,year[],2,FALSE)</f>
        <v>7</v>
      </c>
      <c r="J2297">
        <f>VLOOKUP(E2297,showing[],2,FALSE)</f>
        <v>15</v>
      </c>
      <c r="K2297">
        <f>Сектора[[#This Row],[Значение]]</f>
        <v>402655.10800000001</v>
      </c>
      <c r="L2297" t="str">
        <f t="shared" si="35"/>
        <v>INSERT INTO msfo.statements (id_company, id_year, id_showing, value) VALUES (18,7,15,402655,108);</v>
      </c>
    </row>
    <row r="2298" spans="1:12">
      <c r="A2298" s="28" t="s">
        <v>52</v>
      </c>
      <c r="B2298" s="28" t="s">
        <v>53</v>
      </c>
      <c r="C2298" s="28">
        <v>2010</v>
      </c>
      <c r="D2298" s="28" t="s">
        <v>20</v>
      </c>
      <c r="E2298" s="28" t="s">
        <v>19</v>
      </c>
      <c r="F2298" s="28">
        <v>1.649</v>
      </c>
      <c r="H2298">
        <f>VLOOKUP(A2298&amp;B2298,ticker_sector[],2,FALSE)</f>
        <v>18</v>
      </c>
      <c r="I2298">
        <f>VLOOKUP(C2298,year[],2,FALSE)</f>
        <v>0</v>
      </c>
      <c r="J2298">
        <f>VLOOKUP(E2298,showing[],2,FALSE)</f>
        <v>16</v>
      </c>
      <c r="K2298">
        <f>Сектора[[#This Row],[Значение]]</f>
        <v>1.649</v>
      </c>
      <c r="L2298" t="str">
        <f t="shared" si="35"/>
        <v>INSERT INTO msfo.statements (id_company, id_year, id_showing, value) VALUES (18,0,16,1,649);</v>
      </c>
    </row>
    <row r="2299" spans="1:12">
      <c r="A2299" s="28" t="s">
        <v>52</v>
      </c>
      <c r="B2299" s="28" t="s">
        <v>53</v>
      </c>
      <c r="C2299" s="28">
        <v>2011</v>
      </c>
      <c r="D2299" s="28" t="s">
        <v>20</v>
      </c>
      <c r="E2299" s="28" t="s">
        <v>19</v>
      </c>
      <c r="F2299" s="28">
        <v>0.97299999999999998</v>
      </c>
      <c r="H2299">
        <f>VLOOKUP(A2299&amp;B2299,ticker_sector[],2,FALSE)</f>
        <v>18</v>
      </c>
      <c r="I2299">
        <f>VLOOKUP(C2299,year[],2,FALSE)</f>
        <v>1</v>
      </c>
      <c r="J2299">
        <f>VLOOKUP(E2299,showing[],2,FALSE)</f>
        <v>16</v>
      </c>
      <c r="K2299">
        <f>Сектора[[#This Row],[Значение]]</f>
        <v>0.97299999999999998</v>
      </c>
      <c r="L2299" t="str">
        <f t="shared" si="35"/>
        <v>INSERT INTO msfo.statements (id_company, id_year, id_showing, value) VALUES (18,1,16,0,973);</v>
      </c>
    </row>
    <row r="2300" spans="1:12">
      <c r="A2300" s="28" t="s">
        <v>52</v>
      </c>
      <c r="B2300" s="28" t="s">
        <v>53</v>
      </c>
      <c r="C2300" s="28">
        <v>2012</v>
      </c>
      <c r="D2300" s="28" t="s">
        <v>20</v>
      </c>
      <c r="E2300" s="28" t="s">
        <v>19</v>
      </c>
      <c r="F2300" s="28">
        <v>0.73350000000000004</v>
      </c>
      <c r="H2300">
        <f>VLOOKUP(A2300&amp;B2300,ticker_sector[],2,FALSE)</f>
        <v>18</v>
      </c>
      <c r="I2300">
        <f>VLOOKUP(C2300,year[],2,FALSE)</f>
        <v>2</v>
      </c>
      <c r="J2300">
        <f>VLOOKUP(E2300,showing[],2,FALSE)</f>
        <v>16</v>
      </c>
      <c r="K2300">
        <f>Сектора[[#This Row],[Значение]]</f>
        <v>0.73350000000000004</v>
      </c>
      <c r="L2300" t="str">
        <f t="shared" si="35"/>
        <v>INSERT INTO msfo.statements (id_company, id_year, id_showing, value) VALUES (18,2,16,0,7335);</v>
      </c>
    </row>
    <row r="2301" spans="1:12">
      <c r="A2301" s="28" t="s">
        <v>52</v>
      </c>
      <c r="B2301" s="28" t="s">
        <v>53</v>
      </c>
      <c r="C2301" s="28">
        <v>2013</v>
      </c>
      <c r="D2301" s="28" t="s">
        <v>20</v>
      </c>
      <c r="E2301" s="28" t="s">
        <v>19</v>
      </c>
      <c r="F2301" s="28">
        <v>0.55400000000000005</v>
      </c>
      <c r="H2301">
        <f>VLOOKUP(A2301&amp;B2301,ticker_sector[],2,FALSE)</f>
        <v>18</v>
      </c>
      <c r="I2301">
        <f>VLOOKUP(C2301,year[],2,FALSE)</f>
        <v>3</v>
      </c>
      <c r="J2301">
        <f>VLOOKUP(E2301,showing[],2,FALSE)</f>
        <v>16</v>
      </c>
      <c r="K2301">
        <f>Сектора[[#This Row],[Значение]]</f>
        <v>0.55400000000000005</v>
      </c>
      <c r="L2301" t="str">
        <f t="shared" si="35"/>
        <v>INSERT INTO msfo.statements (id_company, id_year, id_showing, value) VALUES (18,3,16,0,554);</v>
      </c>
    </row>
    <row r="2302" spans="1:12">
      <c r="A2302" s="28" t="s">
        <v>52</v>
      </c>
      <c r="B2302" s="28" t="s">
        <v>53</v>
      </c>
      <c r="C2302" s="28">
        <v>2014</v>
      </c>
      <c r="D2302" s="28" t="s">
        <v>20</v>
      </c>
      <c r="E2302" s="28" t="s">
        <v>19</v>
      </c>
      <c r="F2302" s="28">
        <v>0.54149999999999998</v>
      </c>
      <c r="H2302">
        <f>VLOOKUP(A2302&amp;B2302,ticker_sector[],2,FALSE)</f>
        <v>18</v>
      </c>
      <c r="I2302">
        <f>VLOOKUP(C2302,year[],2,FALSE)</f>
        <v>4</v>
      </c>
      <c r="J2302">
        <f>VLOOKUP(E2302,showing[],2,FALSE)</f>
        <v>16</v>
      </c>
      <c r="K2302">
        <f>Сектора[[#This Row],[Значение]]</f>
        <v>0.54149999999999998</v>
      </c>
      <c r="L2302" t="str">
        <f t="shared" si="35"/>
        <v>INSERT INTO msfo.statements (id_company, id_year, id_showing, value) VALUES (18,4,16,0,5415);</v>
      </c>
    </row>
    <row r="2303" spans="1:12">
      <c r="A2303" s="28" t="s">
        <v>52</v>
      </c>
      <c r="B2303" s="28" t="s">
        <v>53</v>
      </c>
      <c r="C2303" s="28">
        <v>2015</v>
      </c>
      <c r="D2303" s="28" t="s">
        <v>20</v>
      </c>
      <c r="E2303" s="28" t="s">
        <v>19</v>
      </c>
      <c r="F2303" s="28">
        <v>0.67900000000000005</v>
      </c>
      <c r="H2303">
        <f>VLOOKUP(A2303&amp;B2303,ticker_sector[],2,FALSE)</f>
        <v>18</v>
      </c>
      <c r="I2303">
        <f>VLOOKUP(C2303,year[],2,FALSE)</f>
        <v>5</v>
      </c>
      <c r="J2303">
        <f>VLOOKUP(E2303,showing[],2,FALSE)</f>
        <v>16</v>
      </c>
      <c r="K2303">
        <f>Сектора[[#This Row],[Значение]]</f>
        <v>0.67900000000000005</v>
      </c>
      <c r="L2303" t="str">
        <f t="shared" si="35"/>
        <v>INSERT INTO msfo.statements (id_company, id_year, id_showing, value) VALUES (18,5,16,0,679);</v>
      </c>
    </row>
    <row r="2304" spans="1:12">
      <c r="A2304" s="28" t="s">
        <v>52</v>
      </c>
      <c r="B2304" s="28" t="s">
        <v>53</v>
      </c>
      <c r="C2304" s="28">
        <v>2016</v>
      </c>
      <c r="D2304" s="28" t="s">
        <v>20</v>
      </c>
      <c r="E2304" s="28" t="s">
        <v>19</v>
      </c>
      <c r="F2304" s="28">
        <v>0.92589999999999995</v>
      </c>
      <c r="H2304">
        <f>VLOOKUP(A2304&amp;B2304,ticker_sector[],2,FALSE)</f>
        <v>18</v>
      </c>
      <c r="I2304">
        <f>VLOOKUP(C2304,year[],2,FALSE)</f>
        <v>6</v>
      </c>
      <c r="J2304">
        <f>VLOOKUP(E2304,showing[],2,FALSE)</f>
        <v>16</v>
      </c>
      <c r="K2304">
        <f>Сектора[[#This Row],[Значение]]</f>
        <v>0.92589999999999995</v>
      </c>
      <c r="L2304" t="str">
        <f t="shared" si="35"/>
        <v>INSERT INTO msfo.statements (id_company, id_year, id_showing, value) VALUES (18,6,16,0,9259);</v>
      </c>
    </row>
    <row r="2305" spans="1:12">
      <c r="A2305" s="28" t="s">
        <v>52</v>
      </c>
      <c r="B2305" s="28" t="s">
        <v>53</v>
      </c>
      <c r="C2305" s="28">
        <v>2017</v>
      </c>
      <c r="D2305" s="28" t="s">
        <v>20</v>
      </c>
      <c r="E2305" s="28" t="s">
        <v>19</v>
      </c>
      <c r="F2305" s="28">
        <v>0.72889999999999999</v>
      </c>
      <c r="H2305">
        <f>VLOOKUP(A2305&amp;B2305,ticker_sector[],2,FALSE)</f>
        <v>18</v>
      </c>
      <c r="I2305">
        <f>VLOOKUP(C2305,year[],2,FALSE)</f>
        <v>7</v>
      </c>
      <c r="J2305">
        <f>VLOOKUP(E2305,showing[],2,FALSE)</f>
        <v>16</v>
      </c>
      <c r="K2305">
        <f>Сектора[[#This Row],[Значение]]</f>
        <v>0.72889999999999999</v>
      </c>
      <c r="L2305" t="str">
        <f t="shared" si="35"/>
        <v>INSERT INTO msfo.statements (id_company, id_year, id_showing, value) VALUES (18,7,16,0,7289);</v>
      </c>
    </row>
    <row r="2306" spans="1:12">
      <c r="A2306" s="28" t="s">
        <v>54</v>
      </c>
      <c r="B2306" s="28" t="s">
        <v>53</v>
      </c>
      <c r="C2306" s="28">
        <v>2010</v>
      </c>
      <c r="D2306" s="28" t="s">
        <v>1</v>
      </c>
      <c r="E2306" s="28" t="s">
        <v>2</v>
      </c>
      <c r="F2306" s="28">
        <v>150973</v>
      </c>
      <c r="H2306">
        <f>VLOOKUP(A2306&amp;B2306,ticker_sector[],2,FALSE)</f>
        <v>19</v>
      </c>
      <c r="I2306">
        <f>VLOOKUP(C2306,year[],2,FALSE)</f>
        <v>0</v>
      </c>
      <c r="J2306">
        <f>VLOOKUP(E2306,showing[],2,FALSE)</f>
        <v>1</v>
      </c>
      <c r="K2306">
        <f>Сектора[[#This Row],[Значение]]</f>
        <v>150973</v>
      </c>
      <c r="L2306" t="str">
        <f t="shared" si="35"/>
        <v>INSERT INTO msfo.statements (id_company, id_year, id_showing, value) VALUES (19,0,1,150973);</v>
      </c>
    </row>
    <row r="2307" spans="1:12">
      <c r="A2307" s="28" t="s">
        <v>54</v>
      </c>
      <c r="B2307" s="28" t="s">
        <v>53</v>
      </c>
      <c r="C2307" s="28">
        <v>2011</v>
      </c>
      <c r="D2307" s="28" t="s">
        <v>1</v>
      </c>
      <c r="E2307" s="28" t="s">
        <v>2</v>
      </c>
      <c r="F2307" s="28">
        <v>328091</v>
      </c>
      <c r="H2307">
        <f>VLOOKUP(A2307&amp;B2307,ticker_sector[],2,FALSE)</f>
        <v>19</v>
      </c>
      <c r="I2307">
        <f>VLOOKUP(C2307,year[],2,FALSE)</f>
        <v>1</v>
      </c>
      <c r="J2307">
        <f>VLOOKUP(E2307,showing[],2,FALSE)</f>
        <v>1</v>
      </c>
      <c r="K2307">
        <f>Сектора[[#This Row],[Значение]]</f>
        <v>328091</v>
      </c>
      <c r="L2307" t="str">
        <f t="shared" ref="L2307:L2370" si="36">"INSERT INTO msfo.statements (id_company, id_year, id_showing, value) VALUES ("&amp;H2307&amp; ","&amp;I2307&amp; ","&amp;J2307&amp; ","&amp;K2307&amp;");"</f>
        <v>INSERT INTO msfo.statements (id_company, id_year, id_showing, value) VALUES (19,1,1,328091);</v>
      </c>
    </row>
    <row r="2308" spans="1:12">
      <c r="A2308" s="28" t="s">
        <v>54</v>
      </c>
      <c r="B2308" s="28" t="s">
        <v>53</v>
      </c>
      <c r="C2308" s="28">
        <v>2012</v>
      </c>
      <c r="D2308" s="28" t="s">
        <v>1</v>
      </c>
      <c r="E2308" s="28" t="s">
        <v>2</v>
      </c>
      <c r="F2308" s="28">
        <v>357969</v>
      </c>
      <c r="H2308">
        <f>VLOOKUP(A2308&amp;B2308,ticker_sector[],2,FALSE)</f>
        <v>19</v>
      </c>
      <c r="I2308">
        <f>VLOOKUP(C2308,year[],2,FALSE)</f>
        <v>2</v>
      </c>
      <c r="J2308">
        <f>VLOOKUP(E2308,showing[],2,FALSE)</f>
        <v>1</v>
      </c>
      <c r="K2308">
        <f>Сектора[[#This Row],[Значение]]</f>
        <v>357969</v>
      </c>
      <c r="L2308" t="str">
        <f t="shared" si="36"/>
        <v>INSERT INTO msfo.statements (id_company, id_year, id_showing, value) VALUES (19,2,1,357969);</v>
      </c>
    </row>
    <row r="2309" spans="1:12">
      <c r="A2309" s="28" t="s">
        <v>54</v>
      </c>
      <c r="B2309" s="28" t="s">
        <v>53</v>
      </c>
      <c r="C2309" s="28">
        <v>2013</v>
      </c>
      <c r="D2309" s="28" t="s">
        <v>1</v>
      </c>
      <c r="E2309" s="28" t="s">
        <v>2</v>
      </c>
      <c r="F2309" s="28">
        <v>342835</v>
      </c>
      <c r="H2309">
        <f>VLOOKUP(A2309&amp;B2309,ticker_sector[],2,FALSE)</f>
        <v>19</v>
      </c>
      <c r="I2309">
        <f>VLOOKUP(C2309,year[],2,FALSE)</f>
        <v>3</v>
      </c>
      <c r="J2309">
        <f>VLOOKUP(E2309,showing[],2,FALSE)</f>
        <v>1</v>
      </c>
      <c r="K2309">
        <f>Сектора[[#This Row],[Значение]]</f>
        <v>342835</v>
      </c>
      <c r="L2309" t="str">
        <f t="shared" si="36"/>
        <v>INSERT INTO msfo.statements (id_company, id_year, id_showing, value) VALUES (19,3,1,342835);</v>
      </c>
    </row>
    <row r="2310" spans="1:12">
      <c r="A2310" s="28" t="s">
        <v>54</v>
      </c>
      <c r="B2310" s="28" t="s">
        <v>53</v>
      </c>
      <c r="C2310" s="28">
        <v>2014</v>
      </c>
      <c r="D2310" s="28" t="s">
        <v>1</v>
      </c>
      <c r="E2310" s="28" t="s">
        <v>2</v>
      </c>
      <c r="F2310" s="28">
        <v>365136</v>
      </c>
      <c r="H2310">
        <f>VLOOKUP(A2310&amp;B2310,ticker_sector[],2,FALSE)</f>
        <v>19</v>
      </c>
      <c r="I2310">
        <f>VLOOKUP(C2310,year[],2,FALSE)</f>
        <v>4</v>
      </c>
      <c r="J2310">
        <f>VLOOKUP(E2310,showing[],2,FALSE)</f>
        <v>1</v>
      </c>
      <c r="K2310">
        <f>Сектора[[#This Row],[Значение]]</f>
        <v>365136</v>
      </c>
      <c r="L2310" t="str">
        <f t="shared" si="36"/>
        <v>INSERT INTO msfo.statements (id_company, id_year, id_showing, value) VALUES (19,4,1,365136);</v>
      </c>
    </row>
    <row r="2311" spans="1:12">
      <c r="A2311" s="28" t="s">
        <v>54</v>
      </c>
      <c r="B2311" s="28" t="s">
        <v>53</v>
      </c>
      <c r="C2311" s="28">
        <v>2015</v>
      </c>
      <c r="D2311" s="28" t="s">
        <v>1</v>
      </c>
      <c r="E2311" s="28" t="s">
        <v>2</v>
      </c>
      <c r="F2311" s="28">
        <v>341590</v>
      </c>
      <c r="H2311">
        <f>VLOOKUP(A2311&amp;B2311,ticker_sector[],2,FALSE)</f>
        <v>19</v>
      </c>
      <c r="I2311">
        <f>VLOOKUP(C2311,year[],2,FALSE)</f>
        <v>5</v>
      </c>
      <c r="J2311">
        <f>VLOOKUP(E2311,showing[],2,FALSE)</f>
        <v>1</v>
      </c>
      <c r="K2311">
        <f>Сектора[[#This Row],[Значение]]</f>
        <v>341590</v>
      </c>
      <c r="L2311" t="str">
        <f t="shared" si="36"/>
        <v>INSERT INTO msfo.statements (id_company, id_year, id_showing, value) VALUES (19,5,1,341590);</v>
      </c>
    </row>
    <row r="2312" spans="1:12">
      <c r="A2312" s="28" t="s">
        <v>54</v>
      </c>
      <c r="B2312" s="28" t="s">
        <v>53</v>
      </c>
      <c r="C2312" s="28">
        <v>2016</v>
      </c>
      <c r="D2312" s="28" t="s">
        <v>1</v>
      </c>
      <c r="E2312" s="28" t="s">
        <v>2</v>
      </c>
      <c r="F2312" s="28">
        <v>349060</v>
      </c>
      <c r="H2312">
        <f>VLOOKUP(A2312&amp;B2312,ticker_sector[],2,FALSE)</f>
        <v>19</v>
      </c>
      <c r="I2312">
        <f>VLOOKUP(C2312,year[],2,FALSE)</f>
        <v>6</v>
      </c>
      <c r="J2312">
        <f>VLOOKUP(E2312,showing[],2,FALSE)</f>
        <v>1</v>
      </c>
      <c r="K2312">
        <f>Сектора[[#This Row],[Значение]]</f>
        <v>349060</v>
      </c>
      <c r="L2312" t="str">
        <f t="shared" si="36"/>
        <v>INSERT INTO msfo.statements (id_company, id_year, id_showing, value) VALUES (19,6,1,349060);</v>
      </c>
    </row>
    <row r="2313" spans="1:12">
      <c r="A2313" s="28" t="s">
        <v>54</v>
      </c>
      <c r="B2313" s="28" t="s">
        <v>53</v>
      </c>
      <c r="C2313" s="28">
        <v>2017</v>
      </c>
      <c r="D2313" s="28" t="s">
        <v>1</v>
      </c>
      <c r="E2313" s="28" t="s">
        <v>2</v>
      </c>
      <c r="F2313" s="28">
        <v>332301</v>
      </c>
      <c r="H2313">
        <f>VLOOKUP(A2313&amp;B2313,ticker_sector[],2,FALSE)</f>
        <v>19</v>
      </c>
      <c r="I2313">
        <f>VLOOKUP(C2313,year[],2,FALSE)</f>
        <v>7</v>
      </c>
      <c r="J2313">
        <f>VLOOKUP(E2313,showing[],2,FALSE)</f>
        <v>1</v>
      </c>
      <c r="K2313">
        <f>Сектора[[#This Row],[Значение]]</f>
        <v>332301</v>
      </c>
      <c r="L2313" t="str">
        <f t="shared" si="36"/>
        <v>INSERT INTO msfo.statements (id_company, id_year, id_showing, value) VALUES (19,7,1,332301);</v>
      </c>
    </row>
    <row r="2314" spans="1:12">
      <c r="A2314" s="28" t="s">
        <v>54</v>
      </c>
      <c r="B2314" s="28" t="s">
        <v>53</v>
      </c>
      <c r="C2314" s="28">
        <v>2010</v>
      </c>
      <c r="D2314" s="28" t="s">
        <v>1</v>
      </c>
      <c r="E2314" s="28" t="s">
        <v>3</v>
      </c>
      <c r="F2314" s="28">
        <v>98117</v>
      </c>
      <c r="H2314">
        <f>VLOOKUP(A2314&amp;B2314,ticker_sector[],2,FALSE)</f>
        <v>19</v>
      </c>
      <c r="I2314">
        <f>VLOOKUP(C2314,year[],2,FALSE)</f>
        <v>0</v>
      </c>
      <c r="J2314">
        <f>VLOOKUP(E2314,showing[],2,FALSE)</f>
        <v>2</v>
      </c>
      <c r="K2314">
        <f>Сектора[[#This Row],[Значение]]</f>
        <v>98117</v>
      </c>
      <c r="L2314" t="str">
        <f t="shared" si="36"/>
        <v>INSERT INTO msfo.statements (id_company, id_year, id_showing, value) VALUES (19,0,2,98117);</v>
      </c>
    </row>
    <row r="2315" spans="1:12">
      <c r="A2315" s="28" t="s">
        <v>54</v>
      </c>
      <c r="B2315" s="28" t="s">
        <v>53</v>
      </c>
      <c r="C2315" s="28">
        <v>2011</v>
      </c>
      <c r="D2315" s="28" t="s">
        <v>1</v>
      </c>
      <c r="E2315" s="28" t="s">
        <v>3</v>
      </c>
      <c r="F2315" s="28">
        <v>203825</v>
      </c>
      <c r="H2315">
        <f>VLOOKUP(A2315&amp;B2315,ticker_sector[],2,FALSE)</f>
        <v>19</v>
      </c>
      <c r="I2315">
        <f>VLOOKUP(C2315,year[],2,FALSE)</f>
        <v>1</v>
      </c>
      <c r="J2315">
        <f>VLOOKUP(E2315,showing[],2,FALSE)</f>
        <v>2</v>
      </c>
      <c r="K2315">
        <f>Сектора[[#This Row],[Значение]]</f>
        <v>203825</v>
      </c>
      <c r="L2315" t="str">
        <f t="shared" si="36"/>
        <v>INSERT INTO msfo.statements (id_company, id_year, id_showing, value) VALUES (19,1,2,203825);</v>
      </c>
    </row>
    <row r="2316" spans="1:12">
      <c r="A2316" s="28" t="s">
        <v>54</v>
      </c>
      <c r="B2316" s="28" t="s">
        <v>53</v>
      </c>
      <c r="C2316" s="28">
        <v>2012</v>
      </c>
      <c r="D2316" s="28" t="s">
        <v>1</v>
      </c>
      <c r="E2316" s="28" t="s">
        <v>3</v>
      </c>
      <c r="F2316" s="28">
        <v>170614</v>
      </c>
      <c r="H2316">
        <f>VLOOKUP(A2316&amp;B2316,ticker_sector[],2,FALSE)</f>
        <v>19</v>
      </c>
      <c r="I2316">
        <f>VLOOKUP(C2316,year[],2,FALSE)</f>
        <v>2</v>
      </c>
      <c r="J2316">
        <f>VLOOKUP(E2316,showing[],2,FALSE)</f>
        <v>2</v>
      </c>
      <c r="K2316">
        <f>Сектора[[#This Row],[Значение]]</f>
        <v>170614</v>
      </c>
      <c r="L2316" t="str">
        <f t="shared" si="36"/>
        <v>INSERT INTO msfo.statements (id_company, id_year, id_showing, value) VALUES (19,2,2,170614);</v>
      </c>
    </row>
    <row r="2317" spans="1:12">
      <c r="A2317" s="28" t="s">
        <v>54</v>
      </c>
      <c r="B2317" s="28" t="s">
        <v>53</v>
      </c>
      <c r="C2317" s="28">
        <v>2013</v>
      </c>
      <c r="D2317" s="28" t="s">
        <v>1</v>
      </c>
      <c r="E2317" s="28" t="s">
        <v>3</v>
      </c>
      <c r="F2317" s="28">
        <v>169731</v>
      </c>
      <c r="H2317">
        <f>VLOOKUP(A2317&amp;B2317,ticker_sector[],2,FALSE)</f>
        <v>19</v>
      </c>
      <c r="I2317">
        <f>VLOOKUP(C2317,year[],2,FALSE)</f>
        <v>3</v>
      </c>
      <c r="J2317">
        <f>VLOOKUP(E2317,showing[],2,FALSE)</f>
        <v>2</v>
      </c>
      <c r="K2317">
        <f>Сектора[[#This Row],[Значение]]</f>
        <v>169731</v>
      </c>
      <c r="L2317" t="str">
        <f t="shared" si="36"/>
        <v>INSERT INTO msfo.statements (id_company, id_year, id_showing, value) VALUES (19,3,2,169731);</v>
      </c>
    </row>
    <row r="2318" spans="1:12">
      <c r="A2318" s="28" t="s">
        <v>54</v>
      </c>
      <c r="B2318" s="28" t="s">
        <v>53</v>
      </c>
      <c r="C2318" s="28">
        <v>2014</v>
      </c>
      <c r="D2318" s="28" t="s">
        <v>1</v>
      </c>
      <c r="E2318" s="28" t="s">
        <v>3</v>
      </c>
      <c r="F2318" s="28">
        <v>220362</v>
      </c>
      <c r="H2318">
        <f>VLOOKUP(A2318&amp;B2318,ticker_sector[],2,FALSE)</f>
        <v>19</v>
      </c>
      <c r="I2318">
        <f>VLOOKUP(C2318,year[],2,FALSE)</f>
        <v>4</v>
      </c>
      <c r="J2318">
        <f>VLOOKUP(E2318,showing[],2,FALSE)</f>
        <v>2</v>
      </c>
      <c r="K2318">
        <f>Сектора[[#This Row],[Значение]]</f>
        <v>220362</v>
      </c>
      <c r="L2318" t="str">
        <f t="shared" si="36"/>
        <v>INSERT INTO msfo.statements (id_company, id_year, id_showing, value) VALUES (19,4,2,220362);</v>
      </c>
    </row>
    <row r="2319" spans="1:12">
      <c r="A2319" s="28" t="s">
        <v>54</v>
      </c>
      <c r="B2319" s="28" t="s">
        <v>53</v>
      </c>
      <c r="C2319" s="28">
        <v>2015</v>
      </c>
      <c r="D2319" s="28" t="s">
        <v>1</v>
      </c>
      <c r="E2319" s="28" t="s">
        <v>3</v>
      </c>
      <c r="F2319" s="28">
        <v>227419</v>
      </c>
      <c r="H2319">
        <f>VLOOKUP(A2319&amp;B2319,ticker_sector[],2,FALSE)</f>
        <v>19</v>
      </c>
      <c r="I2319">
        <f>VLOOKUP(C2319,year[],2,FALSE)</f>
        <v>5</v>
      </c>
      <c r="J2319">
        <f>VLOOKUP(E2319,showing[],2,FALSE)</f>
        <v>2</v>
      </c>
      <c r="K2319">
        <f>Сектора[[#This Row],[Значение]]</f>
        <v>227419</v>
      </c>
      <c r="L2319" t="str">
        <f t="shared" si="36"/>
        <v>INSERT INTO msfo.statements (id_company, id_year, id_showing, value) VALUES (19,5,2,227419);</v>
      </c>
    </row>
    <row r="2320" spans="1:12">
      <c r="A2320" s="28" t="s">
        <v>54</v>
      </c>
      <c r="B2320" s="28" t="s">
        <v>53</v>
      </c>
      <c r="C2320" s="28">
        <v>2016</v>
      </c>
      <c r="D2320" s="28" t="s">
        <v>1</v>
      </c>
      <c r="E2320" s="28" t="s">
        <v>3</v>
      </c>
      <c r="F2320" s="28">
        <v>222534</v>
      </c>
      <c r="H2320">
        <f>VLOOKUP(A2320&amp;B2320,ticker_sector[],2,FALSE)</f>
        <v>19</v>
      </c>
      <c r="I2320">
        <f>VLOOKUP(C2320,year[],2,FALSE)</f>
        <v>6</v>
      </c>
      <c r="J2320">
        <f>VLOOKUP(E2320,showing[],2,FALSE)</f>
        <v>2</v>
      </c>
      <c r="K2320">
        <f>Сектора[[#This Row],[Значение]]</f>
        <v>222534</v>
      </c>
      <c r="L2320" t="str">
        <f t="shared" si="36"/>
        <v>INSERT INTO msfo.statements (id_company, id_year, id_showing, value) VALUES (19,6,2,222534);</v>
      </c>
    </row>
    <row r="2321" spans="1:12">
      <c r="A2321" s="28" t="s">
        <v>54</v>
      </c>
      <c r="B2321" s="28" t="s">
        <v>53</v>
      </c>
      <c r="C2321" s="28">
        <v>2017</v>
      </c>
      <c r="D2321" s="28" t="s">
        <v>1</v>
      </c>
      <c r="E2321" s="28" t="s">
        <v>3</v>
      </c>
      <c r="F2321" s="28">
        <v>292755</v>
      </c>
      <c r="H2321">
        <f>VLOOKUP(A2321&amp;B2321,ticker_sector[],2,FALSE)</f>
        <v>19</v>
      </c>
      <c r="I2321">
        <f>VLOOKUP(C2321,year[],2,FALSE)</f>
        <v>7</v>
      </c>
      <c r="J2321">
        <f>VLOOKUP(E2321,showing[],2,FALSE)</f>
        <v>2</v>
      </c>
      <c r="K2321">
        <f>Сектора[[#This Row],[Значение]]</f>
        <v>292755</v>
      </c>
      <c r="L2321" t="str">
        <f t="shared" si="36"/>
        <v>INSERT INTO msfo.statements (id_company, id_year, id_showing, value) VALUES (19,7,2,292755);</v>
      </c>
    </row>
    <row r="2322" spans="1:12">
      <c r="A2322" s="28" t="s">
        <v>54</v>
      </c>
      <c r="B2322" s="28" t="s">
        <v>53</v>
      </c>
      <c r="C2322" s="28">
        <v>2010</v>
      </c>
      <c r="D2322" s="28" t="s">
        <v>1</v>
      </c>
      <c r="E2322" s="28" t="s">
        <v>5</v>
      </c>
      <c r="F2322" s="28">
        <v>249090</v>
      </c>
      <c r="H2322">
        <f>VLOOKUP(A2322&amp;B2322,ticker_sector[],2,FALSE)</f>
        <v>19</v>
      </c>
      <c r="I2322">
        <f>VLOOKUP(C2322,year[],2,FALSE)</f>
        <v>0</v>
      </c>
      <c r="J2322">
        <f>VLOOKUP(E2322,showing[],2,FALSE)</f>
        <v>3</v>
      </c>
      <c r="K2322">
        <f>Сектора[[#This Row],[Значение]]</f>
        <v>249090</v>
      </c>
      <c r="L2322" t="str">
        <f t="shared" si="36"/>
        <v>INSERT INTO msfo.statements (id_company, id_year, id_showing, value) VALUES (19,0,3,249090);</v>
      </c>
    </row>
    <row r="2323" spans="1:12">
      <c r="A2323" s="28" t="s">
        <v>54</v>
      </c>
      <c r="B2323" s="28" t="s">
        <v>53</v>
      </c>
      <c r="C2323" s="28">
        <v>2011</v>
      </c>
      <c r="D2323" s="28" t="s">
        <v>1</v>
      </c>
      <c r="E2323" s="28" t="s">
        <v>5</v>
      </c>
      <c r="F2323" s="28">
        <v>531916</v>
      </c>
      <c r="H2323">
        <f>VLOOKUP(A2323&amp;B2323,ticker_sector[],2,FALSE)</f>
        <v>19</v>
      </c>
      <c r="I2323">
        <f>VLOOKUP(C2323,year[],2,FALSE)</f>
        <v>1</v>
      </c>
      <c r="J2323">
        <f>VLOOKUP(E2323,showing[],2,FALSE)</f>
        <v>3</v>
      </c>
      <c r="K2323">
        <f>Сектора[[#This Row],[Значение]]</f>
        <v>531916</v>
      </c>
      <c r="L2323" t="str">
        <f t="shared" si="36"/>
        <v>INSERT INTO msfo.statements (id_company, id_year, id_showing, value) VALUES (19,1,3,531916);</v>
      </c>
    </row>
    <row r="2324" spans="1:12">
      <c r="A2324" s="28" t="s">
        <v>54</v>
      </c>
      <c r="B2324" s="28" t="s">
        <v>53</v>
      </c>
      <c r="C2324" s="28">
        <v>2012</v>
      </c>
      <c r="D2324" s="28" t="s">
        <v>1</v>
      </c>
      <c r="E2324" s="28" t="s">
        <v>5</v>
      </c>
      <c r="F2324" s="28">
        <v>528583</v>
      </c>
      <c r="H2324">
        <f>VLOOKUP(A2324&amp;B2324,ticker_sector[],2,FALSE)</f>
        <v>19</v>
      </c>
      <c r="I2324">
        <f>VLOOKUP(C2324,year[],2,FALSE)</f>
        <v>2</v>
      </c>
      <c r="J2324">
        <f>VLOOKUP(E2324,showing[],2,FALSE)</f>
        <v>3</v>
      </c>
      <c r="K2324">
        <f>Сектора[[#This Row],[Значение]]</f>
        <v>528583</v>
      </c>
      <c r="L2324" t="str">
        <f t="shared" si="36"/>
        <v>INSERT INTO msfo.statements (id_company, id_year, id_showing, value) VALUES (19,2,3,528583);</v>
      </c>
    </row>
    <row r="2325" spans="1:12">
      <c r="A2325" s="28" t="s">
        <v>54</v>
      </c>
      <c r="B2325" s="28" t="s">
        <v>53</v>
      </c>
      <c r="C2325" s="28">
        <v>2013</v>
      </c>
      <c r="D2325" s="28" t="s">
        <v>1</v>
      </c>
      <c r="E2325" s="28" t="s">
        <v>5</v>
      </c>
      <c r="F2325" s="28">
        <v>512566</v>
      </c>
      <c r="H2325">
        <f>VLOOKUP(A2325&amp;B2325,ticker_sector[],2,FALSE)</f>
        <v>19</v>
      </c>
      <c r="I2325">
        <f>VLOOKUP(C2325,year[],2,FALSE)</f>
        <v>3</v>
      </c>
      <c r="J2325">
        <f>VLOOKUP(E2325,showing[],2,FALSE)</f>
        <v>3</v>
      </c>
      <c r="K2325">
        <f>Сектора[[#This Row],[Значение]]</f>
        <v>512566</v>
      </c>
      <c r="L2325" t="str">
        <f t="shared" si="36"/>
        <v>INSERT INTO msfo.statements (id_company, id_year, id_showing, value) VALUES (19,3,3,512566);</v>
      </c>
    </row>
    <row r="2326" spans="1:12">
      <c r="A2326" s="28" t="s">
        <v>54</v>
      </c>
      <c r="B2326" s="28" t="s">
        <v>53</v>
      </c>
      <c r="C2326" s="28">
        <v>2014</v>
      </c>
      <c r="D2326" s="28" t="s">
        <v>1</v>
      </c>
      <c r="E2326" s="28" t="s">
        <v>5</v>
      </c>
      <c r="F2326" s="28">
        <v>585498</v>
      </c>
      <c r="H2326">
        <f>VLOOKUP(A2326&amp;B2326,ticker_sector[],2,FALSE)</f>
        <v>19</v>
      </c>
      <c r="I2326">
        <f>VLOOKUP(C2326,year[],2,FALSE)</f>
        <v>4</v>
      </c>
      <c r="J2326">
        <f>VLOOKUP(E2326,showing[],2,FALSE)</f>
        <v>3</v>
      </c>
      <c r="K2326">
        <f>Сектора[[#This Row],[Значение]]</f>
        <v>585498</v>
      </c>
      <c r="L2326" t="str">
        <f t="shared" si="36"/>
        <v>INSERT INTO msfo.statements (id_company, id_year, id_showing, value) VALUES (19,4,3,585498);</v>
      </c>
    </row>
    <row r="2327" spans="1:12">
      <c r="A2327" s="28" t="s">
        <v>54</v>
      </c>
      <c r="B2327" s="28" t="s">
        <v>53</v>
      </c>
      <c r="C2327" s="28">
        <v>2015</v>
      </c>
      <c r="D2327" s="28" t="s">
        <v>1</v>
      </c>
      <c r="E2327" s="28" t="s">
        <v>5</v>
      </c>
      <c r="F2327" s="28">
        <v>569009</v>
      </c>
      <c r="H2327">
        <f>VLOOKUP(A2327&amp;B2327,ticker_sector[],2,FALSE)</f>
        <v>19</v>
      </c>
      <c r="I2327">
        <f>VLOOKUP(C2327,year[],2,FALSE)</f>
        <v>5</v>
      </c>
      <c r="J2327">
        <f>VLOOKUP(E2327,showing[],2,FALSE)</f>
        <v>3</v>
      </c>
      <c r="K2327">
        <f>Сектора[[#This Row],[Значение]]</f>
        <v>569009</v>
      </c>
      <c r="L2327" t="str">
        <f t="shared" si="36"/>
        <v>INSERT INTO msfo.statements (id_company, id_year, id_showing, value) VALUES (19,5,3,569009);</v>
      </c>
    </row>
    <row r="2328" spans="1:12">
      <c r="A2328" s="28" t="s">
        <v>54</v>
      </c>
      <c r="B2328" s="28" t="s">
        <v>53</v>
      </c>
      <c r="C2328" s="28">
        <v>2016</v>
      </c>
      <c r="D2328" s="28" t="s">
        <v>1</v>
      </c>
      <c r="E2328" s="28" t="s">
        <v>5</v>
      </c>
      <c r="F2328" s="28">
        <v>571594</v>
      </c>
      <c r="H2328">
        <f>VLOOKUP(A2328&amp;B2328,ticker_sector[],2,FALSE)</f>
        <v>19</v>
      </c>
      <c r="I2328">
        <f>VLOOKUP(C2328,year[],2,FALSE)</f>
        <v>6</v>
      </c>
      <c r="J2328">
        <f>VLOOKUP(E2328,showing[],2,FALSE)</f>
        <v>3</v>
      </c>
      <c r="K2328">
        <f>Сектора[[#This Row],[Значение]]</f>
        <v>571594</v>
      </c>
      <c r="L2328" t="str">
        <f t="shared" si="36"/>
        <v>INSERT INTO msfo.statements (id_company, id_year, id_showing, value) VALUES (19,6,3,571594);</v>
      </c>
    </row>
    <row r="2329" spans="1:12">
      <c r="A2329" s="28" t="s">
        <v>54</v>
      </c>
      <c r="B2329" s="28" t="s">
        <v>53</v>
      </c>
      <c r="C2329" s="28">
        <v>2017</v>
      </c>
      <c r="D2329" s="28" t="s">
        <v>1</v>
      </c>
      <c r="E2329" s="28" t="s">
        <v>5</v>
      </c>
      <c r="F2329" s="28">
        <v>625056</v>
      </c>
      <c r="H2329">
        <f>VLOOKUP(A2329&amp;B2329,ticker_sector[],2,FALSE)</f>
        <v>19</v>
      </c>
      <c r="I2329">
        <f>VLOOKUP(C2329,year[],2,FALSE)</f>
        <v>7</v>
      </c>
      <c r="J2329">
        <f>VLOOKUP(E2329,showing[],2,FALSE)</f>
        <v>3</v>
      </c>
      <c r="K2329">
        <f>Сектора[[#This Row],[Значение]]</f>
        <v>625056</v>
      </c>
      <c r="L2329" t="str">
        <f t="shared" si="36"/>
        <v>INSERT INTO msfo.statements (id_company, id_year, id_showing, value) VALUES (19,7,3,625056);</v>
      </c>
    </row>
    <row r="2330" spans="1:12">
      <c r="A2330" s="28" t="s">
        <v>54</v>
      </c>
      <c r="B2330" s="28" t="s">
        <v>53</v>
      </c>
      <c r="C2330" s="28">
        <v>2010</v>
      </c>
      <c r="D2330" s="28" t="s">
        <v>1</v>
      </c>
      <c r="E2330" s="28" t="s">
        <v>6</v>
      </c>
      <c r="F2330" s="28">
        <v>139139</v>
      </c>
      <c r="H2330">
        <f>VLOOKUP(A2330&amp;B2330,ticker_sector[],2,FALSE)</f>
        <v>19</v>
      </c>
      <c r="I2330">
        <f>VLOOKUP(C2330,year[],2,FALSE)</f>
        <v>0</v>
      </c>
      <c r="J2330">
        <f>VLOOKUP(E2330,showing[],2,FALSE)</f>
        <v>4</v>
      </c>
      <c r="K2330">
        <f>Сектора[[#This Row],[Значение]]</f>
        <v>139139</v>
      </c>
      <c r="L2330" t="str">
        <f t="shared" si="36"/>
        <v>INSERT INTO msfo.statements (id_company, id_year, id_showing, value) VALUES (19,0,4,139139);</v>
      </c>
    </row>
    <row r="2331" spans="1:12">
      <c r="A2331" s="28" t="s">
        <v>54</v>
      </c>
      <c r="B2331" s="28" t="s">
        <v>53</v>
      </c>
      <c r="C2331" s="28">
        <v>2011</v>
      </c>
      <c r="D2331" s="28" t="s">
        <v>1</v>
      </c>
      <c r="E2331" s="28" t="s">
        <v>6</v>
      </c>
      <c r="F2331" s="28">
        <v>390657</v>
      </c>
      <c r="H2331">
        <f>VLOOKUP(A2331&amp;B2331,ticker_sector[],2,FALSE)</f>
        <v>19</v>
      </c>
      <c r="I2331">
        <f>VLOOKUP(C2331,year[],2,FALSE)</f>
        <v>1</v>
      </c>
      <c r="J2331">
        <f>VLOOKUP(E2331,showing[],2,FALSE)</f>
        <v>4</v>
      </c>
      <c r="K2331">
        <f>Сектора[[#This Row],[Значение]]</f>
        <v>390657</v>
      </c>
      <c r="L2331" t="str">
        <f t="shared" si="36"/>
        <v>INSERT INTO msfo.statements (id_company, id_year, id_showing, value) VALUES (19,1,4,390657);</v>
      </c>
    </row>
    <row r="2332" spans="1:12">
      <c r="A2332" s="28" t="s">
        <v>54</v>
      </c>
      <c r="B2332" s="28" t="s">
        <v>53</v>
      </c>
      <c r="C2332" s="28">
        <v>2012</v>
      </c>
      <c r="D2332" s="28" t="s">
        <v>1</v>
      </c>
      <c r="E2332" s="28" t="s">
        <v>6</v>
      </c>
      <c r="F2332" s="28">
        <v>353189</v>
      </c>
      <c r="H2332">
        <f>VLOOKUP(A2332&amp;B2332,ticker_sector[],2,FALSE)</f>
        <v>19</v>
      </c>
      <c r="I2332">
        <f>VLOOKUP(C2332,year[],2,FALSE)</f>
        <v>2</v>
      </c>
      <c r="J2332">
        <f>VLOOKUP(E2332,showing[],2,FALSE)</f>
        <v>4</v>
      </c>
      <c r="K2332">
        <f>Сектора[[#This Row],[Значение]]</f>
        <v>353189</v>
      </c>
      <c r="L2332" t="str">
        <f t="shared" si="36"/>
        <v>INSERT INTO msfo.statements (id_company, id_year, id_showing, value) VALUES (19,2,4,353189);</v>
      </c>
    </row>
    <row r="2333" spans="1:12">
      <c r="A2333" s="28" t="s">
        <v>54</v>
      </c>
      <c r="B2333" s="28" t="s">
        <v>53</v>
      </c>
      <c r="C2333" s="28">
        <v>2013</v>
      </c>
      <c r="D2333" s="28" t="s">
        <v>1</v>
      </c>
      <c r="E2333" s="28" t="s">
        <v>6</v>
      </c>
      <c r="F2333" s="28">
        <v>334589</v>
      </c>
      <c r="H2333">
        <f>VLOOKUP(A2333&amp;B2333,ticker_sector[],2,FALSE)</f>
        <v>19</v>
      </c>
      <c r="I2333">
        <f>VLOOKUP(C2333,year[],2,FALSE)</f>
        <v>3</v>
      </c>
      <c r="J2333">
        <f>VLOOKUP(E2333,showing[],2,FALSE)</f>
        <v>4</v>
      </c>
      <c r="K2333">
        <f>Сектора[[#This Row],[Значение]]</f>
        <v>334589</v>
      </c>
      <c r="L2333" t="str">
        <f t="shared" si="36"/>
        <v>INSERT INTO msfo.statements (id_company, id_year, id_showing, value) VALUES (19,3,4,334589);</v>
      </c>
    </row>
    <row r="2334" spans="1:12">
      <c r="A2334" s="28" t="s">
        <v>54</v>
      </c>
      <c r="B2334" s="28" t="s">
        <v>53</v>
      </c>
      <c r="C2334" s="28">
        <v>2014</v>
      </c>
      <c r="D2334" s="28" t="s">
        <v>1</v>
      </c>
      <c r="E2334" s="28" t="s">
        <v>6</v>
      </c>
      <c r="F2334" s="28">
        <v>348249</v>
      </c>
      <c r="H2334">
        <f>VLOOKUP(A2334&amp;B2334,ticker_sector[],2,FALSE)</f>
        <v>19</v>
      </c>
      <c r="I2334">
        <f>VLOOKUP(C2334,year[],2,FALSE)</f>
        <v>4</v>
      </c>
      <c r="J2334">
        <f>VLOOKUP(E2334,showing[],2,FALSE)</f>
        <v>4</v>
      </c>
      <c r="K2334">
        <f>Сектора[[#This Row],[Значение]]</f>
        <v>348249</v>
      </c>
      <c r="L2334" t="str">
        <f t="shared" si="36"/>
        <v>INSERT INTO msfo.statements (id_company, id_year, id_showing, value) VALUES (19,4,4,348249);</v>
      </c>
    </row>
    <row r="2335" spans="1:12">
      <c r="A2335" s="28" t="s">
        <v>54</v>
      </c>
      <c r="B2335" s="28" t="s">
        <v>53</v>
      </c>
      <c r="C2335" s="28">
        <v>2015</v>
      </c>
      <c r="D2335" s="28" t="s">
        <v>1</v>
      </c>
      <c r="E2335" s="28" t="s">
        <v>6</v>
      </c>
      <c r="F2335" s="28">
        <v>366245</v>
      </c>
      <c r="H2335">
        <f>VLOOKUP(A2335&amp;B2335,ticker_sector[],2,FALSE)</f>
        <v>19</v>
      </c>
      <c r="I2335">
        <f>VLOOKUP(C2335,year[],2,FALSE)</f>
        <v>5</v>
      </c>
      <c r="J2335">
        <f>VLOOKUP(E2335,showing[],2,FALSE)</f>
        <v>4</v>
      </c>
      <c r="K2335">
        <f>Сектора[[#This Row],[Значение]]</f>
        <v>366245</v>
      </c>
      <c r="L2335" t="str">
        <f t="shared" si="36"/>
        <v>INSERT INTO msfo.statements (id_company, id_year, id_showing, value) VALUES (19,5,4,366245);</v>
      </c>
    </row>
    <row r="2336" spans="1:12">
      <c r="A2336" s="28" t="s">
        <v>54</v>
      </c>
      <c r="B2336" s="28" t="s">
        <v>53</v>
      </c>
      <c r="C2336" s="28">
        <v>2016</v>
      </c>
      <c r="D2336" s="28" t="s">
        <v>1</v>
      </c>
      <c r="E2336" s="28" t="s">
        <v>6</v>
      </c>
      <c r="F2336" s="28">
        <v>419226</v>
      </c>
      <c r="H2336">
        <f>VLOOKUP(A2336&amp;B2336,ticker_sector[],2,FALSE)</f>
        <v>19</v>
      </c>
      <c r="I2336">
        <f>VLOOKUP(C2336,year[],2,FALSE)</f>
        <v>6</v>
      </c>
      <c r="J2336">
        <f>VLOOKUP(E2336,showing[],2,FALSE)</f>
        <v>4</v>
      </c>
      <c r="K2336">
        <f>Сектора[[#This Row],[Значение]]</f>
        <v>419226</v>
      </c>
      <c r="L2336" t="str">
        <f t="shared" si="36"/>
        <v>INSERT INTO msfo.statements (id_company, id_year, id_showing, value) VALUES (19,6,4,419226);</v>
      </c>
    </row>
    <row r="2337" spans="1:12">
      <c r="A2337" s="28" t="s">
        <v>54</v>
      </c>
      <c r="B2337" s="28" t="s">
        <v>53</v>
      </c>
      <c r="C2337" s="28">
        <v>2017</v>
      </c>
      <c r="D2337" s="28" t="s">
        <v>1</v>
      </c>
      <c r="E2337" s="28" t="s">
        <v>6</v>
      </c>
      <c r="F2337" s="28">
        <v>459409</v>
      </c>
      <c r="H2337">
        <f>VLOOKUP(A2337&amp;B2337,ticker_sector[],2,FALSE)</f>
        <v>19</v>
      </c>
      <c r="I2337">
        <f>VLOOKUP(C2337,year[],2,FALSE)</f>
        <v>7</v>
      </c>
      <c r="J2337">
        <f>VLOOKUP(E2337,showing[],2,FALSE)</f>
        <v>4</v>
      </c>
      <c r="K2337">
        <f>Сектора[[#This Row],[Значение]]</f>
        <v>459409</v>
      </c>
      <c r="L2337" t="str">
        <f t="shared" si="36"/>
        <v>INSERT INTO msfo.statements (id_company, id_year, id_showing, value) VALUES (19,7,4,459409);</v>
      </c>
    </row>
    <row r="2338" spans="1:12">
      <c r="A2338" s="28" t="s">
        <v>54</v>
      </c>
      <c r="B2338" s="28" t="s">
        <v>53</v>
      </c>
      <c r="C2338" s="28">
        <v>2010</v>
      </c>
      <c r="D2338" s="28" t="s">
        <v>1</v>
      </c>
      <c r="E2338" s="28" t="s">
        <v>8</v>
      </c>
      <c r="F2338" s="28">
        <v>41170</v>
      </c>
      <c r="H2338">
        <f>VLOOKUP(A2338&amp;B2338,ticker_sector[],2,FALSE)</f>
        <v>19</v>
      </c>
      <c r="I2338">
        <f>VLOOKUP(C2338,year[],2,FALSE)</f>
        <v>0</v>
      </c>
      <c r="J2338">
        <f>VLOOKUP(E2338,showing[],2,FALSE)</f>
        <v>5</v>
      </c>
      <c r="K2338">
        <f>Сектора[[#This Row],[Значение]]</f>
        <v>41170</v>
      </c>
      <c r="L2338" t="str">
        <f t="shared" si="36"/>
        <v>INSERT INTO msfo.statements (id_company, id_year, id_showing, value) VALUES (19,0,5,41170);</v>
      </c>
    </row>
    <row r="2339" spans="1:12">
      <c r="A2339" s="28" t="s">
        <v>54</v>
      </c>
      <c r="B2339" s="28" t="s">
        <v>53</v>
      </c>
      <c r="C2339" s="28">
        <v>2011</v>
      </c>
      <c r="D2339" s="28" t="s">
        <v>1</v>
      </c>
      <c r="E2339" s="28" t="s">
        <v>8</v>
      </c>
      <c r="F2339" s="28">
        <v>75800</v>
      </c>
      <c r="H2339">
        <f>VLOOKUP(A2339&amp;B2339,ticker_sector[],2,FALSE)</f>
        <v>19</v>
      </c>
      <c r="I2339">
        <f>VLOOKUP(C2339,year[],2,FALSE)</f>
        <v>1</v>
      </c>
      <c r="J2339">
        <f>VLOOKUP(E2339,showing[],2,FALSE)</f>
        <v>5</v>
      </c>
      <c r="K2339">
        <f>Сектора[[#This Row],[Значение]]</f>
        <v>75800</v>
      </c>
      <c r="L2339" t="str">
        <f t="shared" si="36"/>
        <v>INSERT INTO msfo.statements (id_company, id_year, id_showing, value) VALUES (19,1,5,75800);</v>
      </c>
    </row>
    <row r="2340" spans="1:12">
      <c r="A2340" s="28" t="s">
        <v>54</v>
      </c>
      <c r="B2340" s="28" t="s">
        <v>53</v>
      </c>
      <c r="C2340" s="28">
        <v>2012</v>
      </c>
      <c r="D2340" s="28" t="s">
        <v>1</v>
      </c>
      <c r="E2340" s="28" t="s">
        <v>8</v>
      </c>
      <c r="F2340" s="28">
        <v>69420</v>
      </c>
      <c r="H2340">
        <f>VLOOKUP(A2340&amp;B2340,ticker_sector[],2,FALSE)</f>
        <v>19</v>
      </c>
      <c r="I2340">
        <f>VLOOKUP(C2340,year[],2,FALSE)</f>
        <v>2</v>
      </c>
      <c r="J2340">
        <f>VLOOKUP(E2340,showing[],2,FALSE)</f>
        <v>5</v>
      </c>
      <c r="K2340">
        <f>Сектора[[#This Row],[Значение]]</f>
        <v>69420</v>
      </c>
      <c r="L2340" t="str">
        <f t="shared" si="36"/>
        <v>INSERT INTO msfo.statements (id_company, id_year, id_showing, value) VALUES (19,2,5,69420);</v>
      </c>
    </row>
    <row r="2341" spans="1:12">
      <c r="A2341" s="28" t="s">
        <v>54</v>
      </c>
      <c r="B2341" s="28" t="s">
        <v>53</v>
      </c>
      <c r="C2341" s="28">
        <v>2013</v>
      </c>
      <c r="D2341" s="28" t="s">
        <v>1</v>
      </c>
      <c r="E2341" s="28" t="s">
        <v>8</v>
      </c>
      <c r="F2341" s="28">
        <v>62166</v>
      </c>
      <c r="H2341">
        <f>VLOOKUP(A2341&amp;B2341,ticker_sector[],2,FALSE)</f>
        <v>19</v>
      </c>
      <c r="I2341">
        <f>VLOOKUP(C2341,year[],2,FALSE)</f>
        <v>3</v>
      </c>
      <c r="J2341">
        <f>VLOOKUP(E2341,showing[],2,FALSE)</f>
        <v>5</v>
      </c>
      <c r="K2341">
        <f>Сектора[[#This Row],[Значение]]</f>
        <v>62166</v>
      </c>
      <c r="L2341" t="str">
        <f t="shared" si="36"/>
        <v>INSERT INTO msfo.statements (id_company, id_year, id_showing, value) VALUES (19,3,5,62166);</v>
      </c>
    </row>
    <row r="2342" spans="1:12">
      <c r="A2342" s="28" t="s">
        <v>54</v>
      </c>
      <c r="B2342" s="28" t="s">
        <v>53</v>
      </c>
      <c r="C2342" s="28">
        <v>2014</v>
      </c>
      <c r="D2342" s="28" t="s">
        <v>1</v>
      </c>
      <c r="E2342" s="28" t="s">
        <v>8</v>
      </c>
      <c r="F2342" s="28">
        <v>90667</v>
      </c>
      <c r="H2342">
        <f>VLOOKUP(A2342&amp;B2342,ticker_sector[],2,FALSE)</f>
        <v>19</v>
      </c>
      <c r="I2342">
        <f>VLOOKUP(C2342,year[],2,FALSE)</f>
        <v>4</v>
      </c>
      <c r="J2342">
        <f>VLOOKUP(E2342,showing[],2,FALSE)</f>
        <v>5</v>
      </c>
      <c r="K2342">
        <f>Сектора[[#This Row],[Значение]]</f>
        <v>90667</v>
      </c>
      <c r="L2342" t="str">
        <f t="shared" si="36"/>
        <v>INSERT INTO msfo.statements (id_company, id_year, id_showing, value) VALUES (19,4,5,90667);</v>
      </c>
    </row>
    <row r="2343" spans="1:12">
      <c r="A2343" s="28" t="s">
        <v>54</v>
      </c>
      <c r="B2343" s="28" t="s">
        <v>53</v>
      </c>
      <c r="C2343" s="28">
        <v>2015</v>
      </c>
      <c r="D2343" s="28" t="s">
        <v>1</v>
      </c>
      <c r="E2343" s="28" t="s">
        <v>8</v>
      </c>
      <c r="F2343" s="28">
        <v>61775</v>
      </c>
      <c r="H2343">
        <f>VLOOKUP(A2343&amp;B2343,ticker_sector[],2,FALSE)</f>
        <v>19</v>
      </c>
      <c r="I2343">
        <f>VLOOKUP(C2343,year[],2,FALSE)</f>
        <v>5</v>
      </c>
      <c r="J2343">
        <f>VLOOKUP(E2343,showing[],2,FALSE)</f>
        <v>5</v>
      </c>
      <c r="K2343">
        <f>Сектора[[#This Row],[Значение]]</f>
        <v>61775</v>
      </c>
      <c r="L2343" t="str">
        <f t="shared" si="36"/>
        <v>INSERT INTO msfo.statements (id_company, id_year, id_showing, value) VALUES (19,5,5,61775);</v>
      </c>
    </row>
    <row r="2344" spans="1:12">
      <c r="A2344" s="28" t="s">
        <v>54</v>
      </c>
      <c r="B2344" s="28" t="s">
        <v>53</v>
      </c>
      <c r="C2344" s="28">
        <v>2016</v>
      </c>
      <c r="D2344" s="28" t="s">
        <v>1</v>
      </c>
      <c r="E2344" s="28" t="s">
        <v>8</v>
      </c>
      <c r="F2344" s="28">
        <v>26824</v>
      </c>
      <c r="H2344">
        <f>VLOOKUP(A2344&amp;B2344,ticker_sector[],2,FALSE)</f>
        <v>19</v>
      </c>
      <c r="I2344">
        <f>VLOOKUP(C2344,year[],2,FALSE)</f>
        <v>6</v>
      </c>
      <c r="J2344">
        <f>VLOOKUP(E2344,showing[],2,FALSE)</f>
        <v>5</v>
      </c>
      <c r="K2344">
        <f>Сектора[[#This Row],[Значение]]</f>
        <v>26824</v>
      </c>
      <c r="L2344" t="str">
        <f t="shared" si="36"/>
        <v>INSERT INTO msfo.statements (id_company, id_year, id_showing, value) VALUES (19,6,5,26824);</v>
      </c>
    </row>
    <row r="2345" spans="1:12">
      <c r="A2345" s="28" t="s">
        <v>54</v>
      </c>
      <c r="B2345" s="28" t="s">
        <v>53</v>
      </c>
      <c r="C2345" s="28">
        <v>2017</v>
      </c>
      <c r="D2345" s="28" t="s">
        <v>1</v>
      </c>
      <c r="E2345" s="28" t="s">
        <v>8</v>
      </c>
      <c r="F2345" s="28">
        <v>23889</v>
      </c>
      <c r="H2345">
        <f>VLOOKUP(A2345&amp;B2345,ticker_sector[],2,FALSE)</f>
        <v>19</v>
      </c>
      <c r="I2345">
        <f>VLOOKUP(C2345,year[],2,FALSE)</f>
        <v>7</v>
      </c>
      <c r="J2345">
        <f>VLOOKUP(E2345,showing[],2,FALSE)</f>
        <v>5</v>
      </c>
      <c r="K2345">
        <f>Сектора[[#This Row],[Значение]]</f>
        <v>23889</v>
      </c>
      <c r="L2345" t="str">
        <f t="shared" si="36"/>
        <v>INSERT INTO msfo.statements (id_company, id_year, id_showing, value) VALUES (19,7,5,23889);</v>
      </c>
    </row>
    <row r="2346" spans="1:12">
      <c r="A2346" s="28" t="s">
        <v>54</v>
      </c>
      <c r="B2346" s="28" t="s">
        <v>53</v>
      </c>
      <c r="C2346" s="28">
        <v>2010</v>
      </c>
      <c r="D2346" s="28" t="s">
        <v>1</v>
      </c>
      <c r="E2346" s="28" t="s">
        <v>9</v>
      </c>
      <c r="F2346" s="28">
        <v>68781</v>
      </c>
      <c r="H2346">
        <f>VLOOKUP(A2346&amp;B2346,ticker_sector[],2,FALSE)</f>
        <v>19</v>
      </c>
      <c r="I2346">
        <f>VLOOKUP(C2346,year[],2,FALSE)</f>
        <v>0</v>
      </c>
      <c r="J2346">
        <f>VLOOKUP(E2346,showing[],2,FALSE)</f>
        <v>6</v>
      </c>
      <c r="K2346">
        <f>Сектора[[#This Row],[Значение]]</f>
        <v>68781</v>
      </c>
      <c r="L2346" t="str">
        <f t="shared" si="36"/>
        <v>INSERT INTO msfo.statements (id_company, id_year, id_showing, value) VALUES (19,0,6,68781);</v>
      </c>
    </row>
    <row r="2347" spans="1:12">
      <c r="A2347" s="28" t="s">
        <v>54</v>
      </c>
      <c r="B2347" s="28" t="s">
        <v>53</v>
      </c>
      <c r="C2347" s="28">
        <v>2011</v>
      </c>
      <c r="D2347" s="28" t="s">
        <v>1</v>
      </c>
      <c r="E2347" s="28" t="s">
        <v>9</v>
      </c>
      <c r="F2347" s="28">
        <v>65459</v>
      </c>
      <c r="H2347">
        <f>VLOOKUP(A2347&amp;B2347,ticker_sector[],2,FALSE)</f>
        <v>19</v>
      </c>
      <c r="I2347">
        <f>VLOOKUP(C2347,year[],2,FALSE)</f>
        <v>1</v>
      </c>
      <c r="J2347">
        <f>VLOOKUP(E2347,showing[],2,FALSE)</f>
        <v>6</v>
      </c>
      <c r="K2347">
        <f>Сектора[[#This Row],[Значение]]</f>
        <v>65459</v>
      </c>
      <c r="L2347" t="str">
        <f t="shared" si="36"/>
        <v>INSERT INTO msfo.statements (id_company, id_year, id_showing, value) VALUES (19,1,6,65459);</v>
      </c>
    </row>
    <row r="2348" spans="1:12">
      <c r="A2348" s="28" t="s">
        <v>54</v>
      </c>
      <c r="B2348" s="28" t="s">
        <v>53</v>
      </c>
      <c r="C2348" s="28">
        <v>2012</v>
      </c>
      <c r="D2348" s="28" t="s">
        <v>1</v>
      </c>
      <c r="E2348" s="28" t="s">
        <v>9</v>
      </c>
      <c r="F2348" s="28">
        <v>105974</v>
      </c>
      <c r="H2348">
        <f>VLOOKUP(A2348&amp;B2348,ticker_sector[],2,FALSE)</f>
        <v>19</v>
      </c>
      <c r="I2348">
        <f>VLOOKUP(C2348,year[],2,FALSE)</f>
        <v>2</v>
      </c>
      <c r="J2348">
        <f>VLOOKUP(E2348,showing[],2,FALSE)</f>
        <v>6</v>
      </c>
      <c r="K2348">
        <f>Сектора[[#This Row],[Значение]]</f>
        <v>105974</v>
      </c>
      <c r="L2348" t="str">
        <f t="shared" si="36"/>
        <v>INSERT INTO msfo.statements (id_company, id_year, id_showing, value) VALUES (19,2,6,105974);</v>
      </c>
    </row>
    <row r="2349" spans="1:12">
      <c r="A2349" s="28" t="s">
        <v>54</v>
      </c>
      <c r="B2349" s="28" t="s">
        <v>53</v>
      </c>
      <c r="C2349" s="28">
        <v>2013</v>
      </c>
      <c r="D2349" s="28" t="s">
        <v>1</v>
      </c>
      <c r="E2349" s="28" t="s">
        <v>9</v>
      </c>
      <c r="F2349" s="28">
        <v>115811</v>
      </c>
      <c r="H2349">
        <f>VLOOKUP(A2349&amp;B2349,ticker_sector[],2,FALSE)</f>
        <v>19</v>
      </c>
      <c r="I2349">
        <f>VLOOKUP(C2349,year[],2,FALSE)</f>
        <v>3</v>
      </c>
      <c r="J2349">
        <f>VLOOKUP(E2349,showing[],2,FALSE)</f>
        <v>6</v>
      </c>
      <c r="K2349">
        <f>Сектора[[#This Row],[Значение]]</f>
        <v>115811</v>
      </c>
      <c r="L2349" t="str">
        <f t="shared" si="36"/>
        <v>INSERT INTO msfo.statements (id_company, id_year, id_showing, value) VALUES (19,3,6,115811);</v>
      </c>
    </row>
    <row r="2350" spans="1:12">
      <c r="A2350" s="28" t="s">
        <v>54</v>
      </c>
      <c r="B2350" s="28" t="s">
        <v>53</v>
      </c>
      <c r="C2350" s="28">
        <v>2014</v>
      </c>
      <c r="D2350" s="28" t="s">
        <v>1</v>
      </c>
      <c r="E2350" s="28" t="s">
        <v>9</v>
      </c>
      <c r="F2350" s="28">
        <v>146582</v>
      </c>
      <c r="H2350">
        <f>VLOOKUP(A2350&amp;B2350,ticker_sector[],2,FALSE)</f>
        <v>19</v>
      </c>
      <c r="I2350">
        <f>VLOOKUP(C2350,year[],2,FALSE)</f>
        <v>4</v>
      </c>
      <c r="J2350">
        <f>VLOOKUP(E2350,showing[],2,FALSE)</f>
        <v>6</v>
      </c>
      <c r="K2350">
        <f>Сектора[[#This Row],[Значение]]</f>
        <v>146582</v>
      </c>
      <c r="L2350" t="str">
        <f t="shared" si="36"/>
        <v>INSERT INTO msfo.statements (id_company, id_year, id_showing, value) VALUES (19,4,6,146582);</v>
      </c>
    </row>
    <row r="2351" spans="1:12">
      <c r="A2351" s="28" t="s">
        <v>54</v>
      </c>
      <c r="B2351" s="28" t="s">
        <v>53</v>
      </c>
      <c r="C2351" s="28">
        <v>2015</v>
      </c>
      <c r="D2351" s="28" t="s">
        <v>1</v>
      </c>
      <c r="E2351" s="28" t="s">
        <v>9</v>
      </c>
      <c r="F2351" s="28">
        <v>140989</v>
      </c>
      <c r="H2351">
        <f>VLOOKUP(A2351&amp;B2351,ticker_sector[],2,FALSE)</f>
        <v>19</v>
      </c>
      <c r="I2351">
        <f>VLOOKUP(C2351,year[],2,FALSE)</f>
        <v>5</v>
      </c>
      <c r="J2351">
        <f>VLOOKUP(E2351,showing[],2,FALSE)</f>
        <v>6</v>
      </c>
      <c r="K2351">
        <f>Сектора[[#This Row],[Значение]]</f>
        <v>140989</v>
      </c>
      <c r="L2351" t="str">
        <f t="shared" si="36"/>
        <v>INSERT INTO msfo.statements (id_company, id_year, id_showing, value) VALUES (19,5,6,140989);</v>
      </c>
    </row>
    <row r="2352" spans="1:12">
      <c r="A2352" s="28" t="s">
        <v>54</v>
      </c>
      <c r="B2352" s="28" t="s">
        <v>53</v>
      </c>
      <c r="C2352" s="28">
        <v>2016</v>
      </c>
      <c r="D2352" s="28" t="s">
        <v>1</v>
      </c>
      <c r="E2352" s="28" t="s">
        <v>9</v>
      </c>
      <c r="F2352" s="28">
        <v>125544</v>
      </c>
      <c r="H2352">
        <f>VLOOKUP(A2352&amp;B2352,ticker_sector[],2,FALSE)</f>
        <v>19</v>
      </c>
      <c r="I2352">
        <f>VLOOKUP(C2352,year[],2,FALSE)</f>
        <v>6</v>
      </c>
      <c r="J2352">
        <f>VLOOKUP(E2352,showing[],2,FALSE)</f>
        <v>6</v>
      </c>
      <c r="K2352">
        <f>Сектора[[#This Row],[Значение]]</f>
        <v>125544</v>
      </c>
      <c r="L2352" t="str">
        <f t="shared" si="36"/>
        <v>INSERT INTO msfo.statements (id_company, id_year, id_showing, value) VALUES (19,6,6,125544);</v>
      </c>
    </row>
    <row r="2353" spans="1:12">
      <c r="A2353" s="28" t="s">
        <v>54</v>
      </c>
      <c r="B2353" s="28" t="s">
        <v>53</v>
      </c>
      <c r="C2353" s="28">
        <v>2017</v>
      </c>
      <c r="D2353" s="28" t="s">
        <v>1</v>
      </c>
      <c r="E2353" s="28" t="s">
        <v>9</v>
      </c>
      <c r="F2353" s="28">
        <v>141758</v>
      </c>
      <c r="H2353">
        <f>VLOOKUP(A2353&amp;B2353,ticker_sector[],2,FALSE)</f>
        <v>19</v>
      </c>
      <c r="I2353">
        <f>VLOOKUP(C2353,year[],2,FALSE)</f>
        <v>7</v>
      </c>
      <c r="J2353">
        <f>VLOOKUP(E2353,showing[],2,FALSE)</f>
        <v>6</v>
      </c>
      <c r="K2353">
        <f>Сектора[[#This Row],[Значение]]</f>
        <v>141758</v>
      </c>
      <c r="L2353" t="str">
        <f t="shared" si="36"/>
        <v>INSERT INTO msfo.statements (id_company, id_year, id_showing, value) VALUES (19,7,6,141758);</v>
      </c>
    </row>
    <row r="2354" spans="1:12">
      <c r="A2354" s="28" t="s">
        <v>54</v>
      </c>
      <c r="B2354" s="28" t="s">
        <v>53</v>
      </c>
      <c r="C2354" s="28">
        <v>2010</v>
      </c>
      <c r="D2354" s="28" t="s">
        <v>1</v>
      </c>
      <c r="E2354" s="28" t="s">
        <v>10</v>
      </c>
      <c r="F2354" s="28">
        <v>249090</v>
      </c>
      <c r="H2354">
        <f>VLOOKUP(A2354&amp;B2354,ticker_sector[],2,FALSE)</f>
        <v>19</v>
      </c>
      <c r="I2354">
        <f>VLOOKUP(C2354,year[],2,FALSE)</f>
        <v>0</v>
      </c>
      <c r="J2354">
        <f>VLOOKUP(E2354,showing[],2,FALSE)</f>
        <v>7</v>
      </c>
      <c r="K2354">
        <f>Сектора[[#This Row],[Значение]]</f>
        <v>249090</v>
      </c>
      <c r="L2354" t="str">
        <f t="shared" si="36"/>
        <v>INSERT INTO msfo.statements (id_company, id_year, id_showing, value) VALUES (19,0,7,249090);</v>
      </c>
    </row>
    <row r="2355" spans="1:12">
      <c r="A2355" s="28" t="s">
        <v>54</v>
      </c>
      <c r="B2355" s="28" t="s">
        <v>53</v>
      </c>
      <c r="C2355" s="28">
        <v>2011</v>
      </c>
      <c r="D2355" s="28" t="s">
        <v>1</v>
      </c>
      <c r="E2355" s="28" t="s">
        <v>10</v>
      </c>
      <c r="F2355" s="28">
        <v>531916</v>
      </c>
      <c r="H2355">
        <f>VLOOKUP(A2355&amp;B2355,ticker_sector[],2,FALSE)</f>
        <v>19</v>
      </c>
      <c r="I2355">
        <f>VLOOKUP(C2355,year[],2,FALSE)</f>
        <v>1</v>
      </c>
      <c r="J2355">
        <f>VLOOKUP(E2355,showing[],2,FALSE)</f>
        <v>7</v>
      </c>
      <c r="K2355">
        <f>Сектора[[#This Row],[Значение]]</f>
        <v>531916</v>
      </c>
      <c r="L2355" t="str">
        <f t="shared" si="36"/>
        <v>INSERT INTO msfo.statements (id_company, id_year, id_showing, value) VALUES (19,1,7,531916);</v>
      </c>
    </row>
    <row r="2356" spans="1:12">
      <c r="A2356" s="28" t="s">
        <v>54</v>
      </c>
      <c r="B2356" s="28" t="s">
        <v>53</v>
      </c>
      <c r="C2356" s="28">
        <v>2012</v>
      </c>
      <c r="D2356" s="28" t="s">
        <v>1</v>
      </c>
      <c r="E2356" s="28" t="s">
        <v>10</v>
      </c>
      <c r="F2356" s="28">
        <v>528583</v>
      </c>
      <c r="H2356">
        <f>VLOOKUP(A2356&amp;B2356,ticker_sector[],2,FALSE)</f>
        <v>19</v>
      </c>
      <c r="I2356">
        <f>VLOOKUP(C2356,year[],2,FALSE)</f>
        <v>2</v>
      </c>
      <c r="J2356">
        <f>VLOOKUP(E2356,showing[],2,FALSE)</f>
        <v>7</v>
      </c>
      <c r="K2356">
        <f>Сектора[[#This Row],[Значение]]</f>
        <v>528583</v>
      </c>
      <c r="L2356" t="str">
        <f t="shared" si="36"/>
        <v>INSERT INTO msfo.statements (id_company, id_year, id_showing, value) VALUES (19,2,7,528583);</v>
      </c>
    </row>
    <row r="2357" spans="1:12">
      <c r="A2357" s="28" t="s">
        <v>54</v>
      </c>
      <c r="B2357" s="28" t="s">
        <v>53</v>
      </c>
      <c r="C2357" s="28">
        <v>2013</v>
      </c>
      <c r="D2357" s="28" t="s">
        <v>1</v>
      </c>
      <c r="E2357" s="28" t="s">
        <v>10</v>
      </c>
      <c r="F2357" s="28">
        <v>512566</v>
      </c>
      <c r="H2357">
        <f>VLOOKUP(A2357&amp;B2357,ticker_sector[],2,FALSE)</f>
        <v>19</v>
      </c>
      <c r="I2357">
        <f>VLOOKUP(C2357,year[],2,FALSE)</f>
        <v>3</v>
      </c>
      <c r="J2357">
        <f>VLOOKUP(E2357,showing[],2,FALSE)</f>
        <v>7</v>
      </c>
      <c r="K2357">
        <f>Сектора[[#This Row],[Значение]]</f>
        <v>512566</v>
      </c>
      <c r="L2357" t="str">
        <f t="shared" si="36"/>
        <v>INSERT INTO msfo.statements (id_company, id_year, id_showing, value) VALUES (19,3,7,512566);</v>
      </c>
    </row>
    <row r="2358" spans="1:12">
      <c r="A2358" s="28" t="s">
        <v>54</v>
      </c>
      <c r="B2358" s="28" t="s">
        <v>53</v>
      </c>
      <c r="C2358" s="28">
        <v>2014</v>
      </c>
      <c r="D2358" s="28" t="s">
        <v>1</v>
      </c>
      <c r="E2358" s="28" t="s">
        <v>10</v>
      </c>
      <c r="F2358" s="28">
        <v>585498</v>
      </c>
      <c r="H2358">
        <f>VLOOKUP(A2358&amp;B2358,ticker_sector[],2,FALSE)</f>
        <v>19</v>
      </c>
      <c r="I2358">
        <f>VLOOKUP(C2358,year[],2,FALSE)</f>
        <v>4</v>
      </c>
      <c r="J2358">
        <f>VLOOKUP(E2358,showing[],2,FALSE)</f>
        <v>7</v>
      </c>
      <c r="K2358">
        <f>Сектора[[#This Row],[Значение]]</f>
        <v>585498</v>
      </c>
      <c r="L2358" t="str">
        <f t="shared" si="36"/>
        <v>INSERT INTO msfo.statements (id_company, id_year, id_showing, value) VALUES (19,4,7,585498);</v>
      </c>
    </row>
    <row r="2359" spans="1:12">
      <c r="A2359" s="28" t="s">
        <v>54</v>
      </c>
      <c r="B2359" s="28" t="s">
        <v>53</v>
      </c>
      <c r="C2359" s="28">
        <v>2015</v>
      </c>
      <c r="D2359" s="28" t="s">
        <v>1</v>
      </c>
      <c r="E2359" s="28" t="s">
        <v>10</v>
      </c>
      <c r="F2359" s="28">
        <v>569009</v>
      </c>
      <c r="H2359">
        <f>VLOOKUP(A2359&amp;B2359,ticker_sector[],2,FALSE)</f>
        <v>19</v>
      </c>
      <c r="I2359">
        <f>VLOOKUP(C2359,year[],2,FALSE)</f>
        <v>5</v>
      </c>
      <c r="J2359">
        <f>VLOOKUP(E2359,showing[],2,FALSE)</f>
        <v>7</v>
      </c>
      <c r="K2359">
        <f>Сектора[[#This Row],[Значение]]</f>
        <v>569009</v>
      </c>
      <c r="L2359" t="str">
        <f t="shared" si="36"/>
        <v>INSERT INTO msfo.statements (id_company, id_year, id_showing, value) VALUES (19,5,7,569009);</v>
      </c>
    </row>
    <row r="2360" spans="1:12">
      <c r="A2360" s="28" t="s">
        <v>54</v>
      </c>
      <c r="B2360" s="28" t="s">
        <v>53</v>
      </c>
      <c r="C2360" s="28">
        <v>2016</v>
      </c>
      <c r="D2360" s="28" t="s">
        <v>1</v>
      </c>
      <c r="E2360" s="28" t="s">
        <v>10</v>
      </c>
      <c r="F2360" s="28">
        <v>571594</v>
      </c>
      <c r="H2360">
        <f>VLOOKUP(A2360&amp;B2360,ticker_sector[],2,FALSE)</f>
        <v>19</v>
      </c>
      <c r="I2360">
        <f>VLOOKUP(C2360,year[],2,FALSE)</f>
        <v>6</v>
      </c>
      <c r="J2360">
        <f>VLOOKUP(E2360,showing[],2,FALSE)</f>
        <v>7</v>
      </c>
      <c r="K2360">
        <f>Сектора[[#This Row],[Значение]]</f>
        <v>571594</v>
      </c>
      <c r="L2360" t="str">
        <f t="shared" si="36"/>
        <v>INSERT INTO msfo.statements (id_company, id_year, id_showing, value) VALUES (19,6,7,571594);</v>
      </c>
    </row>
    <row r="2361" spans="1:12">
      <c r="A2361" s="28" t="s">
        <v>54</v>
      </c>
      <c r="B2361" s="28" t="s">
        <v>53</v>
      </c>
      <c r="C2361" s="28">
        <v>2017</v>
      </c>
      <c r="D2361" s="28" t="s">
        <v>1</v>
      </c>
      <c r="E2361" s="28" t="s">
        <v>10</v>
      </c>
      <c r="F2361" s="28">
        <v>625056</v>
      </c>
      <c r="H2361">
        <f>VLOOKUP(A2361&amp;B2361,ticker_sector[],2,FALSE)</f>
        <v>19</v>
      </c>
      <c r="I2361">
        <f>VLOOKUP(C2361,year[],2,FALSE)</f>
        <v>7</v>
      </c>
      <c r="J2361">
        <f>VLOOKUP(E2361,showing[],2,FALSE)</f>
        <v>7</v>
      </c>
      <c r="K2361">
        <f>Сектора[[#This Row],[Значение]]</f>
        <v>625056</v>
      </c>
      <c r="L2361" t="str">
        <f t="shared" si="36"/>
        <v>INSERT INTO msfo.statements (id_company, id_year, id_showing, value) VALUES (19,7,7,625056);</v>
      </c>
    </row>
    <row r="2362" spans="1:12">
      <c r="A2362" s="28" t="s">
        <v>54</v>
      </c>
      <c r="B2362" s="28" t="s">
        <v>53</v>
      </c>
      <c r="C2362" s="28">
        <v>2010</v>
      </c>
      <c r="D2362" s="28" t="s">
        <v>1</v>
      </c>
      <c r="E2362" s="28" t="s">
        <v>11</v>
      </c>
      <c r="F2362" s="28">
        <v>0.44141073507567546</v>
      </c>
      <c r="H2362">
        <f>VLOOKUP(A2362&amp;B2362,ticker_sector[],2,FALSE)</f>
        <v>19</v>
      </c>
      <c r="I2362">
        <f>VLOOKUP(C2362,year[],2,FALSE)</f>
        <v>0</v>
      </c>
      <c r="J2362">
        <f>VLOOKUP(E2362,showing[],2,FALSE)</f>
        <v>8</v>
      </c>
      <c r="K2362">
        <f>Сектора[[#This Row],[Значение]]</f>
        <v>0.44141073507567546</v>
      </c>
      <c r="L2362" t="str">
        <f t="shared" si="36"/>
        <v>INSERT INTO msfo.statements (id_company, id_year, id_showing, value) VALUES (19,0,8,0,441410735075675);</v>
      </c>
    </row>
    <row r="2363" spans="1:12">
      <c r="A2363" s="28" t="s">
        <v>54</v>
      </c>
      <c r="B2363" s="28" t="s">
        <v>53</v>
      </c>
      <c r="C2363" s="28">
        <v>2011</v>
      </c>
      <c r="D2363" s="28" t="s">
        <v>1</v>
      </c>
      <c r="E2363" s="28" t="s">
        <v>11</v>
      </c>
      <c r="F2363" s="28">
        <v>0.26556636762195535</v>
      </c>
      <c r="H2363">
        <f>VLOOKUP(A2363&amp;B2363,ticker_sector[],2,FALSE)</f>
        <v>19</v>
      </c>
      <c r="I2363">
        <f>VLOOKUP(C2363,year[],2,FALSE)</f>
        <v>1</v>
      </c>
      <c r="J2363">
        <f>VLOOKUP(E2363,showing[],2,FALSE)</f>
        <v>8</v>
      </c>
      <c r="K2363">
        <f>Сектора[[#This Row],[Значение]]</f>
        <v>0.26556636762195535</v>
      </c>
      <c r="L2363" t="str">
        <f t="shared" si="36"/>
        <v>INSERT INTO msfo.statements (id_company, id_year, id_showing, value) VALUES (19,1,8,0,265566367621955);</v>
      </c>
    </row>
    <row r="2364" spans="1:12">
      <c r="A2364" s="28" t="s">
        <v>54</v>
      </c>
      <c r="B2364" s="28" t="s">
        <v>53</v>
      </c>
      <c r="C2364" s="28">
        <v>2012</v>
      </c>
      <c r="D2364" s="28" t="s">
        <v>1</v>
      </c>
      <c r="E2364" s="28" t="s">
        <v>11</v>
      </c>
      <c r="F2364" s="28">
        <v>0.33181922233594346</v>
      </c>
      <c r="H2364">
        <f>VLOOKUP(A2364&amp;B2364,ticker_sector[],2,FALSE)</f>
        <v>19</v>
      </c>
      <c r="I2364">
        <f>VLOOKUP(C2364,year[],2,FALSE)</f>
        <v>2</v>
      </c>
      <c r="J2364">
        <f>VLOOKUP(E2364,showing[],2,FALSE)</f>
        <v>8</v>
      </c>
      <c r="K2364">
        <f>Сектора[[#This Row],[Значение]]</f>
        <v>0.33181922233594346</v>
      </c>
      <c r="L2364" t="str">
        <f t="shared" si="36"/>
        <v>INSERT INTO msfo.statements (id_company, id_year, id_showing, value) VALUES (19,2,8,0,331819222335943);</v>
      </c>
    </row>
    <row r="2365" spans="1:12">
      <c r="A2365" s="28" t="s">
        <v>54</v>
      </c>
      <c r="B2365" s="28" t="s">
        <v>53</v>
      </c>
      <c r="C2365" s="28">
        <v>2013</v>
      </c>
      <c r="D2365" s="28" t="s">
        <v>1</v>
      </c>
      <c r="E2365" s="28" t="s">
        <v>11</v>
      </c>
      <c r="F2365" s="28">
        <v>0.34722747899782663</v>
      </c>
      <c r="H2365">
        <f>VLOOKUP(A2365&amp;B2365,ticker_sector[],2,FALSE)</f>
        <v>19</v>
      </c>
      <c r="I2365">
        <f>VLOOKUP(C2365,year[],2,FALSE)</f>
        <v>3</v>
      </c>
      <c r="J2365">
        <f>VLOOKUP(E2365,showing[],2,FALSE)</f>
        <v>8</v>
      </c>
      <c r="K2365">
        <f>Сектора[[#This Row],[Значение]]</f>
        <v>0.34722747899782663</v>
      </c>
      <c r="L2365" t="str">
        <f t="shared" si="36"/>
        <v>INSERT INTO msfo.statements (id_company, id_year, id_showing, value) VALUES (19,3,8,0,347227478997827);</v>
      </c>
    </row>
    <row r="2366" spans="1:12">
      <c r="A2366" s="28" t="s">
        <v>54</v>
      </c>
      <c r="B2366" s="28" t="s">
        <v>53</v>
      </c>
      <c r="C2366" s="28">
        <v>2014</v>
      </c>
      <c r="D2366" s="28" t="s">
        <v>1</v>
      </c>
      <c r="E2366" s="28" t="s">
        <v>11</v>
      </c>
      <c r="F2366" s="28">
        <v>0.40520889909103019</v>
      </c>
      <c r="H2366">
        <f>VLOOKUP(A2366&amp;B2366,ticker_sector[],2,FALSE)</f>
        <v>19</v>
      </c>
      <c r="I2366">
        <f>VLOOKUP(C2366,year[],2,FALSE)</f>
        <v>4</v>
      </c>
      <c r="J2366">
        <f>VLOOKUP(E2366,showing[],2,FALSE)</f>
        <v>8</v>
      </c>
      <c r="K2366">
        <f>Сектора[[#This Row],[Значение]]</f>
        <v>0.40520889909103019</v>
      </c>
      <c r="L2366" t="str">
        <f t="shared" si="36"/>
        <v>INSERT INTO msfo.statements (id_company, id_year, id_showing, value) VALUES (19,4,8,0,40520889909103);</v>
      </c>
    </row>
    <row r="2367" spans="1:12">
      <c r="A2367" s="28" t="s">
        <v>54</v>
      </c>
      <c r="B2367" s="28" t="s">
        <v>53</v>
      </c>
      <c r="C2367" s="28">
        <v>2015</v>
      </c>
      <c r="D2367" s="28" t="s">
        <v>1</v>
      </c>
      <c r="E2367" s="28" t="s">
        <v>11</v>
      </c>
      <c r="F2367" s="28">
        <v>0.35634585744689451</v>
      </c>
      <c r="H2367">
        <f>VLOOKUP(A2367&amp;B2367,ticker_sector[],2,FALSE)</f>
        <v>19</v>
      </c>
      <c r="I2367">
        <f>VLOOKUP(C2367,year[],2,FALSE)</f>
        <v>5</v>
      </c>
      <c r="J2367">
        <f>VLOOKUP(E2367,showing[],2,FALSE)</f>
        <v>8</v>
      </c>
      <c r="K2367">
        <f>Сектора[[#This Row],[Значение]]</f>
        <v>0.35634585744689451</v>
      </c>
      <c r="L2367" t="str">
        <f t="shared" si="36"/>
        <v>INSERT INTO msfo.statements (id_company, id_year, id_showing, value) VALUES (19,5,8,0,356345857446895);</v>
      </c>
    </row>
    <row r="2368" spans="1:12">
      <c r="A2368" s="28" t="s">
        <v>54</v>
      </c>
      <c r="B2368" s="28" t="s">
        <v>53</v>
      </c>
      <c r="C2368" s="28">
        <v>2016</v>
      </c>
      <c r="D2368" s="28" t="s">
        <v>1</v>
      </c>
      <c r="E2368" s="28" t="s">
        <v>11</v>
      </c>
      <c r="F2368" s="28">
        <v>0.26656682890303257</v>
      </c>
      <c r="H2368">
        <f>VLOOKUP(A2368&amp;B2368,ticker_sector[],2,FALSE)</f>
        <v>19</v>
      </c>
      <c r="I2368">
        <f>VLOOKUP(C2368,year[],2,FALSE)</f>
        <v>6</v>
      </c>
      <c r="J2368">
        <f>VLOOKUP(E2368,showing[],2,FALSE)</f>
        <v>8</v>
      </c>
      <c r="K2368">
        <f>Сектора[[#This Row],[Значение]]</f>
        <v>0.26656682890303257</v>
      </c>
      <c r="L2368" t="str">
        <f t="shared" si="36"/>
        <v>INSERT INTO msfo.statements (id_company, id_year, id_showing, value) VALUES (19,6,8,0,266566828903033);</v>
      </c>
    </row>
    <row r="2369" spans="1:12">
      <c r="A2369" s="28" t="s">
        <v>54</v>
      </c>
      <c r="B2369" s="28" t="s">
        <v>53</v>
      </c>
      <c r="C2369" s="28">
        <v>2017</v>
      </c>
      <c r="D2369" s="28" t="s">
        <v>1</v>
      </c>
      <c r="E2369" s="28" t="s">
        <v>11</v>
      </c>
      <c r="F2369" s="28">
        <v>0.26501145497363437</v>
      </c>
      <c r="H2369">
        <f>VLOOKUP(A2369&amp;B2369,ticker_sector[],2,FALSE)</f>
        <v>19</v>
      </c>
      <c r="I2369">
        <f>VLOOKUP(C2369,year[],2,FALSE)</f>
        <v>7</v>
      </c>
      <c r="J2369">
        <f>VLOOKUP(E2369,showing[],2,FALSE)</f>
        <v>8</v>
      </c>
      <c r="K2369">
        <f>Сектора[[#This Row],[Значение]]</f>
        <v>0.26501145497363437</v>
      </c>
      <c r="L2369" t="str">
        <f t="shared" si="36"/>
        <v>INSERT INTO msfo.statements (id_company, id_year, id_showing, value) VALUES (19,7,8,0,265011454973634);</v>
      </c>
    </row>
    <row r="2370" spans="1:12">
      <c r="A2370" s="28" t="s">
        <v>54</v>
      </c>
      <c r="B2370" s="28" t="s">
        <v>53</v>
      </c>
      <c r="C2370" s="28">
        <v>2010</v>
      </c>
      <c r="D2370" s="28" t="s">
        <v>4</v>
      </c>
      <c r="E2370" s="28" t="s">
        <v>12</v>
      </c>
      <c r="F2370" s="28">
        <v>464386</v>
      </c>
      <c r="H2370">
        <f>VLOOKUP(A2370&amp;B2370,ticker_sector[],2,FALSE)</f>
        <v>19</v>
      </c>
      <c r="I2370">
        <f>VLOOKUP(C2370,year[],2,FALSE)</f>
        <v>0</v>
      </c>
      <c r="J2370">
        <f>VLOOKUP(E2370,showing[],2,FALSE)</f>
        <v>9</v>
      </c>
      <c r="K2370">
        <f>Сектора[[#This Row],[Значение]]</f>
        <v>464386</v>
      </c>
      <c r="L2370" t="str">
        <f t="shared" si="36"/>
        <v>INSERT INTO msfo.statements (id_company, id_year, id_showing, value) VALUES (19,0,9,464386);</v>
      </c>
    </row>
    <row r="2371" spans="1:12">
      <c r="A2371" s="28" t="s">
        <v>54</v>
      </c>
      <c r="B2371" s="28" t="s">
        <v>53</v>
      </c>
      <c r="C2371" s="28">
        <v>2011</v>
      </c>
      <c r="D2371" s="28" t="s">
        <v>4</v>
      </c>
      <c r="E2371" s="28" t="s">
        <v>12</v>
      </c>
      <c r="F2371" s="28">
        <v>536244</v>
      </c>
      <c r="H2371">
        <f>VLOOKUP(A2371&amp;B2371,ticker_sector[],2,FALSE)</f>
        <v>19</v>
      </c>
      <c r="I2371">
        <f>VLOOKUP(C2371,year[],2,FALSE)</f>
        <v>1</v>
      </c>
      <c r="J2371">
        <f>VLOOKUP(E2371,showing[],2,FALSE)</f>
        <v>9</v>
      </c>
      <c r="K2371">
        <f>Сектора[[#This Row],[Значение]]</f>
        <v>536244</v>
      </c>
      <c r="L2371" t="str">
        <f t="shared" ref="L2371:L2434" si="37">"INSERT INTO msfo.statements (id_company, id_year, id_showing, value) VALUES ("&amp;H2371&amp; ","&amp;I2371&amp; ","&amp;J2371&amp; ","&amp;K2371&amp;");"</f>
        <v>INSERT INTO msfo.statements (id_company, id_year, id_showing, value) VALUES (19,1,9,536244);</v>
      </c>
    </row>
    <row r="2372" spans="1:12">
      <c r="A2372" s="28" t="s">
        <v>54</v>
      </c>
      <c r="B2372" s="28" t="s">
        <v>53</v>
      </c>
      <c r="C2372" s="28">
        <v>2012</v>
      </c>
      <c r="D2372" s="28" t="s">
        <v>4</v>
      </c>
      <c r="E2372" s="28" t="s">
        <v>12</v>
      </c>
      <c r="F2372" s="28">
        <v>556189</v>
      </c>
      <c r="H2372">
        <f>VLOOKUP(A2372&amp;B2372,ticker_sector[],2,FALSE)</f>
        <v>19</v>
      </c>
      <c r="I2372">
        <f>VLOOKUP(C2372,year[],2,FALSE)</f>
        <v>2</v>
      </c>
      <c r="J2372">
        <f>VLOOKUP(E2372,showing[],2,FALSE)</f>
        <v>9</v>
      </c>
      <c r="K2372">
        <f>Сектора[[#This Row],[Значение]]</f>
        <v>556189</v>
      </c>
      <c r="L2372" t="str">
        <f t="shared" si="37"/>
        <v>INSERT INTO msfo.statements (id_company, id_year, id_showing, value) VALUES (19,2,9,556189);</v>
      </c>
    </row>
    <row r="2373" spans="1:12">
      <c r="A2373" s="28" t="s">
        <v>54</v>
      </c>
      <c r="B2373" s="28" t="s">
        <v>53</v>
      </c>
      <c r="C2373" s="28">
        <v>2013</v>
      </c>
      <c r="D2373" s="28" t="s">
        <v>4</v>
      </c>
      <c r="E2373" s="28" t="s">
        <v>12</v>
      </c>
      <c r="F2373" s="28">
        <v>662321</v>
      </c>
      <c r="H2373">
        <f>VLOOKUP(A2373&amp;B2373,ticker_sector[],2,FALSE)</f>
        <v>19</v>
      </c>
      <c r="I2373">
        <f>VLOOKUP(C2373,year[],2,FALSE)</f>
        <v>3</v>
      </c>
      <c r="J2373">
        <f>VLOOKUP(E2373,showing[],2,FALSE)</f>
        <v>9</v>
      </c>
      <c r="K2373">
        <f>Сектора[[#This Row],[Значение]]</f>
        <v>662321</v>
      </c>
      <c r="L2373" t="str">
        <f t="shared" si="37"/>
        <v>INSERT INTO msfo.statements (id_company, id_year, id_showing, value) VALUES (19,3,9,662321);</v>
      </c>
    </row>
    <row r="2374" spans="1:12">
      <c r="A2374" s="28" t="s">
        <v>54</v>
      </c>
      <c r="B2374" s="28" t="s">
        <v>53</v>
      </c>
      <c r="C2374" s="28">
        <v>2014</v>
      </c>
      <c r="D2374" s="28" t="s">
        <v>4</v>
      </c>
      <c r="E2374" s="28" t="s">
        <v>12</v>
      </c>
      <c r="F2374" s="28">
        <v>741101</v>
      </c>
      <c r="H2374">
        <f>VLOOKUP(A2374&amp;B2374,ticker_sector[],2,FALSE)</f>
        <v>19</v>
      </c>
      <c r="I2374">
        <f>VLOOKUP(C2374,year[],2,FALSE)</f>
        <v>4</v>
      </c>
      <c r="J2374">
        <f>VLOOKUP(E2374,showing[],2,FALSE)</f>
        <v>9</v>
      </c>
      <c r="K2374">
        <f>Сектора[[#This Row],[Значение]]</f>
        <v>741101</v>
      </c>
      <c r="L2374" t="str">
        <f t="shared" si="37"/>
        <v>INSERT INTO msfo.statements (id_company, id_year, id_showing, value) VALUES (19,4,9,741101);</v>
      </c>
    </row>
    <row r="2375" spans="1:12">
      <c r="A2375" s="28" t="s">
        <v>54</v>
      </c>
      <c r="B2375" s="28" t="s">
        <v>53</v>
      </c>
      <c r="C2375" s="28">
        <v>2015</v>
      </c>
      <c r="D2375" s="28" t="s">
        <v>4</v>
      </c>
      <c r="E2375" s="28" t="s">
        <v>12</v>
      </c>
      <c r="F2375" s="28">
        <v>831987</v>
      </c>
      <c r="H2375">
        <f>VLOOKUP(A2375&amp;B2375,ticker_sector[],2,FALSE)</f>
        <v>19</v>
      </c>
      <c r="I2375">
        <f>VLOOKUP(C2375,year[],2,FALSE)</f>
        <v>5</v>
      </c>
      <c r="J2375">
        <f>VLOOKUP(E2375,showing[],2,FALSE)</f>
        <v>9</v>
      </c>
      <c r="K2375">
        <f>Сектора[[#This Row],[Значение]]</f>
        <v>831987</v>
      </c>
      <c r="L2375" t="str">
        <f t="shared" si="37"/>
        <v>INSERT INTO msfo.statements (id_company, id_year, id_showing, value) VALUES (19,5,9,831987);</v>
      </c>
    </row>
    <row r="2376" spans="1:12">
      <c r="A2376" s="28" t="s">
        <v>54</v>
      </c>
      <c r="B2376" s="28" t="s">
        <v>53</v>
      </c>
      <c r="C2376" s="28">
        <v>2016</v>
      </c>
      <c r="D2376" s="28" t="s">
        <v>4</v>
      </c>
      <c r="E2376" s="28" t="s">
        <v>12</v>
      </c>
      <c r="F2376" s="28">
        <v>898182</v>
      </c>
      <c r="H2376">
        <f>VLOOKUP(A2376&amp;B2376,ticker_sector[],2,FALSE)</f>
        <v>19</v>
      </c>
      <c r="I2376">
        <f>VLOOKUP(C2376,year[],2,FALSE)</f>
        <v>6</v>
      </c>
      <c r="J2376">
        <f>VLOOKUP(E2376,showing[],2,FALSE)</f>
        <v>9</v>
      </c>
      <c r="K2376">
        <f>Сектора[[#This Row],[Значение]]</f>
        <v>898182</v>
      </c>
      <c r="L2376" t="str">
        <f t="shared" si="37"/>
        <v>INSERT INTO msfo.statements (id_company, id_year, id_showing, value) VALUES (19,6,9,898182);</v>
      </c>
    </row>
    <row r="2377" spans="1:12">
      <c r="A2377" s="28" t="s">
        <v>54</v>
      </c>
      <c r="B2377" s="28" t="s">
        <v>53</v>
      </c>
      <c r="C2377" s="28">
        <v>2017</v>
      </c>
      <c r="D2377" s="28" t="s">
        <v>4</v>
      </c>
      <c r="E2377" s="28" t="s">
        <v>12</v>
      </c>
      <c r="F2377" s="28">
        <v>917049</v>
      </c>
      <c r="H2377">
        <f>VLOOKUP(A2377&amp;B2377,ticker_sector[],2,FALSE)</f>
        <v>19</v>
      </c>
      <c r="I2377">
        <f>VLOOKUP(C2377,year[],2,FALSE)</f>
        <v>7</v>
      </c>
      <c r="J2377">
        <f>VLOOKUP(E2377,showing[],2,FALSE)</f>
        <v>9</v>
      </c>
      <c r="K2377">
        <f>Сектора[[#This Row],[Значение]]</f>
        <v>917049</v>
      </c>
      <c r="L2377" t="str">
        <f t="shared" si="37"/>
        <v>INSERT INTO msfo.statements (id_company, id_year, id_showing, value) VALUES (19,7,9,917049);</v>
      </c>
    </row>
    <row r="2378" spans="1:12">
      <c r="A2378" s="28" t="s">
        <v>54</v>
      </c>
      <c r="B2378" s="28" t="s">
        <v>53</v>
      </c>
      <c r="C2378" s="28">
        <v>2010</v>
      </c>
      <c r="D2378" s="28" t="s">
        <v>4</v>
      </c>
      <c r="E2378" s="28" t="s">
        <v>13</v>
      </c>
      <c r="F2378" s="28">
        <v>14561</v>
      </c>
      <c r="H2378">
        <f>VLOOKUP(A2378&amp;B2378,ticker_sector[],2,FALSE)</f>
        <v>19</v>
      </c>
      <c r="I2378">
        <f>VLOOKUP(C2378,year[],2,FALSE)</f>
        <v>0</v>
      </c>
      <c r="J2378">
        <f>VLOOKUP(E2378,showing[],2,FALSE)</f>
        <v>10</v>
      </c>
      <c r="K2378">
        <f>Сектора[[#This Row],[Значение]]</f>
        <v>14561</v>
      </c>
      <c r="L2378" t="str">
        <f t="shared" si="37"/>
        <v>INSERT INTO msfo.statements (id_company, id_year, id_showing, value) VALUES (19,0,10,14561);</v>
      </c>
    </row>
    <row r="2379" spans="1:12">
      <c r="A2379" s="28" t="s">
        <v>54</v>
      </c>
      <c r="B2379" s="28" t="s">
        <v>53</v>
      </c>
      <c r="C2379" s="28">
        <v>2011</v>
      </c>
      <c r="D2379" s="28" t="s">
        <v>4</v>
      </c>
      <c r="E2379" s="28" t="s">
        <v>13</v>
      </c>
      <c r="F2379" s="28">
        <v>36144</v>
      </c>
      <c r="H2379">
        <f>VLOOKUP(A2379&amp;B2379,ticker_sector[],2,FALSE)</f>
        <v>19</v>
      </c>
      <c r="I2379">
        <f>VLOOKUP(C2379,year[],2,FALSE)</f>
        <v>1</v>
      </c>
      <c r="J2379">
        <f>VLOOKUP(E2379,showing[],2,FALSE)</f>
        <v>10</v>
      </c>
      <c r="K2379">
        <f>Сектора[[#This Row],[Значение]]</f>
        <v>36144</v>
      </c>
      <c r="L2379" t="str">
        <f t="shared" si="37"/>
        <v>INSERT INTO msfo.statements (id_company, id_year, id_showing, value) VALUES (19,1,10,36144);</v>
      </c>
    </row>
    <row r="2380" spans="1:12">
      <c r="A2380" s="28" t="s">
        <v>54</v>
      </c>
      <c r="B2380" s="28" t="s">
        <v>53</v>
      </c>
      <c r="C2380" s="28">
        <v>2012</v>
      </c>
      <c r="D2380" s="28" t="s">
        <v>4</v>
      </c>
      <c r="E2380" s="28" t="s">
        <v>13</v>
      </c>
      <c r="F2380" s="28">
        <v>-22276</v>
      </c>
      <c r="H2380">
        <f>VLOOKUP(A2380&amp;B2380,ticker_sector[],2,FALSE)</f>
        <v>19</v>
      </c>
      <c r="I2380">
        <f>VLOOKUP(C2380,year[],2,FALSE)</f>
        <v>2</v>
      </c>
      <c r="J2380">
        <f>VLOOKUP(E2380,showing[],2,FALSE)</f>
        <v>10</v>
      </c>
      <c r="K2380">
        <f>Сектора[[#This Row],[Значение]]</f>
        <v>-22276</v>
      </c>
      <c r="L2380" t="str">
        <f t="shared" si="37"/>
        <v>INSERT INTO msfo.statements (id_company, id_year, id_showing, value) VALUES (19,2,10,-22276);</v>
      </c>
    </row>
    <row r="2381" spans="1:12">
      <c r="A2381" s="28" t="s">
        <v>54</v>
      </c>
      <c r="B2381" s="28" t="s">
        <v>53</v>
      </c>
      <c r="C2381" s="28">
        <v>2013</v>
      </c>
      <c r="D2381" s="28" t="s">
        <v>4</v>
      </c>
      <c r="E2381" s="28" t="s">
        <v>13</v>
      </c>
      <c r="F2381" s="28">
        <v>-23067</v>
      </c>
      <c r="H2381">
        <f>VLOOKUP(A2381&amp;B2381,ticker_sector[],2,FALSE)</f>
        <v>19</v>
      </c>
      <c r="I2381">
        <f>VLOOKUP(C2381,year[],2,FALSE)</f>
        <v>3</v>
      </c>
      <c r="J2381">
        <f>VLOOKUP(E2381,showing[],2,FALSE)</f>
        <v>10</v>
      </c>
      <c r="K2381">
        <f>Сектора[[#This Row],[Значение]]</f>
        <v>-23067</v>
      </c>
      <c r="L2381" t="str">
        <f t="shared" si="37"/>
        <v>INSERT INTO msfo.statements (id_company, id_year, id_showing, value) VALUES (19,3,10,-23067);</v>
      </c>
    </row>
    <row r="2382" spans="1:12">
      <c r="A2382" s="28" t="s">
        <v>54</v>
      </c>
      <c r="B2382" s="28" t="s">
        <v>53</v>
      </c>
      <c r="C2382" s="28">
        <v>2014</v>
      </c>
      <c r="D2382" s="28" t="s">
        <v>4</v>
      </c>
      <c r="E2382" s="28" t="s">
        <v>13</v>
      </c>
      <c r="F2382" s="28">
        <v>7837</v>
      </c>
      <c r="H2382">
        <f>VLOOKUP(A2382&amp;B2382,ticker_sector[],2,FALSE)</f>
        <v>19</v>
      </c>
      <c r="I2382">
        <f>VLOOKUP(C2382,year[],2,FALSE)</f>
        <v>4</v>
      </c>
      <c r="J2382">
        <f>VLOOKUP(E2382,showing[],2,FALSE)</f>
        <v>10</v>
      </c>
      <c r="K2382">
        <f>Сектора[[#This Row],[Значение]]</f>
        <v>7837</v>
      </c>
      <c r="L2382" t="str">
        <f t="shared" si="37"/>
        <v>INSERT INTO msfo.statements (id_company, id_year, id_showing, value) VALUES (19,4,10,7837);</v>
      </c>
    </row>
    <row r="2383" spans="1:12">
      <c r="A2383" s="28" t="s">
        <v>54</v>
      </c>
      <c r="B2383" s="28" t="s">
        <v>53</v>
      </c>
      <c r="C2383" s="28">
        <v>2015</v>
      </c>
      <c r="D2383" s="28" t="s">
        <v>4</v>
      </c>
      <c r="E2383" s="28" t="s">
        <v>13</v>
      </c>
      <c r="F2383" s="28">
        <v>22601</v>
      </c>
      <c r="H2383">
        <f>VLOOKUP(A2383&amp;B2383,ticker_sector[],2,FALSE)</f>
        <v>19</v>
      </c>
      <c r="I2383">
        <f>VLOOKUP(C2383,year[],2,FALSE)</f>
        <v>5</v>
      </c>
      <c r="J2383">
        <f>VLOOKUP(E2383,showing[],2,FALSE)</f>
        <v>10</v>
      </c>
      <c r="K2383">
        <f>Сектора[[#This Row],[Значение]]</f>
        <v>22601</v>
      </c>
      <c r="L2383" t="str">
        <f t="shared" si="37"/>
        <v>INSERT INTO msfo.statements (id_company, id_year, id_showing, value) VALUES (19,5,10,22601);</v>
      </c>
    </row>
    <row r="2384" spans="1:12">
      <c r="A2384" s="28" t="s">
        <v>54</v>
      </c>
      <c r="B2384" s="28" t="s">
        <v>53</v>
      </c>
      <c r="C2384" s="28">
        <v>2016</v>
      </c>
      <c r="D2384" s="28" t="s">
        <v>4</v>
      </c>
      <c r="E2384" s="28" t="s">
        <v>13</v>
      </c>
      <c r="F2384" s="28">
        <v>60761</v>
      </c>
      <c r="H2384">
        <f>VLOOKUP(A2384&amp;B2384,ticker_sector[],2,FALSE)</f>
        <v>19</v>
      </c>
      <c r="I2384">
        <f>VLOOKUP(C2384,year[],2,FALSE)</f>
        <v>6</v>
      </c>
      <c r="J2384">
        <f>VLOOKUP(E2384,showing[],2,FALSE)</f>
        <v>10</v>
      </c>
      <c r="K2384">
        <f>Сектора[[#This Row],[Значение]]</f>
        <v>60761</v>
      </c>
      <c r="L2384" t="str">
        <f t="shared" si="37"/>
        <v>INSERT INTO msfo.statements (id_company, id_year, id_showing, value) VALUES (19,6,10,60761);</v>
      </c>
    </row>
    <row r="2385" spans="1:12">
      <c r="A2385" s="28" t="s">
        <v>54</v>
      </c>
      <c r="B2385" s="28" t="s">
        <v>53</v>
      </c>
      <c r="C2385" s="28">
        <v>2017</v>
      </c>
      <c r="D2385" s="28" t="s">
        <v>4</v>
      </c>
      <c r="E2385" s="28" t="s">
        <v>13</v>
      </c>
      <c r="F2385" s="28">
        <v>53851</v>
      </c>
      <c r="H2385">
        <f>VLOOKUP(A2385&amp;B2385,ticker_sector[],2,FALSE)</f>
        <v>19</v>
      </c>
      <c r="I2385">
        <f>VLOOKUP(C2385,year[],2,FALSE)</f>
        <v>7</v>
      </c>
      <c r="J2385">
        <f>VLOOKUP(E2385,showing[],2,FALSE)</f>
        <v>10</v>
      </c>
      <c r="K2385">
        <f>Сектора[[#This Row],[Значение]]</f>
        <v>53851</v>
      </c>
      <c r="L2385" t="str">
        <f t="shared" si="37"/>
        <v>INSERT INTO msfo.statements (id_company, id_year, id_showing, value) VALUES (19,7,10,53851);</v>
      </c>
    </row>
    <row r="2386" spans="1:12">
      <c r="A2386" s="28" t="s">
        <v>54</v>
      </c>
      <c r="B2386" s="28" t="s">
        <v>53</v>
      </c>
      <c r="C2386" s="28">
        <v>2010</v>
      </c>
      <c r="D2386" s="28" t="s">
        <v>4</v>
      </c>
      <c r="E2386" s="28" t="s">
        <v>14</v>
      </c>
      <c r="F2386" s="28">
        <v>15237.310881356043</v>
      </c>
      <c r="H2386">
        <f>VLOOKUP(A2386&amp;B2386,ticker_sector[],2,FALSE)</f>
        <v>19</v>
      </c>
      <c r="I2386">
        <f>VLOOKUP(C2386,year[],2,FALSE)</f>
        <v>0</v>
      </c>
      <c r="J2386">
        <f>VLOOKUP(E2386,showing[],2,FALSE)</f>
        <v>11</v>
      </c>
      <c r="K2386">
        <f>Сектора[[#This Row],[Значение]]</f>
        <v>15237.310881356043</v>
      </c>
      <c r="L2386" t="str">
        <f t="shared" si="37"/>
        <v>INSERT INTO msfo.statements (id_company, id_year, id_showing, value) VALUES (19,0,11,15237,310881356);</v>
      </c>
    </row>
    <row r="2387" spans="1:12">
      <c r="A2387" s="28" t="s">
        <v>54</v>
      </c>
      <c r="B2387" s="28" t="s">
        <v>53</v>
      </c>
      <c r="C2387" s="28">
        <v>2011</v>
      </c>
      <c r="D2387" s="28" t="s">
        <v>4</v>
      </c>
      <c r="E2387" s="28" t="s">
        <v>14</v>
      </c>
      <c r="F2387" s="28">
        <v>16655.557660710459</v>
      </c>
      <c r="H2387">
        <f>VLOOKUP(A2387&amp;B2387,ticker_sector[],2,FALSE)</f>
        <v>19</v>
      </c>
      <c r="I2387">
        <f>VLOOKUP(C2387,year[],2,FALSE)</f>
        <v>1</v>
      </c>
      <c r="J2387">
        <f>VLOOKUP(E2387,showing[],2,FALSE)</f>
        <v>11</v>
      </c>
      <c r="K2387">
        <f>Сектора[[#This Row],[Значение]]</f>
        <v>16655.557660710459</v>
      </c>
      <c r="L2387" t="str">
        <f t="shared" si="37"/>
        <v>INSERT INTO msfo.statements (id_company, id_year, id_showing, value) VALUES (19,1,11,16655,5576607105);</v>
      </c>
    </row>
    <row r="2388" spans="1:12">
      <c r="A2388" s="28" t="s">
        <v>54</v>
      </c>
      <c r="B2388" s="28" t="s">
        <v>53</v>
      </c>
      <c r="C2388" s="28">
        <v>2012</v>
      </c>
      <c r="D2388" s="28" t="s">
        <v>4</v>
      </c>
      <c r="E2388" s="28" t="s">
        <v>14</v>
      </c>
      <c r="F2388" s="28">
        <v>18312.135569113052</v>
      </c>
      <c r="H2388">
        <f>VLOOKUP(A2388&amp;B2388,ticker_sector[],2,FALSE)</f>
        <v>19</v>
      </c>
      <c r="I2388">
        <f>VLOOKUP(C2388,year[],2,FALSE)</f>
        <v>2</v>
      </c>
      <c r="J2388">
        <f>VLOOKUP(E2388,showing[],2,FALSE)</f>
        <v>11</v>
      </c>
      <c r="K2388">
        <f>Сектора[[#This Row],[Значение]]</f>
        <v>18312.135569113052</v>
      </c>
      <c r="L2388" t="str">
        <f t="shared" si="37"/>
        <v>INSERT INTO msfo.statements (id_company, id_year, id_showing, value) VALUES (19,2,11,18312,1355691131);</v>
      </c>
    </row>
    <row r="2389" spans="1:12">
      <c r="A2389" s="28" t="s">
        <v>54</v>
      </c>
      <c r="B2389" s="28" t="s">
        <v>53</v>
      </c>
      <c r="C2389" s="28">
        <v>2013</v>
      </c>
      <c r="D2389" s="28" t="s">
        <v>4</v>
      </c>
      <c r="E2389" s="28" t="s">
        <v>14</v>
      </c>
      <c r="F2389" s="28">
        <v>20236.394412329053</v>
      </c>
      <c r="H2389">
        <f>VLOOKUP(A2389&amp;B2389,ticker_sector[],2,FALSE)</f>
        <v>19</v>
      </c>
      <c r="I2389">
        <f>VLOOKUP(C2389,year[],2,FALSE)</f>
        <v>3</v>
      </c>
      <c r="J2389">
        <f>VLOOKUP(E2389,showing[],2,FALSE)</f>
        <v>11</v>
      </c>
      <c r="K2389">
        <f>Сектора[[#This Row],[Значение]]</f>
        <v>20236.394412329053</v>
      </c>
      <c r="L2389" t="str">
        <f t="shared" si="37"/>
        <v>INSERT INTO msfo.statements (id_company, id_year, id_showing, value) VALUES (19,3,11,20236,3944123291);</v>
      </c>
    </row>
    <row r="2390" spans="1:12">
      <c r="A2390" s="28" t="s">
        <v>54</v>
      </c>
      <c r="B2390" s="28" t="s">
        <v>53</v>
      </c>
      <c r="C2390" s="28">
        <v>2014</v>
      </c>
      <c r="D2390" s="28" t="s">
        <v>4</v>
      </c>
      <c r="E2390" s="28" t="s">
        <v>14</v>
      </c>
      <c r="F2390" s="28">
        <v>13173.161696742174</v>
      </c>
      <c r="H2390">
        <f>VLOOKUP(A2390&amp;B2390,ticker_sector[],2,FALSE)</f>
        <v>19</v>
      </c>
      <c r="I2390">
        <f>VLOOKUP(C2390,year[],2,FALSE)</f>
        <v>4</v>
      </c>
      <c r="J2390">
        <f>VLOOKUP(E2390,showing[],2,FALSE)</f>
        <v>11</v>
      </c>
      <c r="K2390">
        <f>Сектора[[#This Row],[Значение]]</f>
        <v>13173.161696742174</v>
      </c>
      <c r="L2390" t="str">
        <f t="shared" si="37"/>
        <v>INSERT INTO msfo.statements (id_company, id_year, id_showing, value) VALUES (19,4,11,13173,1616967422);</v>
      </c>
    </row>
    <row r="2391" spans="1:12">
      <c r="A2391" s="28" t="s">
        <v>54</v>
      </c>
      <c r="B2391" s="28" t="s">
        <v>53</v>
      </c>
      <c r="C2391" s="28">
        <v>2015</v>
      </c>
      <c r="D2391" s="28" t="s">
        <v>4</v>
      </c>
      <c r="E2391" s="28" t="s">
        <v>14</v>
      </c>
      <c r="F2391" s="28">
        <v>11415.425059719248</v>
      </c>
      <c r="H2391">
        <f>VLOOKUP(A2391&amp;B2391,ticker_sector[],2,FALSE)</f>
        <v>19</v>
      </c>
      <c r="I2391">
        <f>VLOOKUP(C2391,year[],2,FALSE)</f>
        <v>5</v>
      </c>
      <c r="J2391">
        <f>VLOOKUP(E2391,showing[],2,FALSE)</f>
        <v>11</v>
      </c>
      <c r="K2391">
        <f>Сектора[[#This Row],[Значение]]</f>
        <v>11415.425059719248</v>
      </c>
      <c r="L2391" t="str">
        <f t="shared" si="37"/>
        <v>INSERT INTO msfo.statements (id_company, id_year, id_showing, value) VALUES (19,5,11,11415,4250597192);</v>
      </c>
    </row>
    <row r="2392" spans="1:12">
      <c r="A2392" s="28" t="s">
        <v>54</v>
      </c>
      <c r="B2392" s="28" t="s">
        <v>53</v>
      </c>
      <c r="C2392" s="28">
        <v>2016</v>
      </c>
      <c r="D2392" s="28" t="s">
        <v>4</v>
      </c>
      <c r="E2392" s="28" t="s">
        <v>14</v>
      </c>
      <c r="F2392" s="28">
        <v>14807.581660124404</v>
      </c>
      <c r="H2392">
        <f>VLOOKUP(A2392&amp;B2392,ticker_sector[],2,FALSE)</f>
        <v>19</v>
      </c>
      <c r="I2392">
        <f>VLOOKUP(C2392,year[],2,FALSE)</f>
        <v>6</v>
      </c>
      <c r="J2392">
        <f>VLOOKUP(E2392,showing[],2,FALSE)</f>
        <v>11</v>
      </c>
      <c r="K2392">
        <f>Сектора[[#This Row],[Значение]]</f>
        <v>14807.581660124404</v>
      </c>
      <c r="L2392" t="str">
        <f t="shared" si="37"/>
        <v>INSERT INTO msfo.statements (id_company, id_year, id_showing, value) VALUES (19,6,11,14807,5816601244);</v>
      </c>
    </row>
    <row r="2393" spans="1:12">
      <c r="A2393" s="28" t="s">
        <v>54</v>
      </c>
      <c r="B2393" s="28" t="s">
        <v>53</v>
      </c>
      <c r="C2393" s="28">
        <v>2017</v>
      </c>
      <c r="D2393" s="28" t="s">
        <v>4</v>
      </c>
      <c r="E2393" s="28" t="s">
        <v>14</v>
      </c>
      <c r="F2393" s="28">
        <v>15920.934302311451</v>
      </c>
      <c r="H2393">
        <f>VLOOKUP(A2393&amp;B2393,ticker_sector[],2,FALSE)</f>
        <v>19</v>
      </c>
      <c r="I2393">
        <f>VLOOKUP(C2393,year[],2,FALSE)</f>
        <v>7</v>
      </c>
      <c r="J2393">
        <f>VLOOKUP(E2393,showing[],2,FALSE)</f>
        <v>11</v>
      </c>
      <c r="K2393">
        <f>Сектора[[#This Row],[Значение]]</f>
        <v>15920.934302311451</v>
      </c>
      <c r="L2393" t="str">
        <f t="shared" si="37"/>
        <v>INSERT INTO msfo.statements (id_company, id_year, id_showing, value) VALUES (19,7,11,15920,9343023115);</v>
      </c>
    </row>
    <row r="2394" spans="1:12">
      <c r="A2394" s="28" t="s">
        <v>54</v>
      </c>
      <c r="B2394" s="28" t="s">
        <v>53</v>
      </c>
      <c r="C2394" s="28">
        <v>2010</v>
      </c>
      <c r="D2394" s="28" t="s">
        <v>4</v>
      </c>
      <c r="E2394" s="28" t="s">
        <v>15</v>
      </c>
      <c r="F2394" s="28">
        <v>477.77168937785666</v>
      </c>
      <c r="H2394">
        <f>VLOOKUP(A2394&amp;B2394,ticker_sector[],2,FALSE)</f>
        <v>19</v>
      </c>
      <c r="I2394">
        <f>VLOOKUP(C2394,year[],2,FALSE)</f>
        <v>0</v>
      </c>
      <c r="J2394">
        <f>VLOOKUP(E2394,showing[],2,FALSE)</f>
        <v>12</v>
      </c>
      <c r="K2394">
        <f>Сектора[[#This Row],[Значение]]</f>
        <v>477.77168937785666</v>
      </c>
      <c r="L2394" t="str">
        <f t="shared" si="37"/>
        <v>INSERT INTO msfo.statements (id_company, id_year, id_showing, value) VALUES (19,0,12,477,771689377857);</v>
      </c>
    </row>
    <row r="2395" spans="1:12">
      <c r="A2395" s="28" t="s">
        <v>54</v>
      </c>
      <c r="B2395" s="28" t="s">
        <v>53</v>
      </c>
      <c r="C2395" s="28">
        <v>2011</v>
      </c>
      <c r="D2395" s="28" t="s">
        <v>4</v>
      </c>
      <c r="E2395" s="28" t="s">
        <v>15</v>
      </c>
      <c r="F2395" s="28">
        <v>1122.6204416062815</v>
      </c>
      <c r="H2395">
        <f>VLOOKUP(A2395&amp;B2395,ticker_sector[],2,FALSE)</f>
        <v>19</v>
      </c>
      <c r="I2395">
        <f>VLOOKUP(C2395,year[],2,FALSE)</f>
        <v>1</v>
      </c>
      <c r="J2395">
        <f>VLOOKUP(E2395,showing[],2,FALSE)</f>
        <v>12</v>
      </c>
      <c r="K2395">
        <f>Сектора[[#This Row],[Значение]]</f>
        <v>1122.6204416062815</v>
      </c>
      <c r="L2395" t="str">
        <f t="shared" si="37"/>
        <v>INSERT INTO msfo.statements (id_company, id_year, id_showing, value) VALUES (19,1,12,1122,62044160628);</v>
      </c>
    </row>
    <row r="2396" spans="1:12">
      <c r="A2396" s="28" t="s">
        <v>54</v>
      </c>
      <c r="B2396" s="28" t="s">
        <v>53</v>
      </c>
      <c r="C2396" s="28">
        <v>2012</v>
      </c>
      <c r="D2396" s="28" t="s">
        <v>4</v>
      </c>
      <c r="E2396" s="28" t="s">
        <v>15</v>
      </c>
      <c r="F2396" s="28">
        <v>-733.42178996269683</v>
      </c>
      <c r="H2396">
        <f>VLOOKUP(A2396&amp;B2396,ticker_sector[],2,FALSE)</f>
        <v>19</v>
      </c>
      <c r="I2396">
        <f>VLOOKUP(C2396,year[],2,FALSE)</f>
        <v>2</v>
      </c>
      <c r="J2396">
        <f>VLOOKUP(E2396,showing[],2,FALSE)</f>
        <v>12</v>
      </c>
      <c r="K2396">
        <f>Сектора[[#This Row],[Значение]]</f>
        <v>-733.42178996269683</v>
      </c>
      <c r="L2396" t="str">
        <f t="shared" si="37"/>
        <v>INSERT INTO msfo.statements (id_company, id_year, id_showing, value) VALUES (19,2,12,-733,421789962697);</v>
      </c>
    </row>
    <row r="2397" spans="1:12">
      <c r="A2397" s="28" t="s">
        <v>54</v>
      </c>
      <c r="B2397" s="28" t="s">
        <v>53</v>
      </c>
      <c r="C2397" s="28">
        <v>2013</v>
      </c>
      <c r="D2397" s="28" t="s">
        <v>4</v>
      </c>
      <c r="E2397" s="28" t="s">
        <v>15</v>
      </c>
      <c r="F2397" s="28">
        <v>-704.78349608300846</v>
      </c>
      <c r="H2397">
        <f>VLOOKUP(A2397&amp;B2397,ticker_sector[],2,FALSE)</f>
        <v>19</v>
      </c>
      <c r="I2397">
        <f>VLOOKUP(C2397,year[],2,FALSE)</f>
        <v>3</v>
      </c>
      <c r="J2397">
        <f>VLOOKUP(E2397,showing[],2,FALSE)</f>
        <v>12</v>
      </c>
      <c r="K2397">
        <f>Сектора[[#This Row],[Значение]]</f>
        <v>-704.78349608300846</v>
      </c>
      <c r="L2397" t="str">
        <f t="shared" si="37"/>
        <v>INSERT INTO msfo.statements (id_company, id_year, id_showing, value) VALUES (19,3,12,-704,783496083008);</v>
      </c>
    </row>
    <row r="2398" spans="1:12">
      <c r="A2398" s="28" t="s">
        <v>54</v>
      </c>
      <c r="B2398" s="28" t="s">
        <v>53</v>
      </c>
      <c r="C2398" s="28">
        <v>2014</v>
      </c>
      <c r="D2398" s="28" t="s">
        <v>4</v>
      </c>
      <c r="E2398" s="28" t="s">
        <v>15</v>
      </c>
      <c r="F2398" s="28">
        <v>139.30364176727386</v>
      </c>
      <c r="H2398">
        <f>VLOOKUP(A2398&amp;B2398,ticker_sector[],2,FALSE)</f>
        <v>19</v>
      </c>
      <c r="I2398">
        <f>VLOOKUP(C2398,year[],2,FALSE)</f>
        <v>4</v>
      </c>
      <c r="J2398">
        <f>VLOOKUP(E2398,showing[],2,FALSE)</f>
        <v>12</v>
      </c>
      <c r="K2398">
        <f>Сектора[[#This Row],[Значение]]</f>
        <v>139.30364176727386</v>
      </c>
      <c r="L2398" t="str">
        <f t="shared" si="37"/>
        <v>INSERT INTO msfo.statements (id_company, id_year, id_showing, value) VALUES (19,4,12,139,303641767274);</v>
      </c>
    </row>
    <row r="2399" spans="1:12">
      <c r="A2399" s="28" t="s">
        <v>54</v>
      </c>
      <c r="B2399" s="28" t="s">
        <v>53</v>
      </c>
      <c r="C2399" s="28">
        <v>2015</v>
      </c>
      <c r="D2399" s="28" t="s">
        <v>4</v>
      </c>
      <c r="E2399" s="28" t="s">
        <v>15</v>
      </c>
      <c r="F2399" s="28">
        <v>310.101025346207</v>
      </c>
      <c r="H2399">
        <f>VLOOKUP(A2399&amp;B2399,ticker_sector[],2,FALSE)</f>
        <v>19</v>
      </c>
      <c r="I2399">
        <f>VLOOKUP(C2399,year[],2,FALSE)</f>
        <v>5</v>
      </c>
      <c r="J2399">
        <f>VLOOKUP(E2399,showing[],2,FALSE)</f>
        <v>12</v>
      </c>
      <c r="K2399">
        <f>Сектора[[#This Row],[Значение]]</f>
        <v>310.101025346207</v>
      </c>
      <c r="L2399" t="str">
        <f t="shared" si="37"/>
        <v>INSERT INTO msfo.statements (id_company, id_year, id_showing, value) VALUES (19,5,12,310,101025346207);</v>
      </c>
    </row>
    <row r="2400" spans="1:12">
      <c r="A2400" s="28" t="s">
        <v>54</v>
      </c>
      <c r="B2400" s="28" t="s">
        <v>53</v>
      </c>
      <c r="C2400" s="28">
        <v>2016</v>
      </c>
      <c r="D2400" s="28" t="s">
        <v>4</v>
      </c>
      <c r="E2400" s="28" t="s">
        <v>15</v>
      </c>
      <c r="F2400" s="28">
        <v>1001.716210356942</v>
      </c>
      <c r="H2400">
        <f>VLOOKUP(A2400&amp;B2400,ticker_sector[],2,FALSE)</f>
        <v>19</v>
      </c>
      <c r="I2400">
        <f>VLOOKUP(C2400,year[],2,FALSE)</f>
        <v>6</v>
      </c>
      <c r="J2400">
        <f>VLOOKUP(E2400,showing[],2,FALSE)</f>
        <v>12</v>
      </c>
      <c r="K2400">
        <f>Сектора[[#This Row],[Значение]]</f>
        <v>1001.716210356942</v>
      </c>
      <c r="L2400" t="str">
        <f t="shared" si="37"/>
        <v>INSERT INTO msfo.statements (id_company, id_year, id_showing, value) VALUES (19,6,12,1001,71621035694);</v>
      </c>
    </row>
    <row r="2401" spans="1:12">
      <c r="A2401" s="28" t="s">
        <v>54</v>
      </c>
      <c r="B2401" s="28" t="s">
        <v>53</v>
      </c>
      <c r="C2401" s="28">
        <v>2017</v>
      </c>
      <c r="D2401" s="28" t="s">
        <v>4</v>
      </c>
      <c r="E2401" s="28" t="s">
        <v>15</v>
      </c>
      <c r="F2401" s="28">
        <v>934.90994822934636</v>
      </c>
      <c r="H2401">
        <f>VLOOKUP(A2401&amp;B2401,ticker_sector[],2,FALSE)</f>
        <v>19</v>
      </c>
      <c r="I2401">
        <f>VLOOKUP(C2401,year[],2,FALSE)</f>
        <v>7</v>
      </c>
      <c r="J2401">
        <f>VLOOKUP(E2401,showing[],2,FALSE)</f>
        <v>12</v>
      </c>
      <c r="K2401">
        <f>Сектора[[#This Row],[Значение]]</f>
        <v>934.90994822934636</v>
      </c>
      <c r="L2401" t="str">
        <f t="shared" si="37"/>
        <v>INSERT INTO msfo.statements (id_company, id_year, id_showing, value) VALUES (19,7,12,934,909948229346);</v>
      </c>
    </row>
    <row r="2402" spans="1:12">
      <c r="A2402" s="28" t="s">
        <v>54</v>
      </c>
      <c r="B2402" s="28" t="s">
        <v>53</v>
      </c>
      <c r="C2402" s="28">
        <v>2010</v>
      </c>
      <c r="D2402" s="28" t="s">
        <v>7</v>
      </c>
      <c r="E2402" s="28" t="s">
        <v>16</v>
      </c>
      <c r="F2402" s="28">
        <v>27341</v>
      </c>
      <c r="H2402">
        <f>VLOOKUP(A2402&amp;B2402,ticker_sector[],2,FALSE)</f>
        <v>19</v>
      </c>
      <c r="I2402">
        <f>VLOOKUP(C2402,year[],2,FALSE)</f>
        <v>0</v>
      </c>
      <c r="J2402">
        <f>VLOOKUP(E2402,showing[],2,FALSE)</f>
        <v>13</v>
      </c>
      <c r="K2402">
        <f>Сектора[[#This Row],[Значение]]</f>
        <v>27341</v>
      </c>
      <c r="L2402" t="str">
        <f t="shared" si="37"/>
        <v>INSERT INTO msfo.statements (id_company, id_year, id_showing, value) VALUES (19,0,13,27341);</v>
      </c>
    </row>
    <row r="2403" spans="1:12">
      <c r="A2403" s="28" t="s">
        <v>54</v>
      </c>
      <c r="B2403" s="28" t="s">
        <v>53</v>
      </c>
      <c r="C2403" s="28">
        <v>2011</v>
      </c>
      <c r="D2403" s="28" t="s">
        <v>7</v>
      </c>
      <c r="E2403" s="28" t="s">
        <v>16</v>
      </c>
      <c r="F2403" s="28">
        <v>28938</v>
      </c>
      <c r="H2403">
        <f>VLOOKUP(A2403&amp;B2403,ticker_sector[],2,FALSE)</f>
        <v>19</v>
      </c>
      <c r="I2403">
        <f>VLOOKUP(C2403,year[],2,FALSE)</f>
        <v>1</v>
      </c>
      <c r="J2403">
        <f>VLOOKUP(E2403,showing[],2,FALSE)</f>
        <v>13</v>
      </c>
      <c r="K2403">
        <f>Сектора[[#This Row],[Значение]]</f>
        <v>28938</v>
      </c>
      <c r="L2403" t="str">
        <f t="shared" si="37"/>
        <v>INSERT INTO msfo.statements (id_company, id_year, id_showing, value) VALUES (19,1,13,28938);</v>
      </c>
    </row>
    <row r="2404" spans="1:12">
      <c r="A2404" s="28" t="s">
        <v>54</v>
      </c>
      <c r="B2404" s="28" t="s">
        <v>53</v>
      </c>
      <c r="C2404" s="28">
        <v>2012</v>
      </c>
      <c r="D2404" s="28" t="s">
        <v>7</v>
      </c>
      <c r="E2404" s="28" t="s">
        <v>16</v>
      </c>
      <c r="F2404" s="28">
        <v>17569</v>
      </c>
      <c r="H2404">
        <f>VLOOKUP(A2404&amp;B2404,ticker_sector[],2,FALSE)</f>
        <v>19</v>
      </c>
      <c r="I2404">
        <f>VLOOKUP(C2404,year[],2,FALSE)</f>
        <v>2</v>
      </c>
      <c r="J2404">
        <f>VLOOKUP(E2404,showing[],2,FALSE)</f>
        <v>13</v>
      </c>
      <c r="K2404">
        <f>Сектора[[#This Row],[Значение]]</f>
        <v>17569</v>
      </c>
      <c r="L2404" t="str">
        <f t="shared" si="37"/>
        <v>INSERT INTO msfo.statements (id_company, id_year, id_showing, value) VALUES (19,2,13,17569);</v>
      </c>
    </row>
    <row r="2405" spans="1:12">
      <c r="A2405" s="28" t="s">
        <v>54</v>
      </c>
      <c r="B2405" s="28" t="s">
        <v>53</v>
      </c>
      <c r="C2405" s="28">
        <v>2013</v>
      </c>
      <c r="D2405" s="28" t="s">
        <v>7</v>
      </c>
      <c r="E2405" s="28" t="s">
        <v>16</v>
      </c>
      <c r="F2405" s="28">
        <v>34260</v>
      </c>
      <c r="H2405">
        <f>VLOOKUP(A2405&amp;B2405,ticker_sector[],2,FALSE)</f>
        <v>19</v>
      </c>
      <c r="I2405">
        <f>VLOOKUP(C2405,year[],2,FALSE)</f>
        <v>3</v>
      </c>
      <c r="J2405">
        <f>VLOOKUP(E2405,showing[],2,FALSE)</f>
        <v>13</v>
      </c>
      <c r="K2405">
        <f>Сектора[[#This Row],[Значение]]</f>
        <v>34260</v>
      </c>
      <c r="L2405" t="str">
        <f t="shared" si="37"/>
        <v>INSERT INTO msfo.statements (id_company, id_year, id_showing, value) VALUES (19,3,13,34260);</v>
      </c>
    </row>
    <row r="2406" spans="1:12">
      <c r="A2406" s="28" t="s">
        <v>54</v>
      </c>
      <c r="B2406" s="28" t="s">
        <v>53</v>
      </c>
      <c r="C2406" s="28">
        <v>2014</v>
      </c>
      <c r="D2406" s="28" t="s">
        <v>7</v>
      </c>
      <c r="E2406" s="28" t="s">
        <v>16</v>
      </c>
      <c r="F2406" s="28">
        <v>51559</v>
      </c>
      <c r="H2406">
        <f>VLOOKUP(A2406&amp;B2406,ticker_sector[],2,FALSE)</f>
        <v>19</v>
      </c>
      <c r="I2406">
        <f>VLOOKUP(C2406,year[],2,FALSE)</f>
        <v>4</v>
      </c>
      <c r="J2406">
        <f>VLOOKUP(E2406,showing[],2,FALSE)</f>
        <v>13</v>
      </c>
      <c r="K2406">
        <f>Сектора[[#This Row],[Значение]]</f>
        <v>51559</v>
      </c>
      <c r="L2406" t="str">
        <f t="shared" si="37"/>
        <v>INSERT INTO msfo.statements (id_company, id_year, id_showing, value) VALUES (19,4,13,51559);</v>
      </c>
    </row>
    <row r="2407" spans="1:12">
      <c r="A2407" s="28" t="s">
        <v>54</v>
      </c>
      <c r="B2407" s="28" t="s">
        <v>53</v>
      </c>
      <c r="C2407" s="28">
        <v>2015</v>
      </c>
      <c r="D2407" s="28" t="s">
        <v>7</v>
      </c>
      <c r="E2407" s="28" t="s">
        <v>16</v>
      </c>
      <c r="F2407" s="28">
        <v>63305</v>
      </c>
      <c r="H2407">
        <f>VLOOKUP(A2407&amp;B2407,ticker_sector[],2,FALSE)</f>
        <v>19</v>
      </c>
      <c r="I2407">
        <f>VLOOKUP(C2407,year[],2,FALSE)</f>
        <v>5</v>
      </c>
      <c r="J2407">
        <f>VLOOKUP(E2407,showing[],2,FALSE)</f>
        <v>13</v>
      </c>
      <c r="K2407">
        <f>Сектора[[#This Row],[Значение]]</f>
        <v>63305</v>
      </c>
      <c r="L2407" t="str">
        <f t="shared" si="37"/>
        <v>INSERT INTO msfo.statements (id_company, id_year, id_showing, value) VALUES (19,5,13,63305);</v>
      </c>
    </row>
    <row r="2408" spans="1:12">
      <c r="A2408" s="28" t="s">
        <v>54</v>
      </c>
      <c r="B2408" s="28" t="s">
        <v>53</v>
      </c>
      <c r="C2408" s="28">
        <v>2016</v>
      </c>
      <c r="D2408" s="28" t="s">
        <v>7</v>
      </c>
      <c r="E2408" s="28" t="s">
        <v>16</v>
      </c>
      <c r="F2408" s="28">
        <v>80421</v>
      </c>
      <c r="H2408">
        <f>VLOOKUP(A2408&amp;B2408,ticker_sector[],2,FALSE)</f>
        <v>19</v>
      </c>
      <c r="I2408">
        <f>VLOOKUP(C2408,year[],2,FALSE)</f>
        <v>6</v>
      </c>
      <c r="J2408">
        <f>VLOOKUP(E2408,showing[],2,FALSE)</f>
        <v>13</v>
      </c>
      <c r="K2408">
        <f>Сектора[[#This Row],[Значение]]</f>
        <v>80421</v>
      </c>
      <c r="L2408" t="str">
        <f t="shared" si="37"/>
        <v>INSERT INTO msfo.statements (id_company, id_year, id_showing, value) VALUES (19,6,13,80421);</v>
      </c>
    </row>
    <row r="2409" spans="1:12">
      <c r="A2409" s="28" t="s">
        <v>54</v>
      </c>
      <c r="B2409" s="28" t="s">
        <v>53</v>
      </c>
      <c r="C2409" s="28">
        <v>2017</v>
      </c>
      <c r="D2409" s="28" t="s">
        <v>7</v>
      </c>
      <c r="E2409" s="28" t="s">
        <v>16</v>
      </c>
      <c r="F2409" s="28">
        <v>83873</v>
      </c>
      <c r="H2409">
        <f>VLOOKUP(A2409&amp;B2409,ticker_sector[],2,FALSE)</f>
        <v>19</v>
      </c>
      <c r="I2409">
        <f>VLOOKUP(C2409,year[],2,FALSE)</f>
        <v>7</v>
      </c>
      <c r="J2409">
        <f>VLOOKUP(E2409,showing[],2,FALSE)</f>
        <v>13</v>
      </c>
      <c r="K2409">
        <f>Сектора[[#This Row],[Значение]]</f>
        <v>83873</v>
      </c>
      <c r="L2409" t="str">
        <f t="shared" si="37"/>
        <v>INSERT INTO msfo.statements (id_company, id_year, id_showing, value) VALUES (19,7,13,83873);</v>
      </c>
    </row>
    <row r="2410" spans="1:12">
      <c r="A2410" s="28" t="s">
        <v>54</v>
      </c>
      <c r="B2410" s="28" t="s">
        <v>53</v>
      </c>
      <c r="C2410" s="28">
        <v>2010</v>
      </c>
      <c r="D2410" s="28" t="s">
        <v>7</v>
      </c>
      <c r="E2410" s="28" t="s">
        <v>17</v>
      </c>
      <c r="F2410" s="28">
        <v>897.10567675846301</v>
      </c>
      <c r="H2410">
        <f>VLOOKUP(A2410&amp;B2410,ticker_sector[],2,FALSE)</f>
        <v>19</v>
      </c>
      <c r="I2410">
        <f>VLOOKUP(C2410,year[],2,FALSE)</f>
        <v>0</v>
      </c>
      <c r="J2410">
        <f>VLOOKUP(E2410,showing[],2,FALSE)</f>
        <v>14</v>
      </c>
      <c r="K2410">
        <f>Сектора[[#This Row],[Значение]]</f>
        <v>897.10567675846301</v>
      </c>
      <c r="L2410" t="str">
        <f t="shared" si="37"/>
        <v>INSERT INTO msfo.statements (id_company, id_year, id_showing, value) VALUES (19,0,14,897,105676758463);</v>
      </c>
    </row>
    <row r="2411" spans="1:12">
      <c r="A2411" s="28" t="s">
        <v>54</v>
      </c>
      <c r="B2411" s="28" t="s">
        <v>53</v>
      </c>
      <c r="C2411" s="28">
        <v>2011</v>
      </c>
      <c r="D2411" s="28" t="s">
        <v>7</v>
      </c>
      <c r="E2411" s="28" t="s">
        <v>17</v>
      </c>
      <c r="F2411" s="28">
        <v>898.80451359015524</v>
      </c>
      <c r="H2411">
        <f>VLOOKUP(A2411&amp;B2411,ticker_sector[],2,FALSE)</f>
        <v>19</v>
      </c>
      <c r="I2411">
        <f>VLOOKUP(C2411,year[],2,FALSE)</f>
        <v>1</v>
      </c>
      <c r="J2411">
        <f>VLOOKUP(E2411,showing[],2,FALSE)</f>
        <v>14</v>
      </c>
      <c r="K2411">
        <f>Сектора[[#This Row],[Значение]]</f>
        <v>898.80451359015524</v>
      </c>
      <c r="L2411" t="str">
        <f t="shared" si="37"/>
        <v>INSERT INTO msfo.statements (id_company, id_year, id_showing, value) VALUES (19,1,14,898,804513590155);</v>
      </c>
    </row>
    <row r="2412" spans="1:12">
      <c r="A2412" s="28" t="s">
        <v>54</v>
      </c>
      <c r="B2412" s="28" t="s">
        <v>53</v>
      </c>
      <c r="C2412" s="28">
        <v>2012</v>
      </c>
      <c r="D2412" s="28" t="s">
        <v>7</v>
      </c>
      <c r="E2412" s="28" t="s">
        <v>17</v>
      </c>
      <c r="F2412" s="28">
        <v>578.44709229011585</v>
      </c>
      <c r="H2412">
        <f>VLOOKUP(A2412&amp;B2412,ticker_sector[],2,FALSE)</f>
        <v>19</v>
      </c>
      <c r="I2412">
        <f>VLOOKUP(C2412,year[],2,FALSE)</f>
        <v>2</v>
      </c>
      <c r="J2412">
        <f>VLOOKUP(E2412,showing[],2,FALSE)</f>
        <v>14</v>
      </c>
      <c r="K2412">
        <f>Сектора[[#This Row],[Значение]]</f>
        <v>578.44709229011585</v>
      </c>
      <c r="L2412" t="str">
        <f t="shared" si="37"/>
        <v>INSERT INTO msfo.statements (id_company, id_year, id_showing, value) VALUES (19,2,14,578,447092290116);</v>
      </c>
    </row>
    <row r="2413" spans="1:12">
      <c r="A2413" s="28" t="s">
        <v>54</v>
      </c>
      <c r="B2413" s="28" t="s">
        <v>53</v>
      </c>
      <c r="C2413" s="28">
        <v>2013</v>
      </c>
      <c r="D2413" s="28" t="s">
        <v>7</v>
      </c>
      <c r="E2413" s="28" t="s">
        <v>17</v>
      </c>
      <c r="F2413" s="28">
        <v>1046.7716901115823</v>
      </c>
      <c r="H2413">
        <f>VLOOKUP(A2413&amp;B2413,ticker_sector[],2,FALSE)</f>
        <v>19</v>
      </c>
      <c r="I2413">
        <f>VLOOKUP(C2413,year[],2,FALSE)</f>
        <v>3</v>
      </c>
      <c r="J2413">
        <f>VLOOKUP(E2413,showing[],2,FALSE)</f>
        <v>14</v>
      </c>
      <c r="K2413">
        <f>Сектора[[#This Row],[Значение]]</f>
        <v>1046.7716901115823</v>
      </c>
      <c r="L2413" t="str">
        <f t="shared" si="37"/>
        <v>INSERT INTO msfo.statements (id_company, id_year, id_showing, value) VALUES (19,3,14,1046,77169011158);</v>
      </c>
    </row>
    <row r="2414" spans="1:12">
      <c r="A2414" s="28" t="s">
        <v>54</v>
      </c>
      <c r="B2414" s="28" t="s">
        <v>53</v>
      </c>
      <c r="C2414" s="28">
        <v>2014</v>
      </c>
      <c r="D2414" s="28" t="s">
        <v>7</v>
      </c>
      <c r="E2414" s="28" t="s">
        <v>17</v>
      </c>
      <c r="F2414" s="28">
        <v>916.46758528504188</v>
      </c>
      <c r="H2414">
        <f>VLOOKUP(A2414&amp;B2414,ticker_sector[],2,FALSE)</f>
        <v>19</v>
      </c>
      <c r="I2414">
        <f>VLOOKUP(C2414,year[],2,FALSE)</f>
        <v>4</v>
      </c>
      <c r="J2414">
        <f>VLOOKUP(E2414,showing[],2,FALSE)</f>
        <v>14</v>
      </c>
      <c r="K2414">
        <f>Сектора[[#This Row],[Значение]]</f>
        <v>916.46758528504188</v>
      </c>
      <c r="L2414" t="str">
        <f t="shared" si="37"/>
        <v>INSERT INTO msfo.statements (id_company, id_year, id_showing, value) VALUES (19,4,14,916,467585285042);</v>
      </c>
    </row>
    <row r="2415" spans="1:12">
      <c r="A2415" s="28" t="s">
        <v>54</v>
      </c>
      <c r="B2415" s="28" t="s">
        <v>53</v>
      </c>
      <c r="C2415" s="28">
        <v>2015</v>
      </c>
      <c r="D2415" s="28" t="s">
        <v>7</v>
      </c>
      <c r="E2415" s="28" t="s">
        <v>17</v>
      </c>
      <c r="F2415" s="28">
        <v>868.58747000316953</v>
      </c>
      <c r="H2415">
        <f>VLOOKUP(A2415&amp;B2415,ticker_sector[],2,FALSE)</f>
        <v>19</v>
      </c>
      <c r="I2415">
        <f>VLOOKUP(C2415,year[],2,FALSE)</f>
        <v>5</v>
      </c>
      <c r="J2415">
        <f>VLOOKUP(E2415,showing[],2,FALSE)</f>
        <v>14</v>
      </c>
      <c r="K2415">
        <f>Сектора[[#This Row],[Значение]]</f>
        <v>868.58747000316953</v>
      </c>
      <c r="L2415" t="str">
        <f t="shared" si="37"/>
        <v>INSERT INTO msfo.statements (id_company, id_year, id_showing, value) VALUES (19,5,14,868,58747000317);</v>
      </c>
    </row>
    <row r="2416" spans="1:12">
      <c r="A2416" s="28" t="s">
        <v>54</v>
      </c>
      <c r="B2416" s="28" t="s">
        <v>53</v>
      </c>
      <c r="C2416" s="28">
        <v>2016</v>
      </c>
      <c r="D2416" s="28" t="s">
        <v>7</v>
      </c>
      <c r="E2416" s="28" t="s">
        <v>17</v>
      </c>
      <c r="F2416" s="28">
        <v>1325.8343238774155</v>
      </c>
      <c r="H2416">
        <f>VLOOKUP(A2416&amp;B2416,ticker_sector[],2,FALSE)</f>
        <v>19</v>
      </c>
      <c r="I2416">
        <f>VLOOKUP(C2416,year[],2,FALSE)</f>
        <v>6</v>
      </c>
      <c r="J2416">
        <f>VLOOKUP(E2416,showing[],2,FALSE)</f>
        <v>14</v>
      </c>
      <c r="K2416">
        <f>Сектора[[#This Row],[Значение]]</f>
        <v>1325.8343238774155</v>
      </c>
      <c r="L2416" t="str">
        <f t="shared" si="37"/>
        <v>INSERT INTO msfo.statements (id_company, id_year, id_showing, value) VALUES (19,6,14,1325,83432387742);</v>
      </c>
    </row>
    <row r="2417" spans="1:12">
      <c r="A2417" s="28" t="s">
        <v>54</v>
      </c>
      <c r="B2417" s="28" t="s">
        <v>53</v>
      </c>
      <c r="C2417" s="28">
        <v>2017</v>
      </c>
      <c r="D2417" s="28" t="s">
        <v>7</v>
      </c>
      <c r="E2417" s="28" t="s">
        <v>17</v>
      </c>
      <c r="F2417" s="28">
        <v>1456.1234162381381</v>
      </c>
      <c r="H2417">
        <f>VLOOKUP(A2417&amp;B2417,ticker_sector[],2,FALSE)</f>
        <v>19</v>
      </c>
      <c r="I2417">
        <f>VLOOKUP(C2417,year[],2,FALSE)</f>
        <v>7</v>
      </c>
      <c r="J2417">
        <f>VLOOKUP(E2417,showing[],2,FALSE)</f>
        <v>14</v>
      </c>
      <c r="K2417">
        <f>Сектора[[#This Row],[Значение]]</f>
        <v>1456.1234162381381</v>
      </c>
      <c r="L2417" t="str">
        <f t="shared" si="37"/>
        <v>INSERT INTO msfo.statements (id_company, id_year, id_showing, value) VALUES (19,7,14,1456,12341623814);</v>
      </c>
    </row>
    <row r="2418" spans="1:12">
      <c r="A2418" s="28" t="s">
        <v>54</v>
      </c>
      <c r="B2418" s="28" t="s">
        <v>53</v>
      </c>
      <c r="C2418" s="28">
        <v>2010</v>
      </c>
      <c r="D2418" s="28" t="s">
        <v>20</v>
      </c>
      <c r="E2418" s="28" t="s">
        <v>18</v>
      </c>
      <c r="F2418" s="28">
        <v>34722.264381189998</v>
      </c>
      <c r="H2418">
        <f>VLOOKUP(A2418&amp;B2418,ticker_sector[],2,FALSE)</f>
        <v>19</v>
      </c>
      <c r="I2418">
        <f>VLOOKUP(C2418,year[],2,FALSE)</f>
        <v>0</v>
      </c>
      <c r="J2418">
        <f>VLOOKUP(E2418,showing[],2,FALSE)</f>
        <v>15</v>
      </c>
      <c r="K2418">
        <f>Сектора[[#This Row],[Значение]]</f>
        <v>34722.264381189998</v>
      </c>
      <c r="L2418" t="str">
        <f t="shared" si="37"/>
        <v>INSERT INTO msfo.statements (id_company, id_year, id_showing, value) VALUES (19,0,15,34722,26438119);</v>
      </c>
    </row>
    <row r="2419" spans="1:12">
      <c r="A2419" s="28" t="s">
        <v>54</v>
      </c>
      <c r="B2419" s="28" t="s">
        <v>53</v>
      </c>
      <c r="C2419" s="28">
        <v>2011</v>
      </c>
      <c r="D2419" s="28" t="s">
        <v>20</v>
      </c>
      <c r="E2419" s="28" t="s">
        <v>18</v>
      </c>
      <c r="F2419" s="28">
        <v>73367.208762519993</v>
      </c>
      <c r="H2419">
        <f>VLOOKUP(A2419&amp;B2419,ticker_sector[],2,FALSE)</f>
        <v>19</v>
      </c>
      <c r="I2419">
        <f>VLOOKUP(C2419,year[],2,FALSE)</f>
        <v>1</v>
      </c>
      <c r="J2419">
        <f>VLOOKUP(E2419,showing[],2,FALSE)</f>
        <v>15</v>
      </c>
      <c r="K2419">
        <f>Сектора[[#This Row],[Значение]]</f>
        <v>73367.208762519993</v>
      </c>
      <c r="L2419" t="str">
        <f t="shared" si="37"/>
        <v>INSERT INTO msfo.statements (id_company, id_year, id_showing, value) VALUES (19,1,15,73367,20876252);</v>
      </c>
    </row>
    <row r="2420" spans="1:12">
      <c r="A2420" s="28" t="s">
        <v>54</v>
      </c>
      <c r="B2420" s="28" t="s">
        <v>53</v>
      </c>
      <c r="C2420" s="28">
        <v>2012</v>
      </c>
      <c r="D2420" s="28" t="s">
        <v>20</v>
      </c>
      <c r="E2420" s="28" t="s">
        <v>18</v>
      </c>
      <c r="F2420" s="28">
        <v>86892.149970789993</v>
      </c>
      <c r="H2420">
        <f>VLOOKUP(A2420&amp;B2420,ticker_sector[],2,FALSE)</f>
        <v>19</v>
      </c>
      <c r="I2420">
        <f>VLOOKUP(C2420,year[],2,FALSE)</f>
        <v>2</v>
      </c>
      <c r="J2420">
        <f>VLOOKUP(E2420,showing[],2,FALSE)</f>
        <v>15</v>
      </c>
      <c r="K2420">
        <f>Сектора[[#This Row],[Значение]]</f>
        <v>86892.149970789993</v>
      </c>
      <c r="L2420" t="str">
        <f t="shared" si="37"/>
        <v>INSERT INTO msfo.statements (id_company, id_year, id_showing, value) VALUES (19,2,15,86892,14997079);</v>
      </c>
    </row>
    <row r="2421" spans="1:12">
      <c r="A2421" s="28" t="s">
        <v>54</v>
      </c>
      <c r="B2421" s="28" t="s">
        <v>53</v>
      </c>
      <c r="C2421" s="28">
        <v>2013</v>
      </c>
      <c r="D2421" s="28" t="s">
        <v>20</v>
      </c>
      <c r="E2421" s="28" t="s">
        <v>18</v>
      </c>
      <c r="F2421" s="28">
        <v>86892.46938034</v>
      </c>
      <c r="H2421">
        <f>VLOOKUP(A2421&amp;B2421,ticker_sector[],2,FALSE)</f>
        <v>19</v>
      </c>
      <c r="I2421">
        <f>VLOOKUP(C2421,year[],2,FALSE)</f>
        <v>3</v>
      </c>
      <c r="J2421">
        <f>VLOOKUP(E2421,showing[],2,FALSE)</f>
        <v>15</v>
      </c>
      <c r="K2421">
        <f>Сектора[[#This Row],[Значение]]</f>
        <v>86892.46938034</v>
      </c>
      <c r="L2421" t="str">
        <f t="shared" si="37"/>
        <v>INSERT INTO msfo.statements (id_company, id_year, id_showing, value) VALUES (19,3,15,86892,46938034);</v>
      </c>
    </row>
    <row r="2422" spans="1:12">
      <c r="A2422" s="28" t="s">
        <v>54</v>
      </c>
      <c r="B2422" s="28" t="s">
        <v>53</v>
      </c>
      <c r="C2422" s="28">
        <v>2014</v>
      </c>
      <c r="D2422" s="28" t="s">
        <v>20</v>
      </c>
      <c r="E2422" s="28" t="s">
        <v>18</v>
      </c>
      <c r="F2422" s="28">
        <v>88751.976702999993</v>
      </c>
      <c r="H2422">
        <f>VLOOKUP(A2422&amp;B2422,ticker_sector[],2,FALSE)</f>
        <v>19</v>
      </c>
      <c r="I2422">
        <f>VLOOKUP(C2422,year[],2,FALSE)</f>
        <v>4</v>
      </c>
      <c r="J2422">
        <f>VLOOKUP(E2422,showing[],2,FALSE)</f>
        <v>15</v>
      </c>
      <c r="K2422">
        <f>Сектора[[#This Row],[Значение]]</f>
        <v>88751.976702999993</v>
      </c>
      <c r="L2422" t="str">
        <f t="shared" si="37"/>
        <v>INSERT INTO msfo.statements (id_company, id_year, id_showing, value) VALUES (19,4,15,88751,976703);</v>
      </c>
    </row>
    <row r="2423" spans="1:12">
      <c r="A2423" s="28" t="s">
        <v>54</v>
      </c>
      <c r="B2423" s="28" t="s">
        <v>53</v>
      </c>
      <c r="C2423" s="28">
        <v>2015</v>
      </c>
      <c r="D2423" s="28" t="s">
        <v>20</v>
      </c>
      <c r="E2423" s="28" t="s">
        <v>18</v>
      </c>
      <c r="F2423" s="28">
        <v>84395.930999999997</v>
      </c>
      <c r="H2423">
        <f>VLOOKUP(A2423&amp;B2423,ticker_sector[],2,FALSE)</f>
        <v>19</v>
      </c>
      <c r="I2423">
        <f>VLOOKUP(C2423,year[],2,FALSE)</f>
        <v>5</v>
      </c>
      <c r="J2423">
        <f>VLOOKUP(E2423,showing[],2,FALSE)</f>
        <v>15</v>
      </c>
      <c r="K2423">
        <f>Сектора[[#This Row],[Значение]]</f>
        <v>84395.930999999997</v>
      </c>
      <c r="L2423" t="str">
        <f t="shared" si="37"/>
        <v>INSERT INTO msfo.statements (id_company, id_year, id_showing, value) VALUES (19,5,15,84395,931);</v>
      </c>
    </row>
    <row r="2424" spans="1:12">
      <c r="A2424" s="28" t="s">
        <v>54</v>
      </c>
      <c r="B2424" s="28" t="s">
        <v>53</v>
      </c>
      <c r="C2424" s="28">
        <v>2016</v>
      </c>
      <c r="D2424" s="28" t="s">
        <v>20</v>
      </c>
      <c r="E2424" s="28" t="s">
        <v>18</v>
      </c>
      <c r="F2424" s="28">
        <v>83672.354999999996</v>
      </c>
      <c r="H2424">
        <f>VLOOKUP(A2424&amp;B2424,ticker_sector[],2,FALSE)</f>
        <v>19</v>
      </c>
      <c r="I2424">
        <f>VLOOKUP(C2424,year[],2,FALSE)</f>
        <v>6</v>
      </c>
      <c r="J2424">
        <f>VLOOKUP(E2424,showing[],2,FALSE)</f>
        <v>15</v>
      </c>
      <c r="K2424">
        <f>Сектора[[#This Row],[Значение]]</f>
        <v>83672.354999999996</v>
      </c>
      <c r="L2424" t="str">
        <f t="shared" si="37"/>
        <v>INSERT INTO msfo.statements (id_company, id_year, id_showing, value) VALUES (19,6,15,83672,355);</v>
      </c>
    </row>
    <row r="2425" spans="1:12">
      <c r="A2425" s="28" t="s">
        <v>54</v>
      </c>
      <c r="B2425" s="28" t="s">
        <v>53</v>
      </c>
      <c r="C2425" s="28">
        <v>2017</v>
      </c>
      <c r="D2425" s="28" t="s">
        <v>20</v>
      </c>
      <c r="E2425" s="28" t="s">
        <v>18</v>
      </c>
      <c r="F2425" s="28">
        <v>83477.683000000005</v>
      </c>
      <c r="H2425">
        <f>VLOOKUP(A2425&amp;B2425,ticker_sector[],2,FALSE)</f>
        <v>19</v>
      </c>
      <c r="I2425">
        <f>VLOOKUP(C2425,year[],2,FALSE)</f>
        <v>7</v>
      </c>
      <c r="J2425">
        <f>VLOOKUP(E2425,showing[],2,FALSE)</f>
        <v>15</v>
      </c>
      <c r="K2425">
        <f>Сектора[[#This Row],[Значение]]</f>
        <v>83477.683000000005</v>
      </c>
      <c r="L2425" t="str">
        <f t="shared" si="37"/>
        <v>INSERT INTO msfo.statements (id_company, id_year, id_showing, value) VALUES (19,7,15,83477,683);</v>
      </c>
    </row>
    <row r="2426" spans="1:12">
      <c r="A2426" s="28" t="s">
        <v>54</v>
      </c>
      <c r="B2426" s="28" t="s">
        <v>53</v>
      </c>
      <c r="C2426" s="28">
        <v>2010</v>
      </c>
      <c r="D2426" s="28" t="s">
        <v>20</v>
      </c>
      <c r="E2426" s="28" t="s">
        <v>19</v>
      </c>
      <c r="F2426" s="28">
        <v>4.8099999999999996</v>
      </c>
      <c r="H2426">
        <f>VLOOKUP(A2426&amp;B2426,ticker_sector[],2,FALSE)</f>
        <v>19</v>
      </c>
      <c r="I2426">
        <f>VLOOKUP(C2426,year[],2,FALSE)</f>
        <v>0</v>
      </c>
      <c r="J2426">
        <f>VLOOKUP(E2426,showing[],2,FALSE)</f>
        <v>16</v>
      </c>
      <c r="K2426">
        <f>Сектора[[#This Row],[Значение]]</f>
        <v>4.8099999999999996</v>
      </c>
      <c r="L2426" t="str">
        <f t="shared" si="37"/>
        <v>INSERT INTO msfo.statements (id_company, id_year, id_showing, value) VALUES (19,0,16,4,81);</v>
      </c>
    </row>
    <row r="2427" spans="1:12">
      <c r="A2427" s="28" t="s">
        <v>54</v>
      </c>
      <c r="B2427" s="28" t="s">
        <v>53</v>
      </c>
      <c r="C2427" s="28">
        <v>2011</v>
      </c>
      <c r="D2427" s="28" t="s">
        <v>20</v>
      </c>
      <c r="E2427" s="28" t="s">
        <v>19</v>
      </c>
      <c r="F2427" s="28">
        <v>3.4790000000000001</v>
      </c>
      <c r="H2427">
        <f>VLOOKUP(A2427&amp;B2427,ticker_sector[],2,FALSE)</f>
        <v>19</v>
      </c>
      <c r="I2427">
        <f>VLOOKUP(C2427,year[],2,FALSE)</f>
        <v>1</v>
      </c>
      <c r="J2427">
        <f>VLOOKUP(E2427,showing[],2,FALSE)</f>
        <v>16</v>
      </c>
      <c r="K2427">
        <f>Сектора[[#This Row],[Значение]]</f>
        <v>3.4790000000000001</v>
      </c>
      <c r="L2427" t="str">
        <f t="shared" si="37"/>
        <v>INSERT INTO msfo.statements (id_company, id_year, id_showing, value) VALUES (19,1,16,3,479);</v>
      </c>
    </row>
    <row r="2428" spans="1:12">
      <c r="A2428" s="28" t="s">
        <v>54</v>
      </c>
      <c r="B2428" s="28" t="s">
        <v>53</v>
      </c>
      <c r="C2428" s="28">
        <v>2012</v>
      </c>
      <c r="D2428" s="28" t="s">
        <v>20</v>
      </c>
      <c r="E2428" s="28" t="s">
        <v>19</v>
      </c>
      <c r="F2428" s="28">
        <v>2.4830000000000001</v>
      </c>
      <c r="H2428">
        <f>VLOOKUP(A2428&amp;B2428,ticker_sector[],2,FALSE)</f>
        <v>19</v>
      </c>
      <c r="I2428">
        <f>VLOOKUP(C2428,year[],2,FALSE)</f>
        <v>2</v>
      </c>
      <c r="J2428">
        <f>VLOOKUP(E2428,showing[],2,FALSE)</f>
        <v>16</v>
      </c>
      <c r="K2428">
        <f>Сектора[[#This Row],[Значение]]</f>
        <v>2.4830000000000001</v>
      </c>
      <c r="L2428" t="str">
        <f t="shared" si="37"/>
        <v>INSERT INTO msfo.statements (id_company, id_year, id_showing, value) VALUES (19,2,16,2,483);</v>
      </c>
    </row>
    <row r="2429" spans="1:12">
      <c r="A2429" s="28" t="s">
        <v>54</v>
      </c>
      <c r="B2429" s="28" t="s">
        <v>53</v>
      </c>
      <c r="C2429" s="28">
        <v>2013</v>
      </c>
      <c r="D2429" s="28" t="s">
        <v>20</v>
      </c>
      <c r="E2429" s="28" t="s">
        <v>19</v>
      </c>
      <c r="F2429" s="28">
        <v>1</v>
      </c>
      <c r="H2429">
        <f>VLOOKUP(A2429&amp;B2429,ticker_sector[],2,FALSE)</f>
        <v>19</v>
      </c>
      <c r="I2429">
        <f>VLOOKUP(C2429,year[],2,FALSE)</f>
        <v>3</v>
      </c>
      <c r="J2429">
        <f>VLOOKUP(E2429,showing[],2,FALSE)</f>
        <v>16</v>
      </c>
      <c r="K2429">
        <f>Сектора[[#This Row],[Значение]]</f>
        <v>1</v>
      </c>
      <c r="L2429" t="str">
        <f t="shared" si="37"/>
        <v>INSERT INTO msfo.statements (id_company, id_year, id_showing, value) VALUES (19,3,16,1);</v>
      </c>
    </row>
    <row r="2430" spans="1:12">
      <c r="A2430" s="28" t="s">
        <v>54</v>
      </c>
      <c r="B2430" s="28" t="s">
        <v>53</v>
      </c>
      <c r="C2430" s="28">
        <v>2014</v>
      </c>
      <c r="D2430" s="28" t="s">
        <v>20</v>
      </c>
      <c r="E2430" s="28" t="s">
        <v>19</v>
      </c>
      <c r="F2430" s="28">
        <v>0.71199999999999997</v>
      </c>
      <c r="H2430">
        <f>VLOOKUP(A2430&amp;B2430,ticker_sector[],2,FALSE)</f>
        <v>19</v>
      </c>
      <c r="I2430">
        <f>VLOOKUP(C2430,year[],2,FALSE)</f>
        <v>4</v>
      </c>
      <c r="J2430">
        <f>VLOOKUP(E2430,showing[],2,FALSE)</f>
        <v>16</v>
      </c>
      <c r="K2430">
        <f>Сектора[[#This Row],[Значение]]</f>
        <v>0.71199999999999997</v>
      </c>
      <c r="L2430" t="str">
        <f t="shared" si="37"/>
        <v>INSERT INTO msfo.statements (id_company, id_year, id_showing, value) VALUES (19,4,16,0,712);</v>
      </c>
    </row>
    <row r="2431" spans="1:12">
      <c r="A2431" s="28" t="s">
        <v>54</v>
      </c>
      <c r="B2431" s="28" t="s">
        <v>53</v>
      </c>
      <c r="C2431" s="28">
        <v>2015</v>
      </c>
      <c r="D2431" s="28" t="s">
        <v>20</v>
      </c>
      <c r="E2431" s="28" t="s">
        <v>19</v>
      </c>
      <c r="F2431" s="28">
        <v>1.1060000000000001</v>
      </c>
      <c r="H2431">
        <f>VLOOKUP(A2431&amp;B2431,ticker_sector[],2,FALSE)</f>
        <v>19</v>
      </c>
      <c r="I2431">
        <f>VLOOKUP(C2431,year[],2,FALSE)</f>
        <v>5</v>
      </c>
      <c r="J2431">
        <f>VLOOKUP(E2431,showing[],2,FALSE)</f>
        <v>16</v>
      </c>
      <c r="K2431">
        <f>Сектора[[#This Row],[Значение]]</f>
        <v>1.1060000000000001</v>
      </c>
      <c r="L2431" t="str">
        <f t="shared" si="37"/>
        <v>INSERT INTO msfo.statements (id_company, id_year, id_showing, value) VALUES (19,5,16,1,106);</v>
      </c>
    </row>
    <row r="2432" spans="1:12">
      <c r="A2432" s="28" t="s">
        <v>54</v>
      </c>
      <c r="B2432" s="28" t="s">
        <v>53</v>
      </c>
      <c r="C2432" s="28">
        <v>2016</v>
      </c>
      <c r="D2432" s="28" t="s">
        <v>20</v>
      </c>
      <c r="E2432" s="28" t="s">
        <v>19</v>
      </c>
      <c r="F2432" s="28">
        <v>3.8439999999999999</v>
      </c>
      <c r="H2432">
        <f>VLOOKUP(A2432&amp;B2432,ticker_sector[],2,FALSE)</f>
        <v>19</v>
      </c>
      <c r="I2432">
        <f>VLOOKUP(C2432,year[],2,FALSE)</f>
        <v>6</v>
      </c>
      <c r="J2432">
        <f>VLOOKUP(E2432,showing[],2,FALSE)</f>
        <v>16</v>
      </c>
      <c r="K2432">
        <f>Сектора[[#This Row],[Значение]]</f>
        <v>3.8439999999999999</v>
      </c>
      <c r="L2432" t="str">
        <f t="shared" si="37"/>
        <v>INSERT INTO msfo.statements (id_company, id_year, id_showing, value) VALUES (19,6,16,3,844);</v>
      </c>
    </row>
    <row r="2433" spans="1:12">
      <c r="A2433" s="28" t="s">
        <v>54</v>
      </c>
      <c r="B2433" s="28" t="s">
        <v>53</v>
      </c>
      <c r="C2433" s="28">
        <v>2017</v>
      </c>
      <c r="D2433" s="28" t="s">
        <v>20</v>
      </c>
      <c r="E2433" s="28" t="s">
        <v>19</v>
      </c>
      <c r="F2433" s="28">
        <v>3.4</v>
      </c>
      <c r="H2433">
        <f>VLOOKUP(A2433&amp;B2433,ticker_sector[],2,FALSE)</f>
        <v>19</v>
      </c>
      <c r="I2433">
        <f>VLOOKUP(C2433,year[],2,FALSE)</f>
        <v>7</v>
      </c>
      <c r="J2433">
        <f>VLOOKUP(E2433,showing[],2,FALSE)</f>
        <v>16</v>
      </c>
      <c r="K2433">
        <f>Сектора[[#This Row],[Значение]]</f>
        <v>3.4</v>
      </c>
      <c r="L2433" t="str">
        <f t="shared" si="37"/>
        <v>INSERT INTO msfo.statements (id_company, id_year, id_showing, value) VALUES (19,7,16,3,4);</v>
      </c>
    </row>
    <row r="2434" spans="1:12">
      <c r="A2434" s="28" t="s">
        <v>55</v>
      </c>
      <c r="B2434" s="28" t="s">
        <v>53</v>
      </c>
      <c r="C2434" s="28">
        <v>2010</v>
      </c>
      <c r="D2434" s="28" t="s">
        <v>1</v>
      </c>
      <c r="E2434" s="28" t="s">
        <v>2</v>
      </c>
      <c r="F2434" s="28">
        <v>100416.58100000001</v>
      </c>
      <c r="H2434">
        <f>VLOOKUP(A2434&amp;B2434,ticker_sector[],2,FALSE)</f>
        <v>20</v>
      </c>
      <c r="I2434">
        <f>VLOOKUP(C2434,year[],2,FALSE)</f>
        <v>0</v>
      </c>
      <c r="J2434">
        <f>VLOOKUP(E2434,showing[],2,FALSE)</f>
        <v>1</v>
      </c>
      <c r="K2434">
        <f>Сектора[[#This Row],[Значение]]</f>
        <v>100416.58100000001</v>
      </c>
      <c r="L2434" t="str">
        <f t="shared" si="37"/>
        <v>INSERT INTO msfo.statements (id_company, id_year, id_showing, value) VALUES (20,0,1,100416,581);</v>
      </c>
    </row>
    <row r="2435" spans="1:12">
      <c r="A2435" s="28" t="s">
        <v>55</v>
      </c>
      <c r="B2435" s="28" t="s">
        <v>53</v>
      </c>
      <c r="C2435" s="28">
        <v>2011</v>
      </c>
      <c r="D2435" s="28" t="s">
        <v>1</v>
      </c>
      <c r="E2435" s="28" t="s">
        <v>2</v>
      </c>
      <c r="F2435" s="28">
        <v>121939.965</v>
      </c>
      <c r="H2435">
        <f>VLOOKUP(A2435&amp;B2435,ticker_sector[],2,FALSE)</f>
        <v>20</v>
      </c>
      <c r="I2435">
        <f>VLOOKUP(C2435,year[],2,FALSE)</f>
        <v>1</v>
      </c>
      <c r="J2435">
        <f>VLOOKUP(E2435,showing[],2,FALSE)</f>
        <v>1</v>
      </c>
      <c r="K2435">
        <f>Сектора[[#This Row],[Значение]]</f>
        <v>121939.965</v>
      </c>
      <c r="L2435" t="str">
        <f t="shared" ref="L2435:L2498" si="38">"INSERT INTO msfo.statements (id_company, id_year, id_showing, value) VALUES ("&amp;H2435&amp; ","&amp;I2435&amp; ","&amp;J2435&amp; ","&amp;K2435&amp;");"</f>
        <v>INSERT INTO msfo.statements (id_company, id_year, id_showing, value) VALUES (20,1,1,121939,965);</v>
      </c>
    </row>
    <row r="2436" spans="1:12">
      <c r="A2436" s="28" t="s">
        <v>55</v>
      </c>
      <c r="B2436" s="28" t="s">
        <v>53</v>
      </c>
      <c r="C2436" s="28">
        <v>2012</v>
      </c>
      <c r="D2436" s="28" t="s">
        <v>1</v>
      </c>
      <c r="E2436" s="28" t="s">
        <v>2</v>
      </c>
      <c r="F2436" s="28">
        <v>130646.65700000001</v>
      </c>
      <c r="H2436">
        <f>VLOOKUP(A2436&amp;B2436,ticker_sector[],2,FALSE)</f>
        <v>20</v>
      </c>
      <c r="I2436">
        <f>VLOOKUP(C2436,year[],2,FALSE)</f>
        <v>2</v>
      </c>
      <c r="J2436">
        <f>VLOOKUP(E2436,showing[],2,FALSE)</f>
        <v>1</v>
      </c>
      <c r="K2436">
        <f>Сектора[[#This Row],[Значение]]</f>
        <v>130646.65700000001</v>
      </c>
      <c r="L2436" t="str">
        <f t="shared" si="38"/>
        <v>INSERT INTO msfo.statements (id_company, id_year, id_showing, value) VALUES (20,2,1,130646,657);</v>
      </c>
    </row>
    <row r="2437" spans="1:12">
      <c r="A2437" s="28" t="s">
        <v>55</v>
      </c>
      <c r="B2437" s="28" t="s">
        <v>53</v>
      </c>
      <c r="C2437" s="28">
        <v>2013</v>
      </c>
      <c r="D2437" s="28" t="s">
        <v>1</v>
      </c>
      <c r="E2437" s="28" t="s">
        <v>2</v>
      </c>
      <c r="F2437" s="28">
        <v>131739.49900000001</v>
      </c>
      <c r="H2437">
        <f>VLOOKUP(A2437&amp;B2437,ticker_sector[],2,FALSE)</f>
        <v>20</v>
      </c>
      <c r="I2437">
        <f>VLOOKUP(C2437,year[],2,FALSE)</f>
        <v>3</v>
      </c>
      <c r="J2437">
        <f>VLOOKUP(E2437,showing[],2,FALSE)</f>
        <v>1</v>
      </c>
      <c r="K2437">
        <f>Сектора[[#This Row],[Значение]]</f>
        <v>131739.49900000001</v>
      </c>
      <c r="L2437" t="str">
        <f t="shared" si="38"/>
        <v>INSERT INTO msfo.statements (id_company, id_year, id_showing, value) VALUES (20,3,1,131739,499);</v>
      </c>
    </row>
    <row r="2438" spans="1:12">
      <c r="A2438" s="28" t="s">
        <v>55</v>
      </c>
      <c r="B2438" s="28" t="s">
        <v>53</v>
      </c>
      <c r="C2438" s="28">
        <v>2014</v>
      </c>
      <c r="D2438" s="28" t="s">
        <v>1</v>
      </c>
      <c r="E2438" s="28" t="s">
        <v>2</v>
      </c>
      <c r="F2438" s="28">
        <v>130170.484</v>
      </c>
      <c r="H2438">
        <f>VLOOKUP(A2438&amp;B2438,ticker_sector[],2,FALSE)</f>
        <v>20</v>
      </c>
      <c r="I2438">
        <f>VLOOKUP(C2438,year[],2,FALSE)</f>
        <v>4</v>
      </c>
      <c r="J2438">
        <f>VLOOKUP(E2438,showing[],2,FALSE)</f>
        <v>1</v>
      </c>
      <c r="K2438">
        <f>Сектора[[#This Row],[Значение]]</f>
        <v>130170.484</v>
      </c>
      <c r="L2438" t="str">
        <f t="shared" si="38"/>
        <v>INSERT INTO msfo.statements (id_company, id_year, id_showing, value) VALUES (20,4,1,130170,484);</v>
      </c>
    </row>
    <row r="2439" spans="1:12">
      <c r="A2439" s="28" t="s">
        <v>55</v>
      </c>
      <c r="B2439" s="28" t="s">
        <v>53</v>
      </c>
      <c r="C2439" s="28">
        <v>2015</v>
      </c>
      <c r="D2439" s="28" t="s">
        <v>1</v>
      </c>
      <c r="E2439" s="28" t="s">
        <v>2</v>
      </c>
      <c r="F2439" s="28">
        <v>135022.40599999999</v>
      </c>
      <c r="H2439">
        <f>VLOOKUP(A2439&amp;B2439,ticker_sector[],2,FALSE)</f>
        <v>20</v>
      </c>
      <c r="I2439">
        <f>VLOOKUP(C2439,year[],2,FALSE)</f>
        <v>5</v>
      </c>
      <c r="J2439">
        <f>VLOOKUP(E2439,showing[],2,FALSE)</f>
        <v>1</v>
      </c>
      <c r="K2439">
        <f>Сектора[[#This Row],[Значение]]</f>
        <v>135022.40599999999</v>
      </c>
      <c r="L2439" t="str">
        <f t="shared" si="38"/>
        <v>INSERT INTO msfo.statements (id_company, id_year, id_showing, value) VALUES (20,5,1,135022,406);</v>
      </c>
    </row>
    <row r="2440" spans="1:12">
      <c r="A2440" s="28" t="s">
        <v>55</v>
      </c>
      <c r="B2440" s="28" t="s">
        <v>53</v>
      </c>
      <c r="C2440" s="28">
        <v>2016</v>
      </c>
      <c r="D2440" s="28" t="s">
        <v>1</v>
      </c>
      <c r="E2440" s="28" t="s">
        <v>2</v>
      </c>
      <c r="F2440" s="28">
        <v>135449.68599999999</v>
      </c>
      <c r="H2440">
        <f>VLOOKUP(A2440&amp;B2440,ticker_sector[],2,FALSE)</f>
        <v>20</v>
      </c>
      <c r="I2440">
        <f>VLOOKUP(C2440,year[],2,FALSE)</f>
        <v>6</v>
      </c>
      <c r="J2440">
        <f>VLOOKUP(E2440,showing[],2,FALSE)</f>
        <v>1</v>
      </c>
      <c r="K2440">
        <f>Сектора[[#This Row],[Значение]]</f>
        <v>135449.68599999999</v>
      </c>
      <c r="L2440" t="str">
        <f t="shared" si="38"/>
        <v>INSERT INTO msfo.statements (id_company, id_year, id_showing, value) VALUES (20,6,1,135449,686);</v>
      </c>
    </row>
    <row r="2441" spans="1:12">
      <c r="A2441" s="28" t="s">
        <v>55</v>
      </c>
      <c r="B2441" s="28" t="s">
        <v>53</v>
      </c>
      <c r="C2441" s="28">
        <v>2017</v>
      </c>
      <c r="D2441" s="28" t="s">
        <v>1</v>
      </c>
      <c r="E2441" s="28" t="s">
        <v>2</v>
      </c>
      <c r="F2441" s="28">
        <v>136845.19399999999</v>
      </c>
      <c r="H2441">
        <f>VLOOKUP(A2441&amp;B2441,ticker_sector[],2,FALSE)</f>
        <v>20</v>
      </c>
      <c r="I2441">
        <f>VLOOKUP(C2441,year[],2,FALSE)</f>
        <v>7</v>
      </c>
      <c r="J2441">
        <f>VLOOKUP(E2441,showing[],2,FALSE)</f>
        <v>1</v>
      </c>
      <c r="K2441">
        <f>Сектора[[#This Row],[Значение]]</f>
        <v>136845.19399999999</v>
      </c>
      <c r="L2441" t="str">
        <f t="shared" si="38"/>
        <v>INSERT INTO msfo.statements (id_company, id_year, id_showing, value) VALUES (20,7,1,136845,194);</v>
      </c>
    </row>
    <row r="2442" spans="1:12">
      <c r="A2442" s="28" t="s">
        <v>55</v>
      </c>
      <c r="B2442" s="28" t="s">
        <v>53</v>
      </c>
      <c r="C2442" s="28">
        <v>2010</v>
      </c>
      <c r="D2442" s="28" t="s">
        <v>1</v>
      </c>
      <c r="E2442" s="28" t="s">
        <v>3</v>
      </c>
      <c r="F2442" s="28">
        <v>12948.246999999999</v>
      </c>
      <c r="H2442">
        <f>VLOOKUP(A2442&amp;B2442,ticker_sector[],2,FALSE)</f>
        <v>20</v>
      </c>
      <c r="I2442">
        <f>VLOOKUP(C2442,year[],2,FALSE)</f>
        <v>0</v>
      </c>
      <c r="J2442">
        <f>VLOOKUP(E2442,showing[],2,FALSE)</f>
        <v>2</v>
      </c>
      <c r="K2442">
        <f>Сектора[[#This Row],[Значение]]</f>
        <v>12948.246999999999</v>
      </c>
      <c r="L2442" t="str">
        <f t="shared" si="38"/>
        <v>INSERT INTO msfo.statements (id_company, id_year, id_showing, value) VALUES (20,0,2,12948,247);</v>
      </c>
    </row>
    <row r="2443" spans="1:12">
      <c r="A2443" s="28" t="s">
        <v>55</v>
      </c>
      <c r="B2443" s="28" t="s">
        <v>53</v>
      </c>
      <c r="C2443" s="28">
        <v>2011</v>
      </c>
      <c r="D2443" s="28" t="s">
        <v>1</v>
      </c>
      <c r="E2443" s="28" t="s">
        <v>3</v>
      </c>
      <c r="F2443" s="28">
        <v>16002.17</v>
      </c>
      <c r="H2443">
        <f>VLOOKUP(A2443&amp;B2443,ticker_sector[],2,FALSE)</f>
        <v>20</v>
      </c>
      <c r="I2443">
        <f>VLOOKUP(C2443,year[],2,FALSE)</f>
        <v>1</v>
      </c>
      <c r="J2443">
        <f>VLOOKUP(E2443,showing[],2,FALSE)</f>
        <v>2</v>
      </c>
      <c r="K2443">
        <f>Сектора[[#This Row],[Значение]]</f>
        <v>16002.17</v>
      </c>
      <c r="L2443" t="str">
        <f t="shared" si="38"/>
        <v>INSERT INTO msfo.statements (id_company, id_year, id_showing, value) VALUES (20,1,2,16002,17);</v>
      </c>
    </row>
    <row r="2444" spans="1:12">
      <c r="A2444" s="28" t="s">
        <v>55</v>
      </c>
      <c r="B2444" s="28" t="s">
        <v>53</v>
      </c>
      <c r="C2444" s="28">
        <v>2012</v>
      </c>
      <c r="D2444" s="28" t="s">
        <v>1</v>
      </c>
      <c r="E2444" s="28" t="s">
        <v>3</v>
      </c>
      <c r="F2444" s="28">
        <v>17289.228999999999</v>
      </c>
      <c r="H2444">
        <f>VLOOKUP(A2444&amp;B2444,ticker_sector[],2,FALSE)</f>
        <v>20</v>
      </c>
      <c r="I2444">
        <f>VLOOKUP(C2444,year[],2,FALSE)</f>
        <v>2</v>
      </c>
      <c r="J2444">
        <f>VLOOKUP(E2444,showing[],2,FALSE)</f>
        <v>2</v>
      </c>
      <c r="K2444">
        <f>Сектора[[#This Row],[Значение]]</f>
        <v>17289.228999999999</v>
      </c>
      <c r="L2444" t="str">
        <f t="shared" si="38"/>
        <v>INSERT INTO msfo.statements (id_company, id_year, id_showing, value) VALUES (20,2,2,17289,229);</v>
      </c>
    </row>
    <row r="2445" spans="1:12">
      <c r="A2445" s="28" t="s">
        <v>55</v>
      </c>
      <c r="B2445" s="28" t="s">
        <v>53</v>
      </c>
      <c r="C2445" s="28">
        <v>2013</v>
      </c>
      <c r="D2445" s="28" t="s">
        <v>1</v>
      </c>
      <c r="E2445" s="28" t="s">
        <v>3</v>
      </c>
      <c r="F2445" s="28">
        <v>18862.269</v>
      </c>
      <c r="H2445">
        <f>VLOOKUP(A2445&amp;B2445,ticker_sector[],2,FALSE)</f>
        <v>20</v>
      </c>
      <c r="I2445">
        <f>VLOOKUP(C2445,year[],2,FALSE)</f>
        <v>3</v>
      </c>
      <c r="J2445">
        <f>VLOOKUP(E2445,showing[],2,FALSE)</f>
        <v>2</v>
      </c>
      <c r="K2445">
        <f>Сектора[[#This Row],[Значение]]</f>
        <v>18862.269</v>
      </c>
      <c r="L2445" t="str">
        <f t="shared" si="38"/>
        <v>INSERT INTO msfo.statements (id_company, id_year, id_showing, value) VALUES (20,3,2,18862,269);</v>
      </c>
    </row>
    <row r="2446" spans="1:12">
      <c r="A2446" s="28" t="s">
        <v>55</v>
      </c>
      <c r="B2446" s="28" t="s">
        <v>53</v>
      </c>
      <c r="C2446" s="28">
        <v>2014</v>
      </c>
      <c r="D2446" s="28" t="s">
        <v>1</v>
      </c>
      <c r="E2446" s="28" t="s">
        <v>3</v>
      </c>
      <c r="F2446" s="28">
        <v>20159.52</v>
      </c>
      <c r="H2446">
        <f>VLOOKUP(A2446&amp;B2446,ticker_sector[],2,FALSE)</f>
        <v>20</v>
      </c>
      <c r="I2446">
        <f>VLOOKUP(C2446,year[],2,FALSE)</f>
        <v>4</v>
      </c>
      <c r="J2446">
        <f>VLOOKUP(E2446,showing[],2,FALSE)</f>
        <v>2</v>
      </c>
      <c r="K2446">
        <f>Сектора[[#This Row],[Значение]]</f>
        <v>20159.52</v>
      </c>
      <c r="L2446" t="str">
        <f t="shared" si="38"/>
        <v>INSERT INTO msfo.statements (id_company, id_year, id_showing, value) VALUES (20,4,2,20159,52);</v>
      </c>
    </row>
    <row r="2447" spans="1:12">
      <c r="A2447" s="28" t="s">
        <v>55</v>
      </c>
      <c r="B2447" s="28" t="s">
        <v>53</v>
      </c>
      <c r="C2447" s="28">
        <v>2015</v>
      </c>
      <c r="D2447" s="28" t="s">
        <v>1</v>
      </c>
      <c r="E2447" s="28" t="s">
        <v>3</v>
      </c>
      <c r="F2447" s="28">
        <v>19872.373</v>
      </c>
      <c r="H2447">
        <f>VLOOKUP(A2447&amp;B2447,ticker_sector[],2,FALSE)</f>
        <v>20</v>
      </c>
      <c r="I2447">
        <f>VLOOKUP(C2447,year[],2,FALSE)</f>
        <v>5</v>
      </c>
      <c r="J2447">
        <f>VLOOKUP(E2447,showing[],2,FALSE)</f>
        <v>2</v>
      </c>
      <c r="K2447">
        <f>Сектора[[#This Row],[Значение]]</f>
        <v>19872.373</v>
      </c>
      <c r="L2447" t="str">
        <f t="shared" si="38"/>
        <v>INSERT INTO msfo.statements (id_company, id_year, id_showing, value) VALUES (20,5,2,19872,373);</v>
      </c>
    </row>
    <row r="2448" spans="1:12">
      <c r="A2448" s="28" t="s">
        <v>55</v>
      </c>
      <c r="B2448" s="28" t="s">
        <v>53</v>
      </c>
      <c r="C2448" s="28">
        <v>2016</v>
      </c>
      <c r="D2448" s="28" t="s">
        <v>1</v>
      </c>
      <c r="E2448" s="28" t="s">
        <v>3</v>
      </c>
      <c r="F2448" s="28">
        <v>24321.268</v>
      </c>
      <c r="H2448">
        <f>VLOOKUP(A2448&amp;B2448,ticker_sector[],2,FALSE)</f>
        <v>20</v>
      </c>
      <c r="I2448">
        <f>VLOOKUP(C2448,year[],2,FALSE)</f>
        <v>6</v>
      </c>
      <c r="J2448">
        <f>VLOOKUP(E2448,showing[],2,FALSE)</f>
        <v>2</v>
      </c>
      <c r="K2448">
        <f>Сектора[[#This Row],[Значение]]</f>
        <v>24321.268</v>
      </c>
      <c r="L2448" t="str">
        <f t="shared" si="38"/>
        <v>INSERT INTO msfo.statements (id_company, id_year, id_showing, value) VALUES (20,6,2,24321,268);</v>
      </c>
    </row>
    <row r="2449" spans="1:12">
      <c r="A2449" s="28" t="s">
        <v>55</v>
      </c>
      <c r="B2449" s="28" t="s">
        <v>53</v>
      </c>
      <c r="C2449" s="28">
        <v>2017</v>
      </c>
      <c r="D2449" s="28" t="s">
        <v>1</v>
      </c>
      <c r="E2449" s="28" t="s">
        <v>3</v>
      </c>
      <c r="F2449" s="28">
        <v>26942.508999999998</v>
      </c>
      <c r="H2449">
        <f>VLOOKUP(A2449&amp;B2449,ticker_sector[],2,FALSE)</f>
        <v>20</v>
      </c>
      <c r="I2449">
        <f>VLOOKUP(C2449,year[],2,FALSE)</f>
        <v>7</v>
      </c>
      <c r="J2449">
        <f>VLOOKUP(E2449,showing[],2,FALSE)</f>
        <v>2</v>
      </c>
      <c r="K2449">
        <f>Сектора[[#This Row],[Значение]]</f>
        <v>26942.508999999998</v>
      </c>
      <c r="L2449" t="str">
        <f t="shared" si="38"/>
        <v>INSERT INTO msfo.statements (id_company, id_year, id_showing, value) VALUES (20,7,2,26942,509);</v>
      </c>
    </row>
    <row r="2450" spans="1:12">
      <c r="A2450" s="28" t="s">
        <v>55</v>
      </c>
      <c r="B2450" s="28" t="s">
        <v>53</v>
      </c>
      <c r="C2450" s="28">
        <v>2010</v>
      </c>
      <c r="D2450" s="28" t="s">
        <v>1</v>
      </c>
      <c r="E2450" s="28" t="s">
        <v>5</v>
      </c>
      <c r="F2450" s="28">
        <v>113364.82800000001</v>
      </c>
      <c r="H2450">
        <f>VLOOKUP(A2450&amp;B2450,ticker_sector[],2,FALSE)</f>
        <v>20</v>
      </c>
      <c r="I2450">
        <f>VLOOKUP(C2450,year[],2,FALSE)</f>
        <v>0</v>
      </c>
      <c r="J2450">
        <f>VLOOKUP(E2450,showing[],2,FALSE)</f>
        <v>3</v>
      </c>
      <c r="K2450">
        <f>Сектора[[#This Row],[Значение]]</f>
        <v>113364.82800000001</v>
      </c>
      <c r="L2450" t="str">
        <f t="shared" si="38"/>
        <v>INSERT INTO msfo.statements (id_company, id_year, id_showing, value) VALUES (20,0,3,113364,828);</v>
      </c>
    </row>
    <row r="2451" spans="1:12">
      <c r="A2451" s="28" t="s">
        <v>55</v>
      </c>
      <c r="B2451" s="28" t="s">
        <v>53</v>
      </c>
      <c r="C2451" s="28">
        <v>2011</v>
      </c>
      <c r="D2451" s="28" t="s">
        <v>1</v>
      </c>
      <c r="E2451" s="28" t="s">
        <v>5</v>
      </c>
      <c r="F2451" s="28">
        <v>137942.13500000001</v>
      </c>
      <c r="H2451">
        <f>VLOOKUP(A2451&amp;B2451,ticker_sector[],2,FALSE)</f>
        <v>20</v>
      </c>
      <c r="I2451">
        <f>VLOOKUP(C2451,year[],2,FALSE)</f>
        <v>1</v>
      </c>
      <c r="J2451">
        <f>VLOOKUP(E2451,showing[],2,FALSE)</f>
        <v>3</v>
      </c>
      <c r="K2451">
        <f>Сектора[[#This Row],[Значение]]</f>
        <v>137942.13500000001</v>
      </c>
      <c r="L2451" t="str">
        <f t="shared" si="38"/>
        <v>INSERT INTO msfo.statements (id_company, id_year, id_showing, value) VALUES (20,1,3,137942,135);</v>
      </c>
    </row>
    <row r="2452" spans="1:12">
      <c r="A2452" s="28" t="s">
        <v>55</v>
      </c>
      <c r="B2452" s="28" t="s">
        <v>53</v>
      </c>
      <c r="C2452" s="28">
        <v>2012</v>
      </c>
      <c r="D2452" s="28" t="s">
        <v>1</v>
      </c>
      <c r="E2452" s="28" t="s">
        <v>5</v>
      </c>
      <c r="F2452" s="28">
        <v>147935.886</v>
      </c>
      <c r="H2452">
        <f>VLOOKUP(A2452&amp;B2452,ticker_sector[],2,FALSE)</f>
        <v>20</v>
      </c>
      <c r="I2452">
        <f>VLOOKUP(C2452,year[],2,FALSE)</f>
        <v>2</v>
      </c>
      <c r="J2452">
        <f>VLOOKUP(E2452,showing[],2,FALSE)</f>
        <v>3</v>
      </c>
      <c r="K2452">
        <f>Сектора[[#This Row],[Значение]]</f>
        <v>147935.886</v>
      </c>
      <c r="L2452" t="str">
        <f t="shared" si="38"/>
        <v>INSERT INTO msfo.statements (id_company, id_year, id_showing, value) VALUES (20,2,3,147935,886);</v>
      </c>
    </row>
    <row r="2453" spans="1:12">
      <c r="A2453" s="28" t="s">
        <v>55</v>
      </c>
      <c r="B2453" s="28" t="s">
        <v>53</v>
      </c>
      <c r="C2453" s="28">
        <v>2013</v>
      </c>
      <c r="D2453" s="28" t="s">
        <v>1</v>
      </c>
      <c r="E2453" s="28" t="s">
        <v>5</v>
      </c>
      <c r="F2453" s="28">
        <v>150601.76800000001</v>
      </c>
      <c r="H2453">
        <f>VLOOKUP(A2453&amp;B2453,ticker_sector[],2,FALSE)</f>
        <v>20</v>
      </c>
      <c r="I2453">
        <f>VLOOKUP(C2453,year[],2,FALSE)</f>
        <v>3</v>
      </c>
      <c r="J2453">
        <f>VLOOKUP(E2453,showing[],2,FALSE)</f>
        <v>3</v>
      </c>
      <c r="K2453">
        <f>Сектора[[#This Row],[Значение]]</f>
        <v>150601.76800000001</v>
      </c>
      <c r="L2453" t="str">
        <f t="shared" si="38"/>
        <v>INSERT INTO msfo.statements (id_company, id_year, id_showing, value) VALUES (20,3,3,150601,768);</v>
      </c>
    </row>
    <row r="2454" spans="1:12">
      <c r="A2454" s="28" t="s">
        <v>55</v>
      </c>
      <c r="B2454" s="28" t="s">
        <v>53</v>
      </c>
      <c r="C2454" s="28">
        <v>2014</v>
      </c>
      <c r="D2454" s="28" t="s">
        <v>1</v>
      </c>
      <c r="E2454" s="28" t="s">
        <v>5</v>
      </c>
      <c r="F2454" s="28">
        <v>150330.00399999999</v>
      </c>
      <c r="H2454">
        <f>VLOOKUP(A2454&amp;B2454,ticker_sector[],2,FALSE)</f>
        <v>20</v>
      </c>
      <c r="I2454">
        <f>VLOOKUP(C2454,year[],2,FALSE)</f>
        <v>4</v>
      </c>
      <c r="J2454">
        <f>VLOOKUP(E2454,showing[],2,FALSE)</f>
        <v>3</v>
      </c>
      <c r="K2454">
        <f>Сектора[[#This Row],[Значение]]</f>
        <v>150330.00399999999</v>
      </c>
      <c r="L2454" t="str">
        <f t="shared" si="38"/>
        <v>INSERT INTO msfo.statements (id_company, id_year, id_showing, value) VALUES (20,4,3,150330,004);</v>
      </c>
    </row>
    <row r="2455" spans="1:12">
      <c r="A2455" s="28" t="s">
        <v>55</v>
      </c>
      <c r="B2455" s="28" t="s">
        <v>53</v>
      </c>
      <c r="C2455" s="28">
        <v>2015</v>
      </c>
      <c r="D2455" s="28" t="s">
        <v>1</v>
      </c>
      <c r="E2455" s="28" t="s">
        <v>5</v>
      </c>
      <c r="F2455" s="28">
        <v>154894.77899999998</v>
      </c>
      <c r="H2455">
        <f>VLOOKUP(A2455&amp;B2455,ticker_sector[],2,FALSE)</f>
        <v>20</v>
      </c>
      <c r="I2455">
        <f>VLOOKUP(C2455,year[],2,FALSE)</f>
        <v>5</v>
      </c>
      <c r="J2455">
        <f>VLOOKUP(E2455,showing[],2,FALSE)</f>
        <v>3</v>
      </c>
      <c r="K2455">
        <f>Сектора[[#This Row],[Значение]]</f>
        <v>154894.77899999998</v>
      </c>
      <c r="L2455" t="str">
        <f t="shared" si="38"/>
        <v>INSERT INTO msfo.statements (id_company, id_year, id_showing, value) VALUES (20,5,3,154894,779);</v>
      </c>
    </row>
    <row r="2456" spans="1:12">
      <c r="A2456" s="28" t="s">
        <v>55</v>
      </c>
      <c r="B2456" s="28" t="s">
        <v>53</v>
      </c>
      <c r="C2456" s="28">
        <v>2016</v>
      </c>
      <c r="D2456" s="28" t="s">
        <v>1</v>
      </c>
      <c r="E2456" s="28" t="s">
        <v>5</v>
      </c>
      <c r="F2456" s="28">
        <v>159770.954</v>
      </c>
      <c r="H2456">
        <f>VLOOKUP(A2456&amp;B2456,ticker_sector[],2,FALSE)</f>
        <v>20</v>
      </c>
      <c r="I2456">
        <f>VLOOKUP(C2456,year[],2,FALSE)</f>
        <v>6</v>
      </c>
      <c r="J2456">
        <f>VLOOKUP(E2456,showing[],2,FALSE)</f>
        <v>3</v>
      </c>
      <c r="K2456">
        <f>Сектора[[#This Row],[Значение]]</f>
        <v>159770.954</v>
      </c>
      <c r="L2456" t="str">
        <f t="shared" si="38"/>
        <v>INSERT INTO msfo.statements (id_company, id_year, id_showing, value) VALUES (20,6,3,159770,954);</v>
      </c>
    </row>
    <row r="2457" spans="1:12">
      <c r="A2457" s="28" t="s">
        <v>55</v>
      </c>
      <c r="B2457" s="28" t="s">
        <v>53</v>
      </c>
      <c r="C2457" s="28">
        <v>2017</v>
      </c>
      <c r="D2457" s="28" t="s">
        <v>1</v>
      </c>
      <c r="E2457" s="28" t="s">
        <v>5</v>
      </c>
      <c r="F2457" s="28">
        <v>163787.70299999998</v>
      </c>
      <c r="H2457">
        <f>VLOOKUP(A2457&amp;B2457,ticker_sector[],2,FALSE)</f>
        <v>20</v>
      </c>
      <c r="I2457">
        <f>VLOOKUP(C2457,year[],2,FALSE)</f>
        <v>7</v>
      </c>
      <c r="J2457">
        <f>VLOOKUP(E2457,showing[],2,FALSE)</f>
        <v>3</v>
      </c>
      <c r="K2457">
        <f>Сектора[[#This Row],[Значение]]</f>
        <v>163787.70299999998</v>
      </c>
      <c r="L2457" t="str">
        <f t="shared" si="38"/>
        <v>INSERT INTO msfo.statements (id_company, id_year, id_showing, value) VALUES (20,7,3,163787,703);</v>
      </c>
    </row>
    <row r="2458" spans="1:12">
      <c r="A2458" s="28" t="s">
        <v>55</v>
      </c>
      <c r="B2458" s="28" t="s">
        <v>53</v>
      </c>
      <c r="C2458" s="28">
        <v>2010</v>
      </c>
      <c r="D2458" s="28" t="s">
        <v>1</v>
      </c>
      <c r="E2458" s="28" t="s">
        <v>6</v>
      </c>
      <c r="F2458" s="28">
        <v>74647.805999999997</v>
      </c>
      <c r="H2458">
        <f>VLOOKUP(A2458&amp;B2458,ticker_sector[],2,FALSE)</f>
        <v>20</v>
      </c>
      <c r="I2458">
        <f>VLOOKUP(C2458,year[],2,FALSE)</f>
        <v>0</v>
      </c>
      <c r="J2458">
        <f>VLOOKUP(E2458,showing[],2,FALSE)</f>
        <v>4</v>
      </c>
      <c r="K2458">
        <f>Сектора[[#This Row],[Значение]]</f>
        <v>74647.805999999997</v>
      </c>
      <c r="L2458" t="str">
        <f t="shared" si="38"/>
        <v>INSERT INTO msfo.statements (id_company, id_year, id_showing, value) VALUES (20,0,4,74647,806);</v>
      </c>
    </row>
    <row r="2459" spans="1:12">
      <c r="A2459" s="28" t="s">
        <v>55</v>
      </c>
      <c r="B2459" s="28" t="s">
        <v>53</v>
      </c>
      <c r="C2459" s="28">
        <v>2011</v>
      </c>
      <c r="D2459" s="28" t="s">
        <v>1</v>
      </c>
      <c r="E2459" s="28" t="s">
        <v>6</v>
      </c>
      <c r="F2459" s="28">
        <v>84706.574999999997</v>
      </c>
      <c r="H2459">
        <f>VLOOKUP(A2459&amp;B2459,ticker_sector[],2,FALSE)</f>
        <v>20</v>
      </c>
      <c r="I2459">
        <f>VLOOKUP(C2459,year[],2,FALSE)</f>
        <v>1</v>
      </c>
      <c r="J2459">
        <f>VLOOKUP(E2459,showing[],2,FALSE)</f>
        <v>4</v>
      </c>
      <c r="K2459">
        <f>Сектора[[#This Row],[Значение]]</f>
        <v>84706.574999999997</v>
      </c>
      <c r="L2459" t="str">
        <f t="shared" si="38"/>
        <v>INSERT INTO msfo.statements (id_company, id_year, id_showing, value) VALUES (20,1,4,84706,575);</v>
      </c>
    </row>
    <row r="2460" spans="1:12">
      <c r="A2460" s="28" t="s">
        <v>55</v>
      </c>
      <c r="B2460" s="28" t="s">
        <v>53</v>
      </c>
      <c r="C2460" s="28">
        <v>2012</v>
      </c>
      <c r="D2460" s="28" t="s">
        <v>1</v>
      </c>
      <c r="E2460" s="28" t="s">
        <v>6</v>
      </c>
      <c r="F2460" s="28">
        <v>90769.38</v>
      </c>
      <c r="H2460">
        <f>VLOOKUP(A2460&amp;B2460,ticker_sector[],2,FALSE)</f>
        <v>20</v>
      </c>
      <c r="I2460">
        <f>VLOOKUP(C2460,year[],2,FALSE)</f>
        <v>2</v>
      </c>
      <c r="J2460">
        <f>VLOOKUP(E2460,showing[],2,FALSE)</f>
        <v>4</v>
      </c>
      <c r="K2460">
        <f>Сектора[[#This Row],[Значение]]</f>
        <v>90769.38</v>
      </c>
      <c r="L2460" t="str">
        <f t="shared" si="38"/>
        <v>INSERT INTO msfo.statements (id_company, id_year, id_showing, value) VALUES (20,2,4,90769,38);</v>
      </c>
    </row>
    <row r="2461" spans="1:12">
      <c r="A2461" s="28" t="s">
        <v>55</v>
      </c>
      <c r="B2461" s="28" t="s">
        <v>53</v>
      </c>
      <c r="C2461" s="28">
        <v>2013</v>
      </c>
      <c r="D2461" s="28" t="s">
        <v>1</v>
      </c>
      <c r="E2461" s="28" t="s">
        <v>6</v>
      </c>
      <c r="F2461" s="28">
        <v>97114.880000000005</v>
      </c>
      <c r="H2461">
        <f>VLOOKUP(A2461&amp;B2461,ticker_sector[],2,FALSE)</f>
        <v>20</v>
      </c>
      <c r="I2461">
        <f>VLOOKUP(C2461,year[],2,FALSE)</f>
        <v>3</v>
      </c>
      <c r="J2461">
        <f>VLOOKUP(E2461,showing[],2,FALSE)</f>
        <v>4</v>
      </c>
      <c r="K2461">
        <f>Сектора[[#This Row],[Значение]]</f>
        <v>97114.880000000005</v>
      </c>
      <c r="L2461" t="str">
        <f t="shared" si="38"/>
        <v>INSERT INTO msfo.statements (id_company, id_year, id_showing, value) VALUES (20,3,4,97114,88);</v>
      </c>
    </row>
    <row r="2462" spans="1:12">
      <c r="A2462" s="28" t="s">
        <v>55</v>
      </c>
      <c r="B2462" s="28" t="s">
        <v>53</v>
      </c>
      <c r="C2462" s="28">
        <v>2014</v>
      </c>
      <c r="D2462" s="28" t="s">
        <v>1</v>
      </c>
      <c r="E2462" s="28" t="s">
        <v>6</v>
      </c>
      <c r="F2462" s="28">
        <v>100717.067</v>
      </c>
      <c r="H2462">
        <f>VLOOKUP(A2462&amp;B2462,ticker_sector[],2,FALSE)</f>
        <v>20</v>
      </c>
      <c r="I2462">
        <f>VLOOKUP(C2462,year[],2,FALSE)</f>
        <v>4</v>
      </c>
      <c r="J2462">
        <f>VLOOKUP(E2462,showing[],2,FALSE)</f>
        <v>4</v>
      </c>
      <c r="K2462">
        <f>Сектора[[#This Row],[Значение]]</f>
        <v>100717.067</v>
      </c>
      <c r="L2462" t="str">
        <f t="shared" si="38"/>
        <v>INSERT INTO msfo.statements (id_company, id_year, id_showing, value) VALUES (20,4,4,100717,067);</v>
      </c>
    </row>
    <row r="2463" spans="1:12">
      <c r="A2463" s="28" t="s">
        <v>55</v>
      </c>
      <c r="B2463" s="28" t="s">
        <v>53</v>
      </c>
      <c r="C2463" s="28">
        <v>2015</v>
      </c>
      <c r="D2463" s="28" t="s">
        <v>1</v>
      </c>
      <c r="E2463" s="28" t="s">
        <v>6</v>
      </c>
      <c r="F2463" s="28">
        <v>105529.38800000001</v>
      </c>
      <c r="H2463">
        <f>VLOOKUP(A2463&amp;B2463,ticker_sector[],2,FALSE)</f>
        <v>20</v>
      </c>
      <c r="I2463">
        <f>VLOOKUP(C2463,year[],2,FALSE)</f>
        <v>5</v>
      </c>
      <c r="J2463">
        <f>VLOOKUP(E2463,showing[],2,FALSE)</f>
        <v>4</v>
      </c>
      <c r="K2463">
        <f>Сектора[[#This Row],[Значение]]</f>
        <v>105529.38800000001</v>
      </c>
      <c r="L2463" t="str">
        <f t="shared" si="38"/>
        <v>INSERT INTO msfo.statements (id_company, id_year, id_showing, value) VALUES (20,5,4,105529,388);</v>
      </c>
    </row>
    <row r="2464" spans="1:12">
      <c r="A2464" s="28" t="s">
        <v>55</v>
      </c>
      <c r="B2464" s="28" t="s">
        <v>53</v>
      </c>
      <c r="C2464" s="28">
        <v>2016</v>
      </c>
      <c r="D2464" s="28" t="s">
        <v>1</v>
      </c>
      <c r="E2464" s="28" t="s">
        <v>6</v>
      </c>
      <c r="F2464" s="28">
        <v>109983.872</v>
      </c>
      <c r="H2464">
        <f>VLOOKUP(A2464&amp;B2464,ticker_sector[],2,FALSE)</f>
        <v>20</v>
      </c>
      <c r="I2464">
        <f>VLOOKUP(C2464,year[],2,FALSE)</f>
        <v>6</v>
      </c>
      <c r="J2464">
        <f>VLOOKUP(E2464,showing[],2,FALSE)</f>
        <v>4</v>
      </c>
      <c r="K2464">
        <f>Сектора[[#This Row],[Значение]]</f>
        <v>109983.872</v>
      </c>
      <c r="L2464" t="str">
        <f t="shared" si="38"/>
        <v>INSERT INTO msfo.statements (id_company, id_year, id_showing, value) VALUES (20,6,4,109983,872);</v>
      </c>
    </row>
    <row r="2465" spans="1:12">
      <c r="A2465" s="28" t="s">
        <v>55</v>
      </c>
      <c r="B2465" s="28" t="s">
        <v>53</v>
      </c>
      <c r="C2465" s="28">
        <v>2017</v>
      </c>
      <c r="D2465" s="28" t="s">
        <v>1</v>
      </c>
      <c r="E2465" s="28" t="s">
        <v>6</v>
      </c>
      <c r="F2465" s="28">
        <v>116459.239</v>
      </c>
      <c r="H2465">
        <f>VLOOKUP(A2465&amp;B2465,ticker_sector[],2,FALSE)</f>
        <v>20</v>
      </c>
      <c r="I2465">
        <f>VLOOKUP(C2465,year[],2,FALSE)</f>
        <v>7</v>
      </c>
      <c r="J2465">
        <f>VLOOKUP(E2465,showing[],2,FALSE)</f>
        <v>4</v>
      </c>
      <c r="K2465">
        <f>Сектора[[#This Row],[Значение]]</f>
        <v>116459.239</v>
      </c>
      <c r="L2465" t="str">
        <f t="shared" si="38"/>
        <v>INSERT INTO msfo.statements (id_company, id_year, id_showing, value) VALUES (20,7,4,116459,239);</v>
      </c>
    </row>
    <row r="2466" spans="1:12">
      <c r="A2466" s="28" t="s">
        <v>55</v>
      </c>
      <c r="B2466" s="28" t="s">
        <v>53</v>
      </c>
      <c r="C2466" s="28">
        <v>2010</v>
      </c>
      <c r="D2466" s="28" t="s">
        <v>1</v>
      </c>
      <c r="E2466" s="28" t="s">
        <v>8</v>
      </c>
      <c r="F2466" s="28">
        <v>23083.116999999998</v>
      </c>
      <c r="H2466">
        <f>VLOOKUP(A2466&amp;B2466,ticker_sector[],2,FALSE)</f>
        <v>20</v>
      </c>
      <c r="I2466">
        <f>VLOOKUP(C2466,year[],2,FALSE)</f>
        <v>0</v>
      </c>
      <c r="J2466">
        <f>VLOOKUP(E2466,showing[],2,FALSE)</f>
        <v>5</v>
      </c>
      <c r="K2466">
        <f>Сектора[[#This Row],[Значение]]</f>
        <v>23083.116999999998</v>
      </c>
      <c r="L2466" t="str">
        <f t="shared" si="38"/>
        <v>INSERT INTO msfo.statements (id_company, id_year, id_showing, value) VALUES (20,0,5,23083,117);</v>
      </c>
    </row>
    <row r="2467" spans="1:12">
      <c r="A2467" s="28" t="s">
        <v>55</v>
      </c>
      <c r="B2467" s="28" t="s">
        <v>53</v>
      </c>
      <c r="C2467" s="28">
        <v>2011</v>
      </c>
      <c r="D2467" s="28" t="s">
        <v>1</v>
      </c>
      <c r="E2467" s="28" t="s">
        <v>8</v>
      </c>
      <c r="F2467" s="28">
        <v>31978.350999999999</v>
      </c>
      <c r="H2467">
        <f>VLOOKUP(A2467&amp;B2467,ticker_sector[],2,FALSE)</f>
        <v>20</v>
      </c>
      <c r="I2467">
        <f>VLOOKUP(C2467,year[],2,FALSE)</f>
        <v>1</v>
      </c>
      <c r="J2467">
        <f>VLOOKUP(E2467,showing[],2,FALSE)</f>
        <v>5</v>
      </c>
      <c r="K2467">
        <f>Сектора[[#This Row],[Значение]]</f>
        <v>31978.350999999999</v>
      </c>
      <c r="L2467" t="str">
        <f t="shared" si="38"/>
        <v>INSERT INTO msfo.statements (id_company, id_year, id_showing, value) VALUES (20,1,5,31978,351);</v>
      </c>
    </row>
    <row r="2468" spans="1:12">
      <c r="A2468" s="28" t="s">
        <v>55</v>
      </c>
      <c r="B2468" s="28" t="s">
        <v>53</v>
      </c>
      <c r="C2468" s="28">
        <v>2012</v>
      </c>
      <c r="D2468" s="28" t="s">
        <v>1</v>
      </c>
      <c r="E2468" s="28" t="s">
        <v>8</v>
      </c>
      <c r="F2468" s="28">
        <v>37243.616000000002</v>
      </c>
      <c r="H2468">
        <f>VLOOKUP(A2468&amp;B2468,ticker_sector[],2,FALSE)</f>
        <v>20</v>
      </c>
      <c r="I2468">
        <f>VLOOKUP(C2468,year[],2,FALSE)</f>
        <v>2</v>
      </c>
      <c r="J2468">
        <f>VLOOKUP(E2468,showing[],2,FALSE)</f>
        <v>5</v>
      </c>
      <c r="K2468">
        <f>Сектора[[#This Row],[Значение]]</f>
        <v>37243.616000000002</v>
      </c>
      <c r="L2468" t="str">
        <f t="shared" si="38"/>
        <v>INSERT INTO msfo.statements (id_company, id_year, id_showing, value) VALUES (20,2,5,37243,616);</v>
      </c>
    </row>
    <row r="2469" spans="1:12">
      <c r="A2469" s="28" t="s">
        <v>55</v>
      </c>
      <c r="B2469" s="28" t="s">
        <v>53</v>
      </c>
      <c r="C2469" s="28">
        <v>2013</v>
      </c>
      <c r="D2469" s="28" t="s">
        <v>1</v>
      </c>
      <c r="E2469" s="28" t="s">
        <v>8</v>
      </c>
      <c r="F2469" s="28">
        <v>33047.408000000003</v>
      </c>
      <c r="H2469">
        <f>VLOOKUP(A2469&amp;B2469,ticker_sector[],2,FALSE)</f>
        <v>20</v>
      </c>
      <c r="I2469">
        <f>VLOOKUP(C2469,year[],2,FALSE)</f>
        <v>3</v>
      </c>
      <c r="J2469">
        <f>VLOOKUP(E2469,showing[],2,FALSE)</f>
        <v>5</v>
      </c>
      <c r="K2469">
        <f>Сектора[[#This Row],[Значение]]</f>
        <v>33047.408000000003</v>
      </c>
      <c r="L2469" t="str">
        <f t="shared" si="38"/>
        <v>INSERT INTO msfo.statements (id_company, id_year, id_showing, value) VALUES (20,3,5,33047,408);</v>
      </c>
    </row>
    <row r="2470" spans="1:12">
      <c r="A2470" s="28" t="s">
        <v>55</v>
      </c>
      <c r="B2470" s="28" t="s">
        <v>53</v>
      </c>
      <c r="C2470" s="28">
        <v>2014</v>
      </c>
      <c r="D2470" s="28" t="s">
        <v>1</v>
      </c>
      <c r="E2470" s="28" t="s">
        <v>8</v>
      </c>
      <c r="F2470" s="28">
        <v>32451.723999999998</v>
      </c>
      <c r="H2470">
        <f>VLOOKUP(A2470&amp;B2470,ticker_sector[],2,FALSE)</f>
        <v>20</v>
      </c>
      <c r="I2470">
        <f>VLOOKUP(C2470,year[],2,FALSE)</f>
        <v>4</v>
      </c>
      <c r="J2470">
        <f>VLOOKUP(E2470,showing[],2,FALSE)</f>
        <v>5</v>
      </c>
      <c r="K2470">
        <f>Сектора[[#This Row],[Значение]]</f>
        <v>32451.723999999998</v>
      </c>
      <c r="L2470" t="str">
        <f t="shared" si="38"/>
        <v>INSERT INTO msfo.statements (id_company, id_year, id_showing, value) VALUES (20,4,5,32451,724);</v>
      </c>
    </row>
    <row r="2471" spans="1:12">
      <c r="A2471" s="28" t="s">
        <v>55</v>
      </c>
      <c r="B2471" s="28" t="s">
        <v>53</v>
      </c>
      <c r="C2471" s="28">
        <v>2015</v>
      </c>
      <c r="D2471" s="28" t="s">
        <v>1</v>
      </c>
      <c r="E2471" s="28" t="s">
        <v>8</v>
      </c>
      <c r="F2471" s="28">
        <v>28777.100999999999</v>
      </c>
      <c r="H2471">
        <f>VLOOKUP(A2471&amp;B2471,ticker_sector[],2,FALSE)</f>
        <v>20</v>
      </c>
      <c r="I2471">
        <f>VLOOKUP(C2471,year[],2,FALSE)</f>
        <v>5</v>
      </c>
      <c r="J2471">
        <f>VLOOKUP(E2471,showing[],2,FALSE)</f>
        <v>5</v>
      </c>
      <c r="K2471">
        <f>Сектора[[#This Row],[Значение]]</f>
        <v>28777.100999999999</v>
      </c>
      <c r="L2471" t="str">
        <f t="shared" si="38"/>
        <v>INSERT INTO msfo.statements (id_company, id_year, id_showing, value) VALUES (20,5,5,28777,101);</v>
      </c>
    </row>
    <row r="2472" spans="1:12">
      <c r="A2472" s="28" t="s">
        <v>55</v>
      </c>
      <c r="B2472" s="28" t="s">
        <v>53</v>
      </c>
      <c r="C2472" s="28">
        <v>2016</v>
      </c>
      <c r="D2472" s="28" t="s">
        <v>1</v>
      </c>
      <c r="E2472" s="28" t="s">
        <v>8</v>
      </c>
      <c r="F2472" s="28">
        <v>29014.258999999998</v>
      </c>
      <c r="H2472">
        <f>VLOOKUP(A2472&amp;B2472,ticker_sector[],2,FALSE)</f>
        <v>20</v>
      </c>
      <c r="I2472">
        <f>VLOOKUP(C2472,year[],2,FALSE)</f>
        <v>6</v>
      </c>
      <c r="J2472">
        <f>VLOOKUP(E2472,showing[],2,FALSE)</f>
        <v>5</v>
      </c>
      <c r="K2472">
        <f>Сектора[[#This Row],[Значение]]</f>
        <v>29014.258999999998</v>
      </c>
      <c r="L2472" t="str">
        <f t="shared" si="38"/>
        <v>INSERT INTO msfo.statements (id_company, id_year, id_showing, value) VALUES (20,6,5,29014,259);</v>
      </c>
    </row>
    <row r="2473" spans="1:12">
      <c r="A2473" s="28" t="s">
        <v>55</v>
      </c>
      <c r="B2473" s="28" t="s">
        <v>53</v>
      </c>
      <c r="C2473" s="28">
        <v>2017</v>
      </c>
      <c r="D2473" s="28" t="s">
        <v>1</v>
      </c>
      <c r="E2473" s="28" t="s">
        <v>8</v>
      </c>
      <c r="F2473" s="28">
        <v>28630.240000000002</v>
      </c>
      <c r="H2473">
        <f>VLOOKUP(A2473&amp;B2473,ticker_sector[],2,FALSE)</f>
        <v>20</v>
      </c>
      <c r="I2473">
        <f>VLOOKUP(C2473,year[],2,FALSE)</f>
        <v>7</v>
      </c>
      <c r="J2473">
        <f>VLOOKUP(E2473,showing[],2,FALSE)</f>
        <v>5</v>
      </c>
      <c r="K2473">
        <f>Сектора[[#This Row],[Значение]]</f>
        <v>28630.240000000002</v>
      </c>
      <c r="L2473" t="str">
        <f t="shared" si="38"/>
        <v>INSERT INTO msfo.statements (id_company, id_year, id_showing, value) VALUES (20,7,5,28630,24);</v>
      </c>
    </row>
    <row r="2474" spans="1:12">
      <c r="A2474" s="28" t="s">
        <v>55</v>
      </c>
      <c r="B2474" s="28" t="s">
        <v>53</v>
      </c>
      <c r="C2474" s="28">
        <v>2010</v>
      </c>
      <c r="D2474" s="28" t="s">
        <v>1</v>
      </c>
      <c r="E2474" s="28" t="s">
        <v>9</v>
      </c>
      <c r="F2474" s="28">
        <v>15633.905000000001</v>
      </c>
      <c r="H2474">
        <f>VLOOKUP(A2474&amp;B2474,ticker_sector[],2,FALSE)</f>
        <v>20</v>
      </c>
      <c r="I2474">
        <f>VLOOKUP(C2474,year[],2,FALSE)</f>
        <v>0</v>
      </c>
      <c r="J2474">
        <f>VLOOKUP(E2474,showing[],2,FALSE)</f>
        <v>6</v>
      </c>
      <c r="K2474">
        <f>Сектора[[#This Row],[Значение]]</f>
        <v>15633.905000000001</v>
      </c>
      <c r="L2474" t="str">
        <f t="shared" si="38"/>
        <v>INSERT INTO msfo.statements (id_company, id_year, id_showing, value) VALUES (20,0,6,15633,905);</v>
      </c>
    </row>
    <row r="2475" spans="1:12">
      <c r="A2475" s="28" t="s">
        <v>55</v>
      </c>
      <c r="B2475" s="28" t="s">
        <v>53</v>
      </c>
      <c r="C2475" s="28">
        <v>2011</v>
      </c>
      <c r="D2475" s="28" t="s">
        <v>1</v>
      </c>
      <c r="E2475" s="28" t="s">
        <v>9</v>
      </c>
      <c r="F2475" s="28">
        <v>21257.208999999999</v>
      </c>
      <c r="H2475">
        <f>VLOOKUP(A2475&amp;B2475,ticker_sector[],2,FALSE)</f>
        <v>20</v>
      </c>
      <c r="I2475">
        <f>VLOOKUP(C2475,year[],2,FALSE)</f>
        <v>1</v>
      </c>
      <c r="J2475">
        <f>VLOOKUP(E2475,showing[],2,FALSE)</f>
        <v>6</v>
      </c>
      <c r="K2475">
        <f>Сектора[[#This Row],[Значение]]</f>
        <v>21257.208999999999</v>
      </c>
      <c r="L2475" t="str">
        <f t="shared" si="38"/>
        <v>INSERT INTO msfo.statements (id_company, id_year, id_showing, value) VALUES (20,1,6,21257,209);</v>
      </c>
    </row>
    <row r="2476" spans="1:12">
      <c r="A2476" s="28" t="s">
        <v>55</v>
      </c>
      <c r="B2476" s="28" t="s">
        <v>53</v>
      </c>
      <c r="C2476" s="28">
        <v>2012</v>
      </c>
      <c r="D2476" s="28" t="s">
        <v>1</v>
      </c>
      <c r="E2476" s="28" t="s">
        <v>9</v>
      </c>
      <c r="F2476" s="28">
        <v>19922.89</v>
      </c>
      <c r="H2476">
        <f>VLOOKUP(A2476&amp;B2476,ticker_sector[],2,FALSE)</f>
        <v>20</v>
      </c>
      <c r="I2476">
        <f>VLOOKUP(C2476,year[],2,FALSE)</f>
        <v>2</v>
      </c>
      <c r="J2476">
        <f>VLOOKUP(E2476,showing[],2,FALSE)</f>
        <v>6</v>
      </c>
      <c r="K2476">
        <f>Сектора[[#This Row],[Значение]]</f>
        <v>19922.89</v>
      </c>
      <c r="L2476" t="str">
        <f t="shared" si="38"/>
        <v>INSERT INTO msfo.statements (id_company, id_year, id_showing, value) VALUES (20,2,6,19922,89);</v>
      </c>
    </row>
    <row r="2477" spans="1:12">
      <c r="A2477" s="28" t="s">
        <v>55</v>
      </c>
      <c r="B2477" s="28" t="s">
        <v>53</v>
      </c>
      <c r="C2477" s="28">
        <v>2013</v>
      </c>
      <c r="D2477" s="28" t="s">
        <v>1</v>
      </c>
      <c r="E2477" s="28" t="s">
        <v>9</v>
      </c>
      <c r="F2477" s="28">
        <v>20439.48</v>
      </c>
      <c r="H2477">
        <f>VLOOKUP(A2477&amp;B2477,ticker_sector[],2,FALSE)</f>
        <v>20</v>
      </c>
      <c r="I2477">
        <f>VLOOKUP(C2477,year[],2,FALSE)</f>
        <v>3</v>
      </c>
      <c r="J2477">
        <f>VLOOKUP(E2477,showing[],2,FALSE)</f>
        <v>6</v>
      </c>
      <c r="K2477">
        <f>Сектора[[#This Row],[Значение]]</f>
        <v>20439.48</v>
      </c>
      <c r="L2477" t="str">
        <f t="shared" si="38"/>
        <v>INSERT INTO msfo.statements (id_company, id_year, id_showing, value) VALUES (20,3,6,20439,48);</v>
      </c>
    </row>
    <row r="2478" spans="1:12">
      <c r="A2478" s="28" t="s">
        <v>55</v>
      </c>
      <c r="B2478" s="28" t="s">
        <v>53</v>
      </c>
      <c r="C2478" s="28">
        <v>2014</v>
      </c>
      <c r="D2478" s="28" t="s">
        <v>1</v>
      </c>
      <c r="E2478" s="28" t="s">
        <v>9</v>
      </c>
      <c r="F2478" s="28">
        <v>17161.213</v>
      </c>
      <c r="H2478">
        <f>VLOOKUP(A2478&amp;B2478,ticker_sector[],2,FALSE)</f>
        <v>20</v>
      </c>
      <c r="I2478">
        <f>VLOOKUP(C2478,year[],2,FALSE)</f>
        <v>4</v>
      </c>
      <c r="J2478">
        <f>VLOOKUP(E2478,showing[],2,FALSE)</f>
        <v>6</v>
      </c>
      <c r="K2478">
        <f>Сектора[[#This Row],[Значение]]</f>
        <v>17161.213</v>
      </c>
      <c r="L2478" t="str">
        <f t="shared" si="38"/>
        <v>INSERT INTO msfo.statements (id_company, id_year, id_showing, value) VALUES (20,4,6,17161,213);</v>
      </c>
    </row>
    <row r="2479" spans="1:12">
      <c r="A2479" s="28" t="s">
        <v>55</v>
      </c>
      <c r="B2479" s="28" t="s">
        <v>53</v>
      </c>
      <c r="C2479" s="28">
        <v>2015</v>
      </c>
      <c r="D2479" s="28" t="s">
        <v>1</v>
      </c>
      <c r="E2479" s="28" t="s">
        <v>9</v>
      </c>
      <c r="F2479" s="28">
        <v>20588.29</v>
      </c>
      <c r="H2479">
        <f>VLOOKUP(A2479&amp;B2479,ticker_sector[],2,FALSE)</f>
        <v>20</v>
      </c>
      <c r="I2479">
        <f>VLOOKUP(C2479,year[],2,FALSE)</f>
        <v>5</v>
      </c>
      <c r="J2479">
        <f>VLOOKUP(E2479,showing[],2,FALSE)</f>
        <v>6</v>
      </c>
      <c r="K2479">
        <f>Сектора[[#This Row],[Значение]]</f>
        <v>20588.29</v>
      </c>
      <c r="L2479" t="str">
        <f t="shared" si="38"/>
        <v>INSERT INTO msfo.statements (id_company, id_year, id_showing, value) VALUES (20,5,6,20588,29);</v>
      </c>
    </row>
    <row r="2480" spans="1:12">
      <c r="A2480" s="28" t="s">
        <v>55</v>
      </c>
      <c r="B2480" s="28" t="s">
        <v>53</v>
      </c>
      <c r="C2480" s="28">
        <v>2016</v>
      </c>
      <c r="D2480" s="28" t="s">
        <v>1</v>
      </c>
      <c r="E2480" s="28" t="s">
        <v>9</v>
      </c>
      <c r="F2480" s="28">
        <v>20772.823</v>
      </c>
      <c r="H2480">
        <f>VLOOKUP(A2480&amp;B2480,ticker_sector[],2,FALSE)</f>
        <v>20</v>
      </c>
      <c r="I2480">
        <f>VLOOKUP(C2480,year[],2,FALSE)</f>
        <v>6</v>
      </c>
      <c r="J2480">
        <f>VLOOKUP(E2480,showing[],2,FALSE)</f>
        <v>6</v>
      </c>
      <c r="K2480">
        <f>Сектора[[#This Row],[Значение]]</f>
        <v>20772.823</v>
      </c>
      <c r="L2480" t="str">
        <f t="shared" si="38"/>
        <v>INSERT INTO msfo.statements (id_company, id_year, id_showing, value) VALUES (20,6,6,20772,823);</v>
      </c>
    </row>
    <row r="2481" spans="1:12">
      <c r="A2481" s="28" t="s">
        <v>55</v>
      </c>
      <c r="B2481" s="28" t="s">
        <v>53</v>
      </c>
      <c r="C2481" s="28">
        <v>2017</v>
      </c>
      <c r="D2481" s="28" t="s">
        <v>1</v>
      </c>
      <c r="E2481" s="28" t="s">
        <v>9</v>
      </c>
      <c r="F2481" s="28">
        <v>18698.223999999998</v>
      </c>
      <c r="H2481">
        <f>VLOOKUP(A2481&amp;B2481,ticker_sector[],2,FALSE)</f>
        <v>20</v>
      </c>
      <c r="I2481">
        <f>VLOOKUP(C2481,year[],2,FALSE)</f>
        <v>7</v>
      </c>
      <c r="J2481">
        <f>VLOOKUP(E2481,showing[],2,FALSE)</f>
        <v>6</v>
      </c>
      <c r="K2481">
        <f>Сектора[[#This Row],[Значение]]</f>
        <v>18698.223999999998</v>
      </c>
      <c r="L2481" t="str">
        <f t="shared" si="38"/>
        <v>INSERT INTO msfo.statements (id_company, id_year, id_showing, value) VALUES (20,7,6,18698,224);</v>
      </c>
    </row>
    <row r="2482" spans="1:12">
      <c r="A2482" s="28" t="s">
        <v>55</v>
      </c>
      <c r="B2482" s="28" t="s">
        <v>53</v>
      </c>
      <c r="C2482" s="28">
        <v>2010</v>
      </c>
      <c r="D2482" s="28" t="s">
        <v>1</v>
      </c>
      <c r="E2482" s="28" t="s">
        <v>10</v>
      </c>
      <c r="F2482" s="28">
        <v>113364.82799999999</v>
      </c>
      <c r="H2482">
        <f>VLOOKUP(A2482&amp;B2482,ticker_sector[],2,FALSE)</f>
        <v>20</v>
      </c>
      <c r="I2482">
        <f>VLOOKUP(C2482,year[],2,FALSE)</f>
        <v>0</v>
      </c>
      <c r="J2482">
        <f>VLOOKUP(E2482,showing[],2,FALSE)</f>
        <v>7</v>
      </c>
      <c r="K2482">
        <f>Сектора[[#This Row],[Значение]]</f>
        <v>113364.82799999999</v>
      </c>
      <c r="L2482" t="str">
        <f t="shared" si="38"/>
        <v>INSERT INTO msfo.statements (id_company, id_year, id_showing, value) VALUES (20,0,7,113364,828);</v>
      </c>
    </row>
    <row r="2483" spans="1:12">
      <c r="A2483" s="28" t="s">
        <v>55</v>
      </c>
      <c r="B2483" s="28" t="s">
        <v>53</v>
      </c>
      <c r="C2483" s="28">
        <v>2011</v>
      </c>
      <c r="D2483" s="28" t="s">
        <v>1</v>
      </c>
      <c r="E2483" s="28" t="s">
        <v>10</v>
      </c>
      <c r="F2483" s="28">
        <v>137942.13500000001</v>
      </c>
      <c r="H2483">
        <f>VLOOKUP(A2483&amp;B2483,ticker_sector[],2,FALSE)</f>
        <v>20</v>
      </c>
      <c r="I2483">
        <f>VLOOKUP(C2483,year[],2,FALSE)</f>
        <v>1</v>
      </c>
      <c r="J2483">
        <f>VLOOKUP(E2483,showing[],2,FALSE)</f>
        <v>7</v>
      </c>
      <c r="K2483">
        <f>Сектора[[#This Row],[Значение]]</f>
        <v>137942.13500000001</v>
      </c>
      <c r="L2483" t="str">
        <f t="shared" si="38"/>
        <v>INSERT INTO msfo.statements (id_company, id_year, id_showing, value) VALUES (20,1,7,137942,135);</v>
      </c>
    </row>
    <row r="2484" spans="1:12">
      <c r="A2484" s="28" t="s">
        <v>55</v>
      </c>
      <c r="B2484" s="28" t="s">
        <v>53</v>
      </c>
      <c r="C2484" s="28">
        <v>2012</v>
      </c>
      <c r="D2484" s="28" t="s">
        <v>1</v>
      </c>
      <c r="E2484" s="28" t="s">
        <v>10</v>
      </c>
      <c r="F2484" s="28">
        <v>147935.886</v>
      </c>
      <c r="H2484">
        <f>VLOOKUP(A2484&amp;B2484,ticker_sector[],2,FALSE)</f>
        <v>20</v>
      </c>
      <c r="I2484">
        <f>VLOOKUP(C2484,year[],2,FALSE)</f>
        <v>2</v>
      </c>
      <c r="J2484">
        <f>VLOOKUP(E2484,showing[],2,FALSE)</f>
        <v>7</v>
      </c>
      <c r="K2484">
        <f>Сектора[[#This Row],[Значение]]</f>
        <v>147935.886</v>
      </c>
      <c r="L2484" t="str">
        <f t="shared" si="38"/>
        <v>INSERT INTO msfo.statements (id_company, id_year, id_showing, value) VALUES (20,2,7,147935,886);</v>
      </c>
    </row>
    <row r="2485" spans="1:12">
      <c r="A2485" s="28" t="s">
        <v>55</v>
      </c>
      <c r="B2485" s="28" t="s">
        <v>53</v>
      </c>
      <c r="C2485" s="28">
        <v>2013</v>
      </c>
      <c r="D2485" s="28" t="s">
        <v>1</v>
      </c>
      <c r="E2485" s="28" t="s">
        <v>10</v>
      </c>
      <c r="F2485" s="28">
        <v>150601.76800000001</v>
      </c>
      <c r="H2485">
        <f>VLOOKUP(A2485&amp;B2485,ticker_sector[],2,FALSE)</f>
        <v>20</v>
      </c>
      <c r="I2485">
        <f>VLOOKUP(C2485,year[],2,FALSE)</f>
        <v>3</v>
      </c>
      <c r="J2485">
        <f>VLOOKUP(E2485,showing[],2,FALSE)</f>
        <v>7</v>
      </c>
      <c r="K2485">
        <f>Сектора[[#This Row],[Значение]]</f>
        <v>150601.76800000001</v>
      </c>
      <c r="L2485" t="str">
        <f t="shared" si="38"/>
        <v>INSERT INTO msfo.statements (id_company, id_year, id_showing, value) VALUES (20,3,7,150601,768);</v>
      </c>
    </row>
    <row r="2486" spans="1:12">
      <c r="A2486" s="28" t="s">
        <v>55</v>
      </c>
      <c r="B2486" s="28" t="s">
        <v>53</v>
      </c>
      <c r="C2486" s="28">
        <v>2014</v>
      </c>
      <c r="D2486" s="28" t="s">
        <v>1</v>
      </c>
      <c r="E2486" s="28" t="s">
        <v>10</v>
      </c>
      <c r="F2486" s="28">
        <v>150330.00399999999</v>
      </c>
      <c r="H2486">
        <f>VLOOKUP(A2486&amp;B2486,ticker_sector[],2,FALSE)</f>
        <v>20</v>
      </c>
      <c r="I2486">
        <f>VLOOKUP(C2486,year[],2,FALSE)</f>
        <v>4</v>
      </c>
      <c r="J2486">
        <f>VLOOKUP(E2486,showing[],2,FALSE)</f>
        <v>7</v>
      </c>
      <c r="K2486">
        <f>Сектора[[#This Row],[Значение]]</f>
        <v>150330.00399999999</v>
      </c>
      <c r="L2486" t="str">
        <f t="shared" si="38"/>
        <v>INSERT INTO msfo.statements (id_company, id_year, id_showing, value) VALUES (20,4,7,150330,004);</v>
      </c>
    </row>
    <row r="2487" spans="1:12">
      <c r="A2487" s="28" t="s">
        <v>55</v>
      </c>
      <c r="B2487" s="28" t="s">
        <v>53</v>
      </c>
      <c r="C2487" s="28">
        <v>2015</v>
      </c>
      <c r="D2487" s="28" t="s">
        <v>1</v>
      </c>
      <c r="E2487" s="28" t="s">
        <v>10</v>
      </c>
      <c r="F2487" s="28">
        <v>154894.77900000001</v>
      </c>
      <c r="H2487">
        <f>VLOOKUP(A2487&amp;B2487,ticker_sector[],2,FALSE)</f>
        <v>20</v>
      </c>
      <c r="I2487">
        <f>VLOOKUP(C2487,year[],2,FALSE)</f>
        <v>5</v>
      </c>
      <c r="J2487">
        <f>VLOOKUP(E2487,showing[],2,FALSE)</f>
        <v>7</v>
      </c>
      <c r="K2487">
        <f>Сектора[[#This Row],[Значение]]</f>
        <v>154894.77900000001</v>
      </c>
      <c r="L2487" t="str">
        <f t="shared" si="38"/>
        <v>INSERT INTO msfo.statements (id_company, id_year, id_showing, value) VALUES (20,5,7,154894,779);</v>
      </c>
    </row>
    <row r="2488" spans="1:12">
      <c r="A2488" s="28" t="s">
        <v>55</v>
      </c>
      <c r="B2488" s="28" t="s">
        <v>53</v>
      </c>
      <c r="C2488" s="28">
        <v>2016</v>
      </c>
      <c r="D2488" s="28" t="s">
        <v>1</v>
      </c>
      <c r="E2488" s="28" t="s">
        <v>10</v>
      </c>
      <c r="F2488" s="28">
        <v>159770.954</v>
      </c>
      <c r="H2488">
        <f>VLOOKUP(A2488&amp;B2488,ticker_sector[],2,FALSE)</f>
        <v>20</v>
      </c>
      <c r="I2488">
        <f>VLOOKUP(C2488,year[],2,FALSE)</f>
        <v>6</v>
      </c>
      <c r="J2488">
        <f>VLOOKUP(E2488,showing[],2,FALSE)</f>
        <v>7</v>
      </c>
      <c r="K2488">
        <f>Сектора[[#This Row],[Значение]]</f>
        <v>159770.954</v>
      </c>
      <c r="L2488" t="str">
        <f t="shared" si="38"/>
        <v>INSERT INTO msfo.statements (id_company, id_year, id_showing, value) VALUES (20,6,7,159770,954);</v>
      </c>
    </row>
    <row r="2489" spans="1:12">
      <c r="A2489" s="28" t="s">
        <v>55</v>
      </c>
      <c r="B2489" s="28" t="s">
        <v>53</v>
      </c>
      <c r="C2489" s="28">
        <v>2017</v>
      </c>
      <c r="D2489" s="28" t="s">
        <v>1</v>
      </c>
      <c r="E2489" s="28" t="s">
        <v>10</v>
      </c>
      <c r="F2489" s="28">
        <v>163787.70300000001</v>
      </c>
      <c r="H2489">
        <f>VLOOKUP(A2489&amp;B2489,ticker_sector[],2,FALSE)</f>
        <v>20</v>
      </c>
      <c r="I2489">
        <f>VLOOKUP(C2489,year[],2,FALSE)</f>
        <v>7</v>
      </c>
      <c r="J2489">
        <f>VLOOKUP(E2489,showing[],2,FALSE)</f>
        <v>7</v>
      </c>
      <c r="K2489">
        <f>Сектора[[#This Row],[Значение]]</f>
        <v>163787.70300000001</v>
      </c>
      <c r="L2489" t="str">
        <f t="shared" si="38"/>
        <v>INSERT INTO msfo.statements (id_company, id_year, id_showing, value) VALUES (20,7,7,163787,703);</v>
      </c>
    </row>
    <row r="2490" spans="1:12">
      <c r="A2490" s="28" t="s">
        <v>55</v>
      </c>
      <c r="B2490" s="28" t="s">
        <v>53</v>
      </c>
      <c r="C2490" s="28">
        <v>2010</v>
      </c>
      <c r="D2490" s="28" t="s">
        <v>1</v>
      </c>
      <c r="E2490" s="28" t="s">
        <v>11</v>
      </c>
      <c r="F2490" s="28">
        <v>0.34152587432144299</v>
      </c>
      <c r="H2490">
        <f>VLOOKUP(A2490&amp;B2490,ticker_sector[],2,FALSE)</f>
        <v>20</v>
      </c>
      <c r="I2490">
        <f>VLOOKUP(C2490,year[],2,FALSE)</f>
        <v>0</v>
      </c>
      <c r="J2490">
        <f>VLOOKUP(E2490,showing[],2,FALSE)</f>
        <v>8</v>
      </c>
      <c r="K2490">
        <f>Сектора[[#This Row],[Значение]]</f>
        <v>0.34152587432144299</v>
      </c>
      <c r="L2490" t="str">
        <f t="shared" si="38"/>
        <v>INSERT INTO msfo.statements (id_company, id_year, id_showing, value) VALUES (20,0,8,0,341525874321443);</v>
      </c>
    </row>
    <row r="2491" spans="1:12">
      <c r="A2491" s="28" t="s">
        <v>55</v>
      </c>
      <c r="B2491" s="28" t="s">
        <v>53</v>
      </c>
      <c r="C2491" s="28">
        <v>2011</v>
      </c>
      <c r="D2491" s="28" t="s">
        <v>1</v>
      </c>
      <c r="E2491" s="28" t="s">
        <v>11</v>
      </c>
      <c r="F2491" s="28">
        <v>0.38592675109748009</v>
      </c>
      <c r="H2491">
        <f>VLOOKUP(A2491&amp;B2491,ticker_sector[],2,FALSE)</f>
        <v>20</v>
      </c>
      <c r="I2491">
        <f>VLOOKUP(C2491,year[],2,FALSE)</f>
        <v>1</v>
      </c>
      <c r="J2491">
        <f>VLOOKUP(E2491,showing[],2,FALSE)</f>
        <v>8</v>
      </c>
      <c r="K2491">
        <f>Сектора[[#This Row],[Значение]]</f>
        <v>0.38592675109748009</v>
      </c>
      <c r="L2491" t="str">
        <f t="shared" si="38"/>
        <v>INSERT INTO msfo.statements (id_company, id_year, id_showing, value) VALUES (20,1,8,0,38592675109748);</v>
      </c>
    </row>
    <row r="2492" spans="1:12">
      <c r="A2492" s="28" t="s">
        <v>55</v>
      </c>
      <c r="B2492" s="28" t="s">
        <v>53</v>
      </c>
      <c r="C2492" s="28">
        <v>2012</v>
      </c>
      <c r="D2492" s="28" t="s">
        <v>1</v>
      </c>
      <c r="E2492" s="28" t="s">
        <v>11</v>
      </c>
      <c r="F2492" s="28">
        <v>0.38642757714649439</v>
      </c>
      <c r="H2492">
        <f>VLOOKUP(A2492&amp;B2492,ticker_sector[],2,FALSE)</f>
        <v>20</v>
      </c>
      <c r="I2492">
        <f>VLOOKUP(C2492,year[],2,FALSE)</f>
        <v>2</v>
      </c>
      <c r="J2492">
        <f>VLOOKUP(E2492,showing[],2,FALSE)</f>
        <v>8</v>
      </c>
      <c r="K2492">
        <f>Сектора[[#This Row],[Значение]]</f>
        <v>0.38642757714649439</v>
      </c>
      <c r="L2492" t="str">
        <f t="shared" si="38"/>
        <v>INSERT INTO msfo.statements (id_company, id_year, id_showing, value) VALUES (20,2,8,0,386427577146494);</v>
      </c>
    </row>
    <row r="2493" spans="1:12">
      <c r="A2493" s="28" t="s">
        <v>55</v>
      </c>
      <c r="B2493" s="28" t="s">
        <v>53</v>
      </c>
      <c r="C2493" s="28">
        <v>2013</v>
      </c>
      <c r="D2493" s="28" t="s">
        <v>1</v>
      </c>
      <c r="E2493" s="28" t="s">
        <v>11</v>
      </c>
      <c r="F2493" s="28">
        <v>0.35515444944842878</v>
      </c>
      <c r="H2493">
        <f>VLOOKUP(A2493&amp;B2493,ticker_sector[],2,FALSE)</f>
        <v>20</v>
      </c>
      <c r="I2493">
        <f>VLOOKUP(C2493,year[],2,FALSE)</f>
        <v>3</v>
      </c>
      <c r="J2493">
        <f>VLOOKUP(E2493,showing[],2,FALSE)</f>
        <v>8</v>
      </c>
      <c r="K2493">
        <f>Сектора[[#This Row],[Значение]]</f>
        <v>0.35515444944842878</v>
      </c>
      <c r="L2493" t="str">
        <f t="shared" si="38"/>
        <v>INSERT INTO msfo.statements (id_company, id_year, id_showing, value) VALUES (20,3,8,0,355154449448429);</v>
      </c>
    </row>
    <row r="2494" spans="1:12">
      <c r="A2494" s="28" t="s">
        <v>55</v>
      </c>
      <c r="B2494" s="28" t="s">
        <v>53</v>
      </c>
      <c r="C2494" s="28">
        <v>2014</v>
      </c>
      <c r="D2494" s="28" t="s">
        <v>1</v>
      </c>
      <c r="E2494" s="28" t="s">
        <v>11</v>
      </c>
      <c r="F2494" s="28">
        <v>0.33002684547257782</v>
      </c>
      <c r="H2494">
        <f>VLOOKUP(A2494&amp;B2494,ticker_sector[],2,FALSE)</f>
        <v>20</v>
      </c>
      <c r="I2494">
        <f>VLOOKUP(C2494,year[],2,FALSE)</f>
        <v>4</v>
      </c>
      <c r="J2494">
        <f>VLOOKUP(E2494,showing[],2,FALSE)</f>
        <v>8</v>
      </c>
      <c r="K2494">
        <f>Сектора[[#This Row],[Значение]]</f>
        <v>0.33002684547257782</v>
      </c>
      <c r="L2494" t="str">
        <f t="shared" si="38"/>
        <v>INSERT INTO msfo.statements (id_company, id_year, id_showing, value) VALUES (20,4,8,0,330026845472578);</v>
      </c>
    </row>
    <row r="2495" spans="1:12">
      <c r="A2495" s="28" t="s">
        <v>55</v>
      </c>
      <c r="B2495" s="28" t="s">
        <v>53</v>
      </c>
      <c r="C2495" s="28">
        <v>2015</v>
      </c>
      <c r="D2495" s="28" t="s">
        <v>1</v>
      </c>
      <c r="E2495" s="28" t="s">
        <v>11</v>
      </c>
      <c r="F2495" s="28">
        <v>0.31870274336360943</v>
      </c>
      <c r="H2495">
        <f>VLOOKUP(A2495&amp;B2495,ticker_sector[],2,FALSE)</f>
        <v>20</v>
      </c>
      <c r="I2495">
        <f>VLOOKUP(C2495,year[],2,FALSE)</f>
        <v>5</v>
      </c>
      <c r="J2495">
        <f>VLOOKUP(E2495,showing[],2,FALSE)</f>
        <v>8</v>
      </c>
      <c r="K2495">
        <f>Сектора[[#This Row],[Значение]]</f>
        <v>0.31870274336360943</v>
      </c>
      <c r="L2495" t="str">
        <f t="shared" si="38"/>
        <v>INSERT INTO msfo.statements (id_company, id_year, id_showing, value) VALUES (20,5,8,0,318702743363609);</v>
      </c>
    </row>
    <row r="2496" spans="1:12">
      <c r="A2496" s="28" t="s">
        <v>55</v>
      </c>
      <c r="B2496" s="28" t="s">
        <v>53</v>
      </c>
      <c r="C2496" s="28">
        <v>2016</v>
      </c>
      <c r="D2496" s="28" t="s">
        <v>1</v>
      </c>
      <c r="E2496" s="28" t="s">
        <v>11</v>
      </c>
      <c r="F2496" s="28">
        <v>0.31161535156133569</v>
      </c>
      <c r="H2496">
        <f>VLOOKUP(A2496&amp;B2496,ticker_sector[],2,FALSE)</f>
        <v>20</v>
      </c>
      <c r="I2496">
        <f>VLOOKUP(C2496,year[],2,FALSE)</f>
        <v>6</v>
      </c>
      <c r="J2496">
        <f>VLOOKUP(E2496,showing[],2,FALSE)</f>
        <v>8</v>
      </c>
      <c r="K2496">
        <f>Сектора[[#This Row],[Значение]]</f>
        <v>0.31161535156133569</v>
      </c>
      <c r="L2496" t="str">
        <f t="shared" si="38"/>
        <v>INSERT INTO msfo.statements (id_company, id_year, id_showing, value) VALUES (20,6,8,0,311615351561336);</v>
      </c>
    </row>
    <row r="2497" spans="1:12">
      <c r="A2497" s="28" t="s">
        <v>55</v>
      </c>
      <c r="B2497" s="28" t="s">
        <v>53</v>
      </c>
      <c r="C2497" s="28">
        <v>2017</v>
      </c>
      <c r="D2497" s="28" t="s">
        <v>1</v>
      </c>
      <c r="E2497" s="28" t="s">
        <v>11</v>
      </c>
      <c r="F2497" s="28">
        <v>0.28896225499908257</v>
      </c>
      <c r="H2497">
        <f>VLOOKUP(A2497&amp;B2497,ticker_sector[],2,FALSE)</f>
        <v>20</v>
      </c>
      <c r="I2497">
        <f>VLOOKUP(C2497,year[],2,FALSE)</f>
        <v>7</v>
      </c>
      <c r="J2497">
        <f>VLOOKUP(E2497,showing[],2,FALSE)</f>
        <v>8</v>
      </c>
      <c r="K2497">
        <f>Сектора[[#This Row],[Значение]]</f>
        <v>0.28896225499908257</v>
      </c>
      <c r="L2497" t="str">
        <f t="shared" si="38"/>
        <v>INSERT INTO msfo.statements (id_company, id_year, id_showing, value) VALUES (20,7,8,0,288962254999083);</v>
      </c>
    </row>
    <row r="2498" spans="1:12">
      <c r="A2498" s="28" t="s">
        <v>55</v>
      </c>
      <c r="B2498" s="28" t="s">
        <v>53</v>
      </c>
      <c r="C2498" s="28">
        <v>2010</v>
      </c>
      <c r="D2498" s="28" t="s">
        <v>4</v>
      </c>
      <c r="E2498" s="28" t="s">
        <v>12</v>
      </c>
      <c r="F2498" s="28">
        <v>50486.817000000003</v>
      </c>
      <c r="H2498">
        <f>VLOOKUP(A2498&amp;B2498,ticker_sector[],2,FALSE)</f>
        <v>20</v>
      </c>
      <c r="I2498">
        <f>VLOOKUP(C2498,year[],2,FALSE)</f>
        <v>0</v>
      </c>
      <c r="J2498">
        <f>VLOOKUP(E2498,showing[],2,FALSE)</f>
        <v>9</v>
      </c>
      <c r="K2498">
        <f>Сектора[[#This Row],[Значение]]</f>
        <v>50486.817000000003</v>
      </c>
      <c r="L2498" t="str">
        <f t="shared" si="38"/>
        <v>INSERT INTO msfo.statements (id_company, id_year, id_showing, value) VALUES (20,0,9,50486,817);</v>
      </c>
    </row>
    <row r="2499" spans="1:12">
      <c r="A2499" s="28" t="s">
        <v>55</v>
      </c>
      <c r="B2499" s="28" t="s">
        <v>53</v>
      </c>
      <c r="C2499" s="28">
        <v>2011</v>
      </c>
      <c r="D2499" s="28" t="s">
        <v>4</v>
      </c>
      <c r="E2499" s="28" t="s">
        <v>12</v>
      </c>
      <c r="F2499" s="28">
        <v>60251.76</v>
      </c>
      <c r="H2499">
        <f>VLOOKUP(A2499&amp;B2499,ticker_sector[],2,FALSE)</f>
        <v>20</v>
      </c>
      <c r="I2499">
        <f>VLOOKUP(C2499,year[],2,FALSE)</f>
        <v>1</v>
      </c>
      <c r="J2499">
        <f>VLOOKUP(E2499,showing[],2,FALSE)</f>
        <v>9</v>
      </c>
      <c r="K2499">
        <f>Сектора[[#This Row],[Значение]]</f>
        <v>60251.76</v>
      </c>
      <c r="L2499" t="str">
        <f t="shared" ref="L2499:L2561" si="39">"INSERT INTO msfo.statements (id_company, id_year, id_showing, value) VALUES ("&amp;H2499&amp; ","&amp;I2499&amp; ","&amp;J2499&amp; ","&amp;K2499&amp;");"</f>
        <v>INSERT INTO msfo.statements (id_company, id_year, id_showing, value) VALUES (20,1,9,60251,76);</v>
      </c>
    </row>
    <row r="2500" spans="1:12">
      <c r="A2500" s="28" t="s">
        <v>55</v>
      </c>
      <c r="B2500" s="28" t="s">
        <v>53</v>
      </c>
      <c r="C2500" s="28">
        <v>2012</v>
      </c>
      <c r="D2500" s="28" t="s">
        <v>4</v>
      </c>
      <c r="E2500" s="28" t="s">
        <v>12</v>
      </c>
      <c r="F2500" s="28">
        <v>62483.802000000003</v>
      </c>
      <c r="H2500">
        <f>VLOOKUP(A2500&amp;B2500,ticker_sector[],2,FALSE)</f>
        <v>20</v>
      </c>
      <c r="I2500">
        <f>VLOOKUP(C2500,year[],2,FALSE)</f>
        <v>2</v>
      </c>
      <c r="J2500">
        <f>VLOOKUP(E2500,showing[],2,FALSE)</f>
        <v>9</v>
      </c>
      <c r="K2500">
        <f>Сектора[[#This Row],[Значение]]</f>
        <v>62483.802000000003</v>
      </c>
      <c r="L2500" t="str">
        <f t="shared" si="39"/>
        <v>INSERT INTO msfo.statements (id_company, id_year, id_showing, value) VALUES (20,2,9,62483,802);</v>
      </c>
    </row>
    <row r="2501" spans="1:12">
      <c r="A2501" s="28" t="s">
        <v>55</v>
      </c>
      <c r="B2501" s="28" t="s">
        <v>53</v>
      </c>
      <c r="C2501" s="28">
        <v>2013</v>
      </c>
      <c r="D2501" s="28" t="s">
        <v>4</v>
      </c>
      <c r="E2501" s="28" t="s">
        <v>12</v>
      </c>
      <c r="F2501" s="28">
        <v>69853.025999999998</v>
      </c>
      <c r="H2501">
        <f>VLOOKUP(A2501&amp;B2501,ticker_sector[],2,FALSE)</f>
        <v>20</v>
      </c>
      <c r="I2501">
        <f>VLOOKUP(C2501,year[],2,FALSE)</f>
        <v>3</v>
      </c>
      <c r="J2501">
        <f>VLOOKUP(E2501,showing[],2,FALSE)</f>
        <v>9</v>
      </c>
      <c r="K2501">
        <f>Сектора[[#This Row],[Значение]]</f>
        <v>69853.025999999998</v>
      </c>
      <c r="L2501" t="str">
        <f t="shared" si="39"/>
        <v>INSERT INTO msfo.statements (id_company, id_year, id_showing, value) VALUES (20,3,9,69853,026);</v>
      </c>
    </row>
    <row r="2502" spans="1:12">
      <c r="A2502" s="28" t="s">
        <v>55</v>
      </c>
      <c r="B2502" s="28" t="s">
        <v>53</v>
      </c>
      <c r="C2502" s="28">
        <v>2014</v>
      </c>
      <c r="D2502" s="28" t="s">
        <v>4</v>
      </c>
      <c r="E2502" s="28" t="s">
        <v>12</v>
      </c>
      <c r="F2502" s="28">
        <v>68996.213000000003</v>
      </c>
      <c r="H2502">
        <f>VLOOKUP(A2502&amp;B2502,ticker_sector[],2,FALSE)</f>
        <v>20</v>
      </c>
      <c r="I2502">
        <f>VLOOKUP(C2502,year[],2,FALSE)</f>
        <v>4</v>
      </c>
      <c r="J2502">
        <f>VLOOKUP(E2502,showing[],2,FALSE)</f>
        <v>9</v>
      </c>
      <c r="K2502">
        <f>Сектора[[#This Row],[Значение]]</f>
        <v>68996.213000000003</v>
      </c>
      <c r="L2502" t="str">
        <f t="shared" si="39"/>
        <v>INSERT INTO msfo.statements (id_company, id_year, id_showing, value) VALUES (20,4,9,68996,213);</v>
      </c>
    </row>
    <row r="2503" spans="1:12">
      <c r="A2503" s="28" t="s">
        <v>55</v>
      </c>
      <c r="B2503" s="28" t="s">
        <v>53</v>
      </c>
      <c r="C2503" s="28">
        <v>2015</v>
      </c>
      <c r="D2503" s="28" t="s">
        <v>4</v>
      </c>
      <c r="E2503" s="28" t="s">
        <v>12</v>
      </c>
      <c r="F2503" s="28">
        <v>69423.900999999998</v>
      </c>
      <c r="H2503">
        <f>VLOOKUP(A2503&amp;B2503,ticker_sector[],2,FALSE)</f>
        <v>20</v>
      </c>
      <c r="I2503">
        <f>VLOOKUP(C2503,year[],2,FALSE)</f>
        <v>5</v>
      </c>
      <c r="J2503">
        <f>VLOOKUP(E2503,showing[],2,FALSE)</f>
        <v>9</v>
      </c>
      <c r="K2503">
        <f>Сектора[[#This Row],[Значение]]</f>
        <v>69423.900999999998</v>
      </c>
      <c r="L2503" t="str">
        <f t="shared" si="39"/>
        <v>INSERT INTO msfo.statements (id_company, id_year, id_showing, value) VALUES (20,5,9,69423,901);</v>
      </c>
    </row>
    <row r="2504" spans="1:12">
      <c r="A2504" s="28" t="s">
        <v>55</v>
      </c>
      <c r="B2504" s="28" t="s">
        <v>53</v>
      </c>
      <c r="C2504" s="28">
        <v>2016</v>
      </c>
      <c r="D2504" s="28" t="s">
        <v>4</v>
      </c>
      <c r="E2504" s="28" t="s">
        <v>12</v>
      </c>
      <c r="F2504" s="28">
        <v>78891.101999999999</v>
      </c>
      <c r="H2504">
        <f>VLOOKUP(A2504&amp;B2504,ticker_sector[],2,FALSE)</f>
        <v>20</v>
      </c>
      <c r="I2504">
        <f>VLOOKUP(C2504,year[],2,FALSE)</f>
        <v>6</v>
      </c>
      <c r="J2504">
        <f>VLOOKUP(E2504,showing[],2,FALSE)</f>
        <v>9</v>
      </c>
      <c r="K2504">
        <f>Сектора[[#This Row],[Значение]]</f>
        <v>78891.101999999999</v>
      </c>
      <c r="L2504" t="str">
        <f t="shared" si="39"/>
        <v>INSERT INTO msfo.statements (id_company, id_year, id_showing, value) VALUES (20,6,9,78891,102);</v>
      </c>
    </row>
    <row r="2505" spans="1:12">
      <c r="A2505" s="28" t="s">
        <v>55</v>
      </c>
      <c r="B2505" s="28" t="s">
        <v>53</v>
      </c>
      <c r="C2505" s="28">
        <v>2017</v>
      </c>
      <c r="D2505" s="28" t="s">
        <v>4</v>
      </c>
      <c r="E2505" s="28" t="s">
        <v>12</v>
      </c>
      <c r="F2505" s="28">
        <v>87394.702000000005</v>
      </c>
      <c r="H2505">
        <f>VLOOKUP(A2505&amp;B2505,ticker_sector[],2,FALSE)</f>
        <v>20</v>
      </c>
      <c r="I2505">
        <f>VLOOKUP(C2505,year[],2,FALSE)</f>
        <v>7</v>
      </c>
      <c r="J2505">
        <f>VLOOKUP(E2505,showing[],2,FALSE)</f>
        <v>9</v>
      </c>
      <c r="K2505">
        <f>Сектора[[#This Row],[Значение]]</f>
        <v>87394.702000000005</v>
      </c>
      <c r="L2505" t="str">
        <f t="shared" si="39"/>
        <v>INSERT INTO msfo.statements (id_company, id_year, id_showing, value) VALUES (20,7,9,87394,702);</v>
      </c>
    </row>
    <row r="2506" spans="1:12">
      <c r="A2506" s="28" t="s">
        <v>55</v>
      </c>
      <c r="B2506" s="28" t="s">
        <v>53</v>
      </c>
      <c r="C2506" s="28">
        <v>2010</v>
      </c>
      <c r="D2506" s="28" t="s">
        <v>4</v>
      </c>
      <c r="E2506" s="28" t="s">
        <v>13</v>
      </c>
      <c r="F2506" s="28">
        <v>6608.8059999999996</v>
      </c>
      <c r="H2506">
        <f>VLOOKUP(A2506&amp;B2506,ticker_sector[],2,FALSE)</f>
        <v>20</v>
      </c>
      <c r="I2506">
        <f>VLOOKUP(C2506,year[],2,FALSE)</f>
        <v>0</v>
      </c>
      <c r="J2506">
        <f>VLOOKUP(E2506,showing[],2,FALSE)</f>
        <v>10</v>
      </c>
      <c r="K2506">
        <f>Сектора[[#This Row],[Значение]]</f>
        <v>6608.8059999999996</v>
      </c>
      <c r="L2506" t="str">
        <f t="shared" si="39"/>
        <v>INSERT INTO msfo.statements (id_company, id_year, id_showing, value) VALUES (20,0,10,6608,806);</v>
      </c>
    </row>
    <row r="2507" spans="1:12">
      <c r="A2507" s="28" t="s">
        <v>55</v>
      </c>
      <c r="B2507" s="28" t="s">
        <v>53</v>
      </c>
      <c r="C2507" s="28">
        <v>2011</v>
      </c>
      <c r="D2507" s="28" t="s">
        <v>4</v>
      </c>
      <c r="E2507" s="28" t="s">
        <v>13</v>
      </c>
      <c r="F2507" s="28">
        <v>3736.69</v>
      </c>
      <c r="H2507">
        <f>VLOOKUP(A2507&amp;B2507,ticker_sector[],2,FALSE)</f>
        <v>20</v>
      </c>
      <c r="I2507">
        <f>VLOOKUP(C2507,year[],2,FALSE)</f>
        <v>1</v>
      </c>
      <c r="J2507">
        <f>VLOOKUP(E2507,showing[],2,FALSE)</f>
        <v>10</v>
      </c>
      <c r="K2507">
        <f>Сектора[[#This Row],[Значение]]</f>
        <v>3736.69</v>
      </c>
      <c r="L2507" t="str">
        <f t="shared" si="39"/>
        <v>INSERT INTO msfo.statements (id_company, id_year, id_showing, value) VALUES (20,1,10,3736,69);</v>
      </c>
    </row>
    <row r="2508" spans="1:12">
      <c r="A2508" s="28" t="s">
        <v>55</v>
      </c>
      <c r="B2508" s="28" t="s">
        <v>53</v>
      </c>
      <c r="C2508" s="28">
        <v>2012</v>
      </c>
      <c r="D2508" s="28" t="s">
        <v>4</v>
      </c>
      <c r="E2508" s="28" t="s">
        <v>13</v>
      </c>
      <c r="F2508" s="28">
        <v>5960.98</v>
      </c>
      <c r="H2508">
        <f>VLOOKUP(A2508&amp;B2508,ticker_sector[],2,FALSE)</f>
        <v>20</v>
      </c>
      <c r="I2508">
        <f>VLOOKUP(C2508,year[],2,FALSE)</f>
        <v>2</v>
      </c>
      <c r="J2508">
        <f>VLOOKUP(E2508,showing[],2,FALSE)</f>
        <v>10</v>
      </c>
      <c r="K2508">
        <f>Сектора[[#This Row],[Значение]]</f>
        <v>5960.98</v>
      </c>
      <c r="L2508" t="str">
        <f t="shared" si="39"/>
        <v>INSERT INTO msfo.statements (id_company, id_year, id_showing, value) VALUES (20,2,10,5960,98);</v>
      </c>
    </row>
    <row r="2509" spans="1:12">
      <c r="A2509" s="28" t="s">
        <v>55</v>
      </c>
      <c r="B2509" s="28" t="s">
        <v>53</v>
      </c>
      <c r="C2509" s="28">
        <v>2013</v>
      </c>
      <c r="D2509" s="28" t="s">
        <v>4</v>
      </c>
      <c r="E2509" s="28" t="s">
        <v>13</v>
      </c>
      <c r="F2509" s="28">
        <v>6323.6850000000004</v>
      </c>
      <c r="H2509">
        <f>VLOOKUP(A2509&amp;B2509,ticker_sector[],2,FALSE)</f>
        <v>20</v>
      </c>
      <c r="I2509">
        <f>VLOOKUP(C2509,year[],2,FALSE)</f>
        <v>3</v>
      </c>
      <c r="J2509">
        <f>VLOOKUP(E2509,showing[],2,FALSE)</f>
        <v>10</v>
      </c>
      <c r="K2509">
        <f>Сектора[[#This Row],[Значение]]</f>
        <v>6323.6850000000004</v>
      </c>
      <c r="L2509" t="str">
        <f t="shared" si="39"/>
        <v>INSERT INTO msfo.statements (id_company, id_year, id_showing, value) VALUES (20,3,10,6323,685);</v>
      </c>
    </row>
    <row r="2510" spans="1:12">
      <c r="A2510" s="28" t="s">
        <v>55</v>
      </c>
      <c r="B2510" s="28" t="s">
        <v>53</v>
      </c>
      <c r="C2510" s="28">
        <v>2014</v>
      </c>
      <c r="D2510" s="28" t="s">
        <v>4</v>
      </c>
      <c r="E2510" s="28" t="s">
        <v>13</v>
      </c>
      <c r="F2510" s="28">
        <v>3889.674</v>
      </c>
      <c r="H2510">
        <f>VLOOKUP(A2510&amp;B2510,ticker_sector[],2,FALSE)</f>
        <v>20</v>
      </c>
      <c r="I2510">
        <f>VLOOKUP(C2510,year[],2,FALSE)</f>
        <v>4</v>
      </c>
      <c r="J2510">
        <f>VLOOKUP(E2510,showing[],2,FALSE)</f>
        <v>10</v>
      </c>
      <c r="K2510">
        <f>Сектора[[#This Row],[Значение]]</f>
        <v>3889.674</v>
      </c>
      <c r="L2510" t="str">
        <f t="shared" si="39"/>
        <v>INSERT INTO msfo.statements (id_company, id_year, id_showing, value) VALUES (20,4,10,3889,674);</v>
      </c>
    </row>
    <row r="2511" spans="1:12">
      <c r="A2511" s="28" t="s">
        <v>55</v>
      </c>
      <c r="B2511" s="28" t="s">
        <v>53</v>
      </c>
      <c r="C2511" s="28">
        <v>2015</v>
      </c>
      <c r="D2511" s="28" t="s">
        <v>4</v>
      </c>
      <c r="E2511" s="28" t="s">
        <v>13</v>
      </c>
      <c r="F2511" s="28">
        <v>6061.34</v>
      </c>
      <c r="H2511">
        <f>VLOOKUP(A2511&amp;B2511,ticker_sector[],2,FALSE)</f>
        <v>20</v>
      </c>
      <c r="I2511">
        <f>VLOOKUP(C2511,year[],2,FALSE)</f>
        <v>5</v>
      </c>
      <c r="J2511">
        <f>VLOOKUP(E2511,showing[],2,FALSE)</f>
        <v>10</v>
      </c>
      <c r="K2511">
        <f>Сектора[[#This Row],[Значение]]</f>
        <v>6061.34</v>
      </c>
      <c r="L2511" t="str">
        <f t="shared" si="39"/>
        <v>INSERT INTO msfo.statements (id_company, id_year, id_showing, value) VALUES (20,5,10,6061,34);</v>
      </c>
    </row>
    <row r="2512" spans="1:12">
      <c r="A2512" s="28" t="s">
        <v>55</v>
      </c>
      <c r="B2512" s="28" t="s">
        <v>53</v>
      </c>
      <c r="C2512" s="28">
        <v>2016</v>
      </c>
      <c r="D2512" s="28" t="s">
        <v>4</v>
      </c>
      <c r="E2512" s="28" t="s">
        <v>13</v>
      </c>
      <c r="F2512" s="28">
        <v>5386.68</v>
      </c>
      <c r="H2512">
        <f>VLOOKUP(A2512&amp;B2512,ticker_sector[],2,FALSE)</f>
        <v>20</v>
      </c>
      <c r="I2512">
        <f>VLOOKUP(C2512,year[],2,FALSE)</f>
        <v>6</v>
      </c>
      <c r="J2512">
        <f>VLOOKUP(E2512,showing[],2,FALSE)</f>
        <v>10</v>
      </c>
      <c r="K2512">
        <f>Сектора[[#This Row],[Значение]]</f>
        <v>5386.68</v>
      </c>
      <c r="L2512" t="str">
        <f t="shared" si="39"/>
        <v>INSERT INTO msfo.statements (id_company, id_year, id_showing, value) VALUES (20,6,10,5386,68);</v>
      </c>
    </row>
    <row r="2513" spans="1:12">
      <c r="A2513" s="28" t="s">
        <v>55</v>
      </c>
      <c r="B2513" s="28" t="s">
        <v>53</v>
      </c>
      <c r="C2513" s="28">
        <v>2017</v>
      </c>
      <c r="D2513" s="28" t="s">
        <v>4</v>
      </c>
      <c r="E2513" s="28" t="s">
        <v>13</v>
      </c>
      <c r="F2513" s="28">
        <v>7607.0379999999996</v>
      </c>
      <c r="H2513">
        <f>VLOOKUP(A2513&amp;B2513,ticker_sector[],2,FALSE)</f>
        <v>20</v>
      </c>
      <c r="I2513">
        <f>VLOOKUP(C2513,year[],2,FALSE)</f>
        <v>7</v>
      </c>
      <c r="J2513">
        <f>VLOOKUP(E2513,showing[],2,FALSE)</f>
        <v>10</v>
      </c>
      <c r="K2513">
        <f>Сектора[[#This Row],[Значение]]</f>
        <v>7607.0379999999996</v>
      </c>
      <c r="L2513" t="str">
        <f t="shared" si="39"/>
        <v>INSERT INTO msfo.statements (id_company, id_year, id_showing, value) VALUES (20,7,10,7607,038);</v>
      </c>
    </row>
    <row r="2514" spans="1:12">
      <c r="A2514" s="28" t="s">
        <v>55</v>
      </c>
      <c r="B2514" s="28" t="s">
        <v>53</v>
      </c>
      <c r="C2514" s="28">
        <v>2010</v>
      </c>
      <c r="D2514" s="28" t="s">
        <v>4</v>
      </c>
      <c r="E2514" s="28" t="s">
        <v>14</v>
      </c>
      <c r="F2514" s="28">
        <v>1656.5601160222989</v>
      </c>
      <c r="H2514">
        <f>VLOOKUP(A2514&amp;B2514,ticker_sector[],2,FALSE)</f>
        <v>20</v>
      </c>
      <c r="I2514">
        <f>VLOOKUP(C2514,year[],2,FALSE)</f>
        <v>0</v>
      </c>
      <c r="J2514">
        <f>VLOOKUP(E2514,showing[],2,FALSE)</f>
        <v>11</v>
      </c>
      <c r="K2514">
        <f>Сектора[[#This Row],[Значение]]</f>
        <v>1656.5601160222989</v>
      </c>
      <c r="L2514" t="str">
        <f t="shared" si="39"/>
        <v>INSERT INTO msfo.statements (id_company, id_year, id_showing, value) VALUES (20,0,11,1656,5601160223);</v>
      </c>
    </row>
    <row r="2515" spans="1:12">
      <c r="A2515" s="28" t="s">
        <v>55</v>
      </c>
      <c r="B2515" s="28" t="s">
        <v>53</v>
      </c>
      <c r="C2515" s="28">
        <v>2011</v>
      </c>
      <c r="D2515" s="28" t="s">
        <v>4</v>
      </c>
      <c r="E2515" s="28" t="s">
        <v>14</v>
      </c>
      <c r="F2515" s="28">
        <v>1871.3993309748696</v>
      </c>
      <c r="H2515">
        <f>VLOOKUP(A2515&amp;B2515,ticker_sector[],2,FALSE)</f>
        <v>20</v>
      </c>
      <c r="I2515">
        <f>VLOOKUP(C2515,year[],2,FALSE)</f>
        <v>1</v>
      </c>
      <c r="J2515">
        <f>VLOOKUP(E2515,showing[],2,FALSE)</f>
        <v>11</v>
      </c>
      <c r="K2515">
        <f>Сектора[[#This Row],[Значение]]</f>
        <v>1871.3993309748696</v>
      </c>
      <c r="L2515" t="str">
        <f t="shared" si="39"/>
        <v>INSERT INTO msfo.statements (id_company, id_year, id_showing, value) VALUES (20,1,11,1871,39933097487);</v>
      </c>
    </row>
    <row r="2516" spans="1:12">
      <c r="A2516" s="28" t="s">
        <v>55</v>
      </c>
      <c r="B2516" s="28" t="s">
        <v>53</v>
      </c>
      <c r="C2516" s="28">
        <v>2012</v>
      </c>
      <c r="D2516" s="28" t="s">
        <v>4</v>
      </c>
      <c r="E2516" s="28" t="s">
        <v>14</v>
      </c>
      <c r="F2516" s="28">
        <v>2057.2356754585535</v>
      </c>
      <c r="H2516">
        <f>VLOOKUP(A2516&amp;B2516,ticker_sector[],2,FALSE)</f>
        <v>20</v>
      </c>
      <c r="I2516">
        <f>VLOOKUP(C2516,year[],2,FALSE)</f>
        <v>2</v>
      </c>
      <c r="J2516">
        <f>VLOOKUP(E2516,showing[],2,FALSE)</f>
        <v>11</v>
      </c>
      <c r="K2516">
        <f>Сектора[[#This Row],[Значение]]</f>
        <v>2057.2356754585535</v>
      </c>
      <c r="L2516" t="str">
        <f t="shared" si="39"/>
        <v>INSERT INTO msfo.statements (id_company, id_year, id_showing, value) VALUES (20,2,11,2057,23567545855);</v>
      </c>
    </row>
    <row r="2517" spans="1:12">
      <c r="A2517" s="28" t="s">
        <v>55</v>
      </c>
      <c r="B2517" s="28" t="s">
        <v>53</v>
      </c>
      <c r="C2517" s="28">
        <v>2013</v>
      </c>
      <c r="D2517" s="28" t="s">
        <v>4</v>
      </c>
      <c r="E2517" s="28" t="s">
        <v>14</v>
      </c>
      <c r="F2517" s="28">
        <v>2134.2723317404643</v>
      </c>
      <c r="H2517">
        <f>VLOOKUP(A2517&amp;B2517,ticker_sector[],2,FALSE)</f>
        <v>20</v>
      </c>
      <c r="I2517">
        <f>VLOOKUP(C2517,year[],2,FALSE)</f>
        <v>3</v>
      </c>
      <c r="J2517">
        <f>VLOOKUP(E2517,showing[],2,FALSE)</f>
        <v>11</v>
      </c>
      <c r="K2517">
        <f>Сектора[[#This Row],[Значение]]</f>
        <v>2134.2723317404643</v>
      </c>
      <c r="L2517" t="str">
        <f t="shared" si="39"/>
        <v>INSERT INTO msfo.statements (id_company, id_year, id_showing, value) VALUES (20,3,11,2134,27233174046);</v>
      </c>
    </row>
    <row r="2518" spans="1:12">
      <c r="A2518" s="28" t="s">
        <v>55</v>
      </c>
      <c r="B2518" s="28" t="s">
        <v>53</v>
      </c>
      <c r="C2518" s="28">
        <v>2014</v>
      </c>
      <c r="D2518" s="28" t="s">
        <v>4</v>
      </c>
      <c r="E2518" s="28" t="s">
        <v>14</v>
      </c>
      <c r="F2518" s="28">
        <v>1226.41619740341</v>
      </c>
      <c r="H2518">
        <f>VLOOKUP(A2518&amp;B2518,ticker_sector[],2,FALSE)</f>
        <v>20</v>
      </c>
      <c r="I2518">
        <f>VLOOKUP(C2518,year[],2,FALSE)</f>
        <v>4</v>
      </c>
      <c r="J2518">
        <f>VLOOKUP(E2518,showing[],2,FALSE)</f>
        <v>11</v>
      </c>
      <c r="K2518">
        <f>Сектора[[#This Row],[Значение]]</f>
        <v>1226.41619740341</v>
      </c>
      <c r="L2518" t="str">
        <f t="shared" si="39"/>
        <v>INSERT INTO msfo.statements (id_company, id_year, id_showing, value) VALUES (20,4,11,1226,41619740341);</v>
      </c>
    </row>
    <row r="2519" spans="1:12">
      <c r="A2519" s="28" t="s">
        <v>55</v>
      </c>
      <c r="B2519" s="28" t="s">
        <v>53</v>
      </c>
      <c r="C2519" s="28">
        <v>2015</v>
      </c>
      <c r="D2519" s="28" t="s">
        <v>4</v>
      </c>
      <c r="E2519" s="28" t="s">
        <v>14</v>
      </c>
      <c r="F2519" s="28">
        <v>952.54293542912103</v>
      </c>
      <c r="H2519">
        <f>VLOOKUP(A2519&amp;B2519,ticker_sector[],2,FALSE)</f>
        <v>20</v>
      </c>
      <c r="I2519">
        <f>VLOOKUP(C2519,year[],2,FALSE)</f>
        <v>5</v>
      </c>
      <c r="J2519">
        <f>VLOOKUP(E2519,showing[],2,FALSE)</f>
        <v>11</v>
      </c>
      <c r="K2519">
        <f>Сектора[[#This Row],[Значение]]</f>
        <v>952.54293542912103</v>
      </c>
      <c r="L2519" t="str">
        <f t="shared" si="39"/>
        <v>INSERT INTO msfo.statements (id_company, id_year, id_showing, value) VALUES (20,5,11,952,542935429121);</v>
      </c>
    </row>
    <row r="2520" spans="1:12">
      <c r="A2520" s="28" t="s">
        <v>55</v>
      </c>
      <c r="B2520" s="28" t="s">
        <v>53</v>
      </c>
      <c r="C2520" s="28">
        <v>2016</v>
      </c>
      <c r="D2520" s="28" t="s">
        <v>4</v>
      </c>
      <c r="E2520" s="28" t="s">
        <v>14</v>
      </c>
      <c r="F2520" s="28">
        <v>1300.612164485821</v>
      </c>
      <c r="H2520">
        <f>VLOOKUP(A2520&amp;B2520,ticker_sector[],2,FALSE)</f>
        <v>20</v>
      </c>
      <c r="I2520">
        <f>VLOOKUP(C2520,year[],2,FALSE)</f>
        <v>6</v>
      </c>
      <c r="J2520">
        <f>VLOOKUP(E2520,showing[],2,FALSE)</f>
        <v>11</v>
      </c>
      <c r="K2520">
        <f>Сектора[[#This Row],[Значение]]</f>
        <v>1300.612164485821</v>
      </c>
      <c r="L2520" t="str">
        <f t="shared" si="39"/>
        <v>INSERT INTO msfo.statements (id_company, id_year, id_showing, value) VALUES (20,6,11,1300,61216448582);</v>
      </c>
    </row>
    <row r="2521" spans="1:12">
      <c r="A2521" s="28" t="s">
        <v>55</v>
      </c>
      <c r="B2521" s="28" t="s">
        <v>53</v>
      </c>
      <c r="C2521" s="28">
        <v>2017</v>
      </c>
      <c r="D2521" s="28" t="s">
        <v>4</v>
      </c>
      <c r="E2521" s="28" t="s">
        <v>14</v>
      </c>
      <c r="F2521" s="28">
        <v>1517.2638636671402</v>
      </c>
      <c r="H2521">
        <f>VLOOKUP(A2521&amp;B2521,ticker_sector[],2,FALSE)</f>
        <v>20</v>
      </c>
      <c r="I2521">
        <f>VLOOKUP(C2521,year[],2,FALSE)</f>
        <v>7</v>
      </c>
      <c r="J2521">
        <f>VLOOKUP(E2521,showing[],2,FALSE)</f>
        <v>11</v>
      </c>
      <c r="K2521">
        <f>Сектора[[#This Row],[Значение]]</f>
        <v>1517.2638636671402</v>
      </c>
      <c r="L2521" t="str">
        <f t="shared" si="39"/>
        <v>INSERT INTO msfo.statements (id_company, id_year, id_showing, value) VALUES (20,7,11,1517,26386366714);</v>
      </c>
    </row>
    <row r="2522" spans="1:12">
      <c r="A2522" s="28" t="s">
        <v>55</v>
      </c>
      <c r="B2522" s="28" t="s">
        <v>53</v>
      </c>
      <c r="C2522" s="28">
        <v>2010</v>
      </c>
      <c r="D2522" s="28" t="s">
        <v>4</v>
      </c>
      <c r="E2522" s="28" t="s">
        <v>15</v>
      </c>
      <c r="F2522" s="28">
        <v>216.84639841978677</v>
      </c>
      <c r="H2522">
        <f>VLOOKUP(A2522&amp;B2522,ticker_sector[],2,FALSE)</f>
        <v>20</v>
      </c>
      <c r="I2522">
        <f>VLOOKUP(C2522,year[],2,FALSE)</f>
        <v>0</v>
      </c>
      <c r="J2522">
        <f>VLOOKUP(E2522,showing[],2,FALSE)</f>
        <v>12</v>
      </c>
      <c r="K2522">
        <f>Сектора[[#This Row],[Значение]]</f>
        <v>216.84639841978677</v>
      </c>
      <c r="L2522" t="str">
        <f t="shared" si="39"/>
        <v>INSERT INTO msfo.statements (id_company, id_year, id_showing, value) VALUES (20,0,12,216,846398419787);</v>
      </c>
    </row>
    <row r="2523" spans="1:12">
      <c r="A2523" s="28" t="s">
        <v>55</v>
      </c>
      <c r="B2523" s="28" t="s">
        <v>53</v>
      </c>
      <c r="C2523" s="28">
        <v>2011</v>
      </c>
      <c r="D2523" s="28" t="s">
        <v>4</v>
      </c>
      <c r="E2523" s="28" t="s">
        <v>15</v>
      </c>
      <c r="F2523" s="28">
        <v>116.06033028845108</v>
      </c>
      <c r="H2523">
        <f>VLOOKUP(A2523&amp;B2523,ticker_sector[],2,FALSE)</f>
        <v>20</v>
      </c>
      <c r="I2523">
        <f>VLOOKUP(C2523,year[],2,FALSE)</f>
        <v>1</v>
      </c>
      <c r="J2523">
        <f>VLOOKUP(E2523,showing[],2,FALSE)</f>
        <v>12</v>
      </c>
      <c r="K2523">
        <f>Сектора[[#This Row],[Значение]]</f>
        <v>116.06033028845108</v>
      </c>
      <c r="L2523" t="str">
        <f t="shared" si="39"/>
        <v>INSERT INTO msfo.statements (id_company, id_year, id_showing, value) VALUES (20,1,12,116,060330288451);</v>
      </c>
    </row>
    <row r="2524" spans="1:12">
      <c r="A2524" s="28" t="s">
        <v>55</v>
      </c>
      <c r="B2524" s="28" t="s">
        <v>53</v>
      </c>
      <c r="C2524" s="28">
        <v>2012</v>
      </c>
      <c r="D2524" s="28" t="s">
        <v>4</v>
      </c>
      <c r="E2524" s="28" t="s">
        <v>15</v>
      </c>
      <c r="F2524" s="28">
        <v>196.26111606804795</v>
      </c>
      <c r="H2524">
        <f>VLOOKUP(A2524&amp;B2524,ticker_sector[],2,FALSE)</f>
        <v>20</v>
      </c>
      <c r="I2524">
        <f>VLOOKUP(C2524,year[],2,FALSE)</f>
        <v>2</v>
      </c>
      <c r="J2524">
        <f>VLOOKUP(E2524,showing[],2,FALSE)</f>
        <v>12</v>
      </c>
      <c r="K2524">
        <f>Сектора[[#This Row],[Значение]]</f>
        <v>196.26111606804795</v>
      </c>
      <c r="L2524" t="str">
        <f t="shared" si="39"/>
        <v>INSERT INTO msfo.statements (id_company, id_year, id_showing, value) VALUES (20,2,12,196,261116068048);</v>
      </c>
    </row>
    <row r="2525" spans="1:12">
      <c r="A2525" s="28" t="s">
        <v>55</v>
      </c>
      <c r="B2525" s="28" t="s">
        <v>53</v>
      </c>
      <c r="C2525" s="28">
        <v>2013</v>
      </c>
      <c r="D2525" s="28" t="s">
        <v>4</v>
      </c>
      <c r="E2525" s="28" t="s">
        <v>15</v>
      </c>
      <c r="F2525" s="28">
        <v>193.21233027388388</v>
      </c>
      <c r="H2525">
        <f>VLOOKUP(A2525&amp;B2525,ticker_sector[],2,FALSE)</f>
        <v>20</v>
      </c>
      <c r="I2525">
        <f>VLOOKUP(C2525,year[],2,FALSE)</f>
        <v>3</v>
      </c>
      <c r="J2525">
        <f>VLOOKUP(E2525,showing[],2,FALSE)</f>
        <v>12</v>
      </c>
      <c r="K2525">
        <f>Сектора[[#This Row],[Значение]]</f>
        <v>193.21233027388388</v>
      </c>
      <c r="L2525" t="str">
        <f t="shared" si="39"/>
        <v>INSERT INTO msfo.statements (id_company, id_year, id_showing, value) VALUES (20,3,12,193,212330273884);</v>
      </c>
    </row>
    <row r="2526" spans="1:12">
      <c r="A2526" s="28" t="s">
        <v>55</v>
      </c>
      <c r="B2526" s="28" t="s">
        <v>53</v>
      </c>
      <c r="C2526" s="28">
        <v>2014</v>
      </c>
      <c r="D2526" s="28" t="s">
        <v>4</v>
      </c>
      <c r="E2526" s="28" t="s">
        <v>15</v>
      </c>
      <c r="F2526" s="28">
        <v>69.139435177680127</v>
      </c>
      <c r="H2526">
        <f>VLOOKUP(A2526&amp;B2526,ticker_sector[],2,FALSE)</f>
        <v>20</v>
      </c>
      <c r="I2526">
        <f>VLOOKUP(C2526,year[],2,FALSE)</f>
        <v>4</v>
      </c>
      <c r="J2526">
        <f>VLOOKUP(E2526,showing[],2,FALSE)</f>
        <v>12</v>
      </c>
      <c r="K2526">
        <f>Сектора[[#This Row],[Значение]]</f>
        <v>69.139435177680127</v>
      </c>
      <c r="L2526" t="str">
        <f t="shared" si="39"/>
        <v>INSERT INTO msfo.statements (id_company, id_year, id_showing, value) VALUES (20,4,12,69,1394351776801);</v>
      </c>
    </row>
    <row r="2527" spans="1:12">
      <c r="A2527" s="28" t="s">
        <v>55</v>
      </c>
      <c r="B2527" s="28" t="s">
        <v>53</v>
      </c>
      <c r="C2527" s="28">
        <v>2015</v>
      </c>
      <c r="D2527" s="28" t="s">
        <v>4</v>
      </c>
      <c r="E2527" s="28" t="s">
        <v>15</v>
      </c>
      <c r="F2527" s="28">
        <v>83.165689525772237</v>
      </c>
      <c r="H2527">
        <f>VLOOKUP(A2527&amp;B2527,ticker_sector[],2,FALSE)</f>
        <v>20</v>
      </c>
      <c r="I2527">
        <f>VLOOKUP(C2527,year[],2,FALSE)</f>
        <v>5</v>
      </c>
      <c r="J2527">
        <f>VLOOKUP(E2527,showing[],2,FALSE)</f>
        <v>12</v>
      </c>
      <c r="K2527">
        <f>Сектора[[#This Row],[Значение]]</f>
        <v>83.165689525772237</v>
      </c>
      <c r="L2527" t="str">
        <f t="shared" si="39"/>
        <v>INSERT INTO msfo.statements (id_company, id_year, id_showing, value) VALUES (20,5,12,83,1656895257722);</v>
      </c>
    </row>
    <row r="2528" spans="1:12">
      <c r="A2528" s="28" t="s">
        <v>55</v>
      </c>
      <c r="B2528" s="28" t="s">
        <v>53</v>
      </c>
      <c r="C2528" s="28">
        <v>2016</v>
      </c>
      <c r="D2528" s="28" t="s">
        <v>4</v>
      </c>
      <c r="E2528" s="28" t="s">
        <v>15</v>
      </c>
      <c r="F2528" s="28">
        <v>88.805725317317567</v>
      </c>
      <c r="H2528">
        <f>VLOOKUP(A2528&amp;B2528,ticker_sector[],2,FALSE)</f>
        <v>20</v>
      </c>
      <c r="I2528">
        <f>VLOOKUP(C2528,year[],2,FALSE)</f>
        <v>6</v>
      </c>
      <c r="J2528">
        <f>VLOOKUP(E2528,showing[],2,FALSE)</f>
        <v>12</v>
      </c>
      <c r="K2528">
        <f>Сектора[[#This Row],[Значение]]</f>
        <v>88.805725317317567</v>
      </c>
      <c r="L2528" t="str">
        <f t="shared" si="39"/>
        <v>INSERT INTO msfo.statements (id_company, id_year, id_showing, value) VALUES (20,6,12,88,8057253173176);</v>
      </c>
    </row>
    <row r="2529" spans="1:12">
      <c r="A2529" s="28" t="s">
        <v>55</v>
      </c>
      <c r="B2529" s="28" t="s">
        <v>53</v>
      </c>
      <c r="C2529" s="28">
        <v>2017</v>
      </c>
      <c r="D2529" s="28" t="s">
        <v>4</v>
      </c>
      <c r="E2529" s="28" t="s">
        <v>15</v>
      </c>
      <c r="F2529" s="28">
        <v>132.06617338134242</v>
      </c>
      <c r="H2529">
        <f>VLOOKUP(A2529&amp;B2529,ticker_sector[],2,FALSE)</f>
        <v>20</v>
      </c>
      <c r="I2529">
        <f>VLOOKUP(C2529,year[],2,FALSE)</f>
        <v>7</v>
      </c>
      <c r="J2529">
        <f>VLOOKUP(E2529,showing[],2,FALSE)</f>
        <v>12</v>
      </c>
      <c r="K2529">
        <f>Сектора[[#This Row],[Значение]]</f>
        <v>132.06617338134242</v>
      </c>
      <c r="L2529" t="str">
        <f t="shared" si="39"/>
        <v>INSERT INTO msfo.statements (id_company, id_year, id_showing, value) VALUES (20,7,12,132,066173381342);</v>
      </c>
    </row>
    <row r="2530" spans="1:12">
      <c r="A2530" s="28" t="s">
        <v>55</v>
      </c>
      <c r="B2530" s="28" t="s">
        <v>53</v>
      </c>
      <c r="C2530" s="28">
        <v>2010</v>
      </c>
      <c r="D2530" s="28" t="s">
        <v>7</v>
      </c>
      <c r="E2530" s="28" t="s">
        <v>16</v>
      </c>
      <c r="F2530" s="28">
        <v>6272.9749999999995</v>
      </c>
      <c r="H2530">
        <f>VLOOKUP(A2530&amp;B2530,ticker_sector[],2,FALSE)</f>
        <v>20</v>
      </c>
      <c r="I2530">
        <f>VLOOKUP(C2530,year[],2,FALSE)</f>
        <v>0</v>
      </c>
      <c r="J2530">
        <f>VLOOKUP(E2530,showing[],2,FALSE)</f>
        <v>13</v>
      </c>
      <c r="K2530">
        <f>Сектора[[#This Row],[Значение]]</f>
        <v>6272.9749999999995</v>
      </c>
      <c r="L2530" t="str">
        <f t="shared" si="39"/>
        <v>INSERT INTO msfo.statements (id_company, id_year, id_showing, value) VALUES (20,0,13,6272,975);</v>
      </c>
    </row>
    <row r="2531" spans="1:12">
      <c r="A2531" s="28" t="s">
        <v>55</v>
      </c>
      <c r="B2531" s="28" t="s">
        <v>53</v>
      </c>
      <c r="C2531" s="28">
        <v>2011</v>
      </c>
      <c r="D2531" s="28" t="s">
        <v>7</v>
      </c>
      <c r="E2531" s="28" t="s">
        <v>16</v>
      </c>
      <c r="F2531" s="28">
        <v>9585.760000000002</v>
      </c>
      <c r="H2531">
        <f>VLOOKUP(A2531&amp;B2531,ticker_sector[],2,FALSE)</f>
        <v>20</v>
      </c>
      <c r="I2531">
        <f>VLOOKUP(C2531,year[],2,FALSE)</f>
        <v>1</v>
      </c>
      <c r="J2531">
        <f>VLOOKUP(E2531,showing[],2,FALSE)</f>
        <v>13</v>
      </c>
      <c r="K2531">
        <f>Сектора[[#This Row],[Значение]]</f>
        <v>9585.760000000002</v>
      </c>
      <c r="L2531" t="str">
        <f t="shared" si="39"/>
        <v>INSERT INTO msfo.statements (id_company, id_year, id_showing, value) VALUES (20,1,13,9585,76);</v>
      </c>
    </row>
    <row r="2532" spans="1:12">
      <c r="A2532" s="28" t="s">
        <v>55</v>
      </c>
      <c r="B2532" s="28" t="s">
        <v>53</v>
      </c>
      <c r="C2532" s="28">
        <v>2012</v>
      </c>
      <c r="D2532" s="28" t="s">
        <v>7</v>
      </c>
      <c r="E2532" s="28" t="s">
        <v>16</v>
      </c>
      <c r="F2532" s="28">
        <v>11310.125999999998</v>
      </c>
      <c r="H2532">
        <f>VLOOKUP(A2532&amp;B2532,ticker_sector[],2,FALSE)</f>
        <v>20</v>
      </c>
      <c r="I2532">
        <f>VLOOKUP(C2532,year[],2,FALSE)</f>
        <v>2</v>
      </c>
      <c r="J2532">
        <f>VLOOKUP(E2532,showing[],2,FALSE)</f>
        <v>13</v>
      </c>
      <c r="K2532">
        <f>Сектора[[#This Row],[Значение]]</f>
        <v>11310.125999999998</v>
      </c>
      <c r="L2532" t="str">
        <f t="shared" si="39"/>
        <v>INSERT INTO msfo.statements (id_company, id_year, id_showing, value) VALUES (20,2,13,11310,126);</v>
      </c>
    </row>
    <row r="2533" spans="1:12">
      <c r="A2533" s="28" t="s">
        <v>55</v>
      </c>
      <c r="B2533" s="28" t="s">
        <v>53</v>
      </c>
      <c r="C2533" s="28">
        <v>2013</v>
      </c>
      <c r="D2533" s="28" t="s">
        <v>7</v>
      </c>
      <c r="E2533" s="28" t="s">
        <v>16</v>
      </c>
      <c r="F2533" s="28">
        <v>15043.668000000003</v>
      </c>
      <c r="H2533">
        <f>VLOOKUP(A2533&amp;B2533,ticker_sector[],2,FALSE)</f>
        <v>20</v>
      </c>
      <c r="I2533">
        <f>VLOOKUP(C2533,year[],2,FALSE)</f>
        <v>3</v>
      </c>
      <c r="J2533">
        <f>VLOOKUP(E2533,showing[],2,FALSE)</f>
        <v>13</v>
      </c>
      <c r="K2533">
        <f>Сектора[[#This Row],[Значение]]</f>
        <v>15043.668000000003</v>
      </c>
      <c r="L2533" t="str">
        <f t="shared" si="39"/>
        <v>INSERT INTO msfo.statements (id_company, id_year, id_showing, value) VALUES (20,3,13,15043,668);</v>
      </c>
    </row>
    <row r="2534" spans="1:12">
      <c r="A2534" s="28" t="s">
        <v>55</v>
      </c>
      <c r="B2534" s="28" t="s">
        <v>53</v>
      </c>
      <c r="C2534" s="28">
        <v>2014</v>
      </c>
      <c r="D2534" s="28" t="s">
        <v>7</v>
      </c>
      <c r="E2534" s="28" t="s">
        <v>16</v>
      </c>
      <c r="F2534" s="28">
        <v>13953.241999999998</v>
      </c>
      <c r="H2534">
        <f>VLOOKUP(A2534&amp;B2534,ticker_sector[],2,FALSE)</f>
        <v>20</v>
      </c>
      <c r="I2534">
        <f>VLOOKUP(C2534,year[],2,FALSE)</f>
        <v>4</v>
      </c>
      <c r="J2534">
        <f>VLOOKUP(E2534,showing[],2,FALSE)</f>
        <v>13</v>
      </c>
      <c r="K2534">
        <f>Сектора[[#This Row],[Значение]]</f>
        <v>13953.241999999998</v>
      </c>
      <c r="L2534" t="str">
        <f t="shared" si="39"/>
        <v>INSERT INTO msfo.statements (id_company, id_year, id_showing, value) VALUES (20,4,13,13953,242);</v>
      </c>
    </row>
    <row r="2535" spans="1:12">
      <c r="A2535" s="28" t="s">
        <v>55</v>
      </c>
      <c r="B2535" s="28" t="s">
        <v>53</v>
      </c>
      <c r="C2535" s="28">
        <v>2015</v>
      </c>
      <c r="D2535" s="28" t="s">
        <v>7</v>
      </c>
      <c r="E2535" s="28" t="s">
        <v>16</v>
      </c>
      <c r="F2535" s="28">
        <v>13692.322000000002</v>
      </c>
      <c r="H2535">
        <f>VLOOKUP(A2535&amp;B2535,ticker_sector[],2,FALSE)</f>
        <v>20</v>
      </c>
      <c r="I2535">
        <f>VLOOKUP(C2535,year[],2,FALSE)</f>
        <v>5</v>
      </c>
      <c r="J2535">
        <f>VLOOKUP(E2535,showing[],2,FALSE)</f>
        <v>13</v>
      </c>
      <c r="K2535">
        <f>Сектора[[#This Row],[Значение]]</f>
        <v>13692.322000000002</v>
      </c>
      <c r="L2535" t="str">
        <f t="shared" si="39"/>
        <v>INSERT INTO msfo.statements (id_company, id_year, id_showing, value) VALUES (20,5,13,13692,322);</v>
      </c>
    </row>
    <row r="2536" spans="1:12">
      <c r="A2536" s="28" t="s">
        <v>55</v>
      </c>
      <c r="B2536" s="28" t="s">
        <v>53</v>
      </c>
      <c r="C2536" s="28">
        <v>2016</v>
      </c>
      <c r="D2536" s="28" t="s">
        <v>7</v>
      </c>
      <c r="E2536" s="28" t="s">
        <v>16</v>
      </c>
      <c r="F2536" s="28">
        <v>16962.944000000003</v>
      </c>
      <c r="H2536">
        <f>VLOOKUP(A2536&amp;B2536,ticker_sector[],2,FALSE)</f>
        <v>20</v>
      </c>
      <c r="I2536">
        <f>VLOOKUP(C2536,year[],2,FALSE)</f>
        <v>6</v>
      </c>
      <c r="J2536">
        <f>VLOOKUP(E2536,showing[],2,FALSE)</f>
        <v>13</v>
      </c>
      <c r="K2536">
        <f>Сектора[[#This Row],[Значение]]</f>
        <v>16962.944000000003</v>
      </c>
      <c r="L2536" t="str">
        <f t="shared" si="39"/>
        <v>INSERT INTO msfo.statements (id_company, id_year, id_showing, value) VALUES (20,6,13,16962,944);</v>
      </c>
    </row>
    <row r="2537" spans="1:12">
      <c r="A2537" s="28" t="s">
        <v>55</v>
      </c>
      <c r="B2537" s="28" t="s">
        <v>53</v>
      </c>
      <c r="C2537" s="28">
        <v>2017</v>
      </c>
      <c r="D2537" s="28" t="s">
        <v>7</v>
      </c>
      <c r="E2537" s="28" t="s">
        <v>16</v>
      </c>
      <c r="F2537" s="28">
        <v>19787.925000000003</v>
      </c>
      <c r="H2537">
        <f>VLOOKUP(A2537&amp;B2537,ticker_sector[],2,FALSE)</f>
        <v>20</v>
      </c>
      <c r="I2537">
        <f>VLOOKUP(C2537,year[],2,FALSE)</f>
        <v>7</v>
      </c>
      <c r="J2537">
        <f>VLOOKUP(E2537,showing[],2,FALSE)</f>
        <v>13</v>
      </c>
      <c r="K2537">
        <f>Сектора[[#This Row],[Значение]]</f>
        <v>19787.925000000003</v>
      </c>
      <c r="L2537" t="str">
        <f t="shared" si="39"/>
        <v>INSERT INTO msfo.statements (id_company, id_year, id_showing, value) VALUES (20,7,13,19787,925);</v>
      </c>
    </row>
    <row r="2538" spans="1:12">
      <c r="A2538" s="28" t="s">
        <v>55</v>
      </c>
      <c r="B2538" s="28" t="s">
        <v>53</v>
      </c>
      <c r="C2538" s="28">
        <v>2010</v>
      </c>
      <c r="D2538" s="28" t="s">
        <v>7</v>
      </c>
      <c r="E2538" s="28" t="s">
        <v>17</v>
      </c>
      <c r="F2538" s="28">
        <v>205.82720027299362</v>
      </c>
      <c r="H2538">
        <f>VLOOKUP(A2538&amp;B2538,ticker_sector[],2,FALSE)</f>
        <v>20</v>
      </c>
      <c r="I2538">
        <f>VLOOKUP(C2538,year[],2,FALSE)</f>
        <v>0</v>
      </c>
      <c r="J2538">
        <f>VLOOKUP(E2538,showing[],2,FALSE)</f>
        <v>14</v>
      </c>
      <c r="K2538">
        <f>Сектора[[#This Row],[Значение]]</f>
        <v>205.82720027299362</v>
      </c>
      <c r="L2538" t="str">
        <f t="shared" si="39"/>
        <v>INSERT INTO msfo.statements (id_company, id_year, id_showing, value) VALUES (20,0,14,205,827200272994);</v>
      </c>
    </row>
    <row r="2539" spans="1:12">
      <c r="A2539" s="28" t="s">
        <v>55</v>
      </c>
      <c r="B2539" s="28" t="s">
        <v>53</v>
      </c>
      <c r="C2539" s="28">
        <v>2011</v>
      </c>
      <c r="D2539" s="28" t="s">
        <v>7</v>
      </c>
      <c r="E2539" s="28" t="s">
        <v>17</v>
      </c>
      <c r="F2539" s="28">
        <v>297.73047046070803</v>
      </c>
      <c r="H2539">
        <f>VLOOKUP(A2539&amp;B2539,ticker_sector[],2,FALSE)</f>
        <v>20</v>
      </c>
      <c r="I2539">
        <f>VLOOKUP(C2539,year[],2,FALSE)</f>
        <v>1</v>
      </c>
      <c r="J2539">
        <f>VLOOKUP(E2539,showing[],2,FALSE)</f>
        <v>14</v>
      </c>
      <c r="K2539">
        <f>Сектора[[#This Row],[Значение]]</f>
        <v>297.73047046070803</v>
      </c>
      <c r="L2539" t="str">
        <f t="shared" si="39"/>
        <v>INSERT INTO msfo.statements (id_company, id_year, id_showing, value) VALUES (20,1,14,297,730470460708);</v>
      </c>
    </row>
    <row r="2540" spans="1:12">
      <c r="A2540" s="28" t="s">
        <v>55</v>
      </c>
      <c r="B2540" s="28" t="s">
        <v>53</v>
      </c>
      <c r="C2540" s="28">
        <v>2012</v>
      </c>
      <c r="D2540" s="28" t="s">
        <v>7</v>
      </c>
      <c r="E2540" s="28" t="s">
        <v>17</v>
      </c>
      <c r="F2540" s="28">
        <v>372.3780236857441</v>
      </c>
      <c r="H2540">
        <f>VLOOKUP(A2540&amp;B2540,ticker_sector[],2,FALSE)</f>
        <v>20</v>
      </c>
      <c r="I2540">
        <f>VLOOKUP(C2540,year[],2,FALSE)</f>
        <v>2</v>
      </c>
      <c r="J2540">
        <f>VLOOKUP(E2540,showing[],2,FALSE)</f>
        <v>14</v>
      </c>
      <c r="K2540">
        <f>Сектора[[#This Row],[Значение]]</f>
        <v>372.3780236857441</v>
      </c>
      <c r="L2540" t="str">
        <f t="shared" si="39"/>
        <v>INSERT INTO msfo.statements (id_company, id_year, id_showing, value) VALUES (20,2,14,372,378023685744);</v>
      </c>
    </row>
    <row r="2541" spans="1:12">
      <c r="A2541" s="28" t="s">
        <v>55</v>
      </c>
      <c r="B2541" s="28" t="s">
        <v>53</v>
      </c>
      <c r="C2541" s="28">
        <v>2013</v>
      </c>
      <c r="D2541" s="28" t="s">
        <v>7</v>
      </c>
      <c r="E2541" s="28" t="s">
        <v>17</v>
      </c>
      <c r="F2541" s="28">
        <v>459.64056561113637</v>
      </c>
      <c r="H2541">
        <f>VLOOKUP(A2541&amp;B2541,ticker_sector[],2,FALSE)</f>
        <v>20</v>
      </c>
      <c r="I2541">
        <f>VLOOKUP(C2541,year[],2,FALSE)</f>
        <v>3</v>
      </c>
      <c r="J2541">
        <f>VLOOKUP(E2541,showing[],2,FALSE)</f>
        <v>14</v>
      </c>
      <c r="K2541">
        <f>Сектора[[#This Row],[Значение]]</f>
        <v>459.64056561113637</v>
      </c>
      <c r="L2541" t="str">
        <f t="shared" si="39"/>
        <v>INSERT INTO msfo.statements (id_company, id_year, id_showing, value) VALUES (20,3,14,459,640565611136);</v>
      </c>
    </row>
    <row r="2542" spans="1:12">
      <c r="A2542" s="28" t="s">
        <v>55</v>
      </c>
      <c r="B2542" s="28" t="s">
        <v>53</v>
      </c>
      <c r="C2542" s="28">
        <v>2014</v>
      </c>
      <c r="D2542" s="28" t="s">
        <v>7</v>
      </c>
      <c r="E2542" s="28" t="s">
        <v>17</v>
      </c>
      <c r="F2542" s="28">
        <v>248.02059781294878</v>
      </c>
      <c r="H2542">
        <f>VLOOKUP(A2542&amp;B2542,ticker_sector[],2,FALSE)</f>
        <v>20</v>
      </c>
      <c r="I2542">
        <f>VLOOKUP(C2542,year[],2,FALSE)</f>
        <v>4</v>
      </c>
      <c r="J2542">
        <f>VLOOKUP(E2542,showing[],2,FALSE)</f>
        <v>14</v>
      </c>
      <c r="K2542">
        <f>Сектора[[#This Row],[Значение]]</f>
        <v>248.02059781294878</v>
      </c>
      <c r="L2542" t="str">
        <f t="shared" si="39"/>
        <v>INSERT INTO msfo.statements (id_company, id_year, id_showing, value) VALUES (20,4,14,248,020597812949);</v>
      </c>
    </row>
    <row r="2543" spans="1:12">
      <c r="A2543" s="28" t="s">
        <v>55</v>
      </c>
      <c r="B2543" s="28" t="s">
        <v>53</v>
      </c>
      <c r="C2543" s="28">
        <v>2015</v>
      </c>
      <c r="D2543" s="28" t="s">
        <v>7</v>
      </c>
      <c r="E2543" s="28" t="s">
        <v>17</v>
      </c>
      <c r="F2543" s="28">
        <v>187.86793024956543</v>
      </c>
      <c r="H2543">
        <f>VLOOKUP(A2543&amp;B2543,ticker_sector[],2,FALSE)</f>
        <v>20</v>
      </c>
      <c r="I2543">
        <f>VLOOKUP(C2543,year[],2,FALSE)</f>
        <v>5</v>
      </c>
      <c r="J2543">
        <f>VLOOKUP(E2543,showing[],2,FALSE)</f>
        <v>14</v>
      </c>
      <c r="K2543">
        <f>Сектора[[#This Row],[Значение]]</f>
        <v>187.86793024956543</v>
      </c>
      <c r="L2543" t="str">
        <f t="shared" si="39"/>
        <v>INSERT INTO msfo.statements (id_company, id_year, id_showing, value) VALUES (20,5,14,187,867930249565);</v>
      </c>
    </row>
    <row r="2544" spans="1:12">
      <c r="A2544" s="28" t="s">
        <v>55</v>
      </c>
      <c r="B2544" s="28" t="s">
        <v>53</v>
      </c>
      <c r="C2544" s="28">
        <v>2016</v>
      </c>
      <c r="D2544" s="28" t="s">
        <v>7</v>
      </c>
      <c r="E2544" s="28" t="s">
        <v>17</v>
      </c>
      <c r="F2544" s="28">
        <v>279.6539882519549</v>
      </c>
      <c r="H2544">
        <f>VLOOKUP(A2544&amp;B2544,ticker_sector[],2,FALSE)</f>
        <v>20</v>
      </c>
      <c r="I2544">
        <f>VLOOKUP(C2544,year[],2,FALSE)</f>
        <v>6</v>
      </c>
      <c r="J2544">
        <f>VLOOKUP(E2544,showing[],2,FALSE)</f>
        <v>14</v>
      </c>
      <c r="K2544">
        <f>Сектора[[#This Row],[Значение]]</f>
        <v>279.6539882519549</v>
      </c>
      <c r="L2544" t="str">
        <f t="shared" si="39"/>
        <v>INSERT INTO msfo.statements (id_company, id_year, id_showing, value) VALUES (20,6,14,279,653988251955);</v>
      </c>
    </row>
    <row r="2545" spans="1:12">
      <c r="A2545" s="28" t="s">
        <v>55</v>
      </c>
      <c r="B2545" s="28" t="s">
        <v>53</v>
      </c>
      <c r="C2545" s="28">
        <v>2017</v>
      </c>
      <c r="D2545" s="28" t="s">
        <v>7</v>
      </c>
      <c r="E2545" s="28" t="s">
        <v>17</v>
      </c>
      <c r="F2545" s="28">
        <v>343.53917173898708</v>
      </c>
      <c r="H2545">
        <f>VLOOKUP(A2545&amp;B2545,ticker_sector[],2,FALSE)</f>
        <v>20</v>
      </c>
      <c r="I2545">
        <f>VLOOKUP(C2545,year[],2,FALSE)</f>
        <v>7</v>
      </c>
      <c r="J2545">
        <f>VLOOKUP(E2545,showing[],2,FALSE)</f>
        <v>14</v>
      </c>
      <c r="K2545">
        <f>Сектора[[#This Row],[Значение]]</f>
        <v>343.53917173898708</v>
      </c>
      <c r="L2545" t="str">
        <f t="shared" si="39"/>
        <v>INSERT INTO msfo.statements (id_company, id_year, id_showing, value) VALUES (20,7,14,343,539171738987);</v>
      </c>
    </row>
    <row r="2546" spans="1:12">
      <c r="A2546" s="28" t="s">
        <v>55</v>
      </c>
      <c r="B2546" s="28" t="s">
        <v>53</v>
      </c>
      <c r="C2546" s="28">
        <v>2010</v>
      </c>
      <c r="D2546" s="28" t="s">
        <v>20</v>
      </c>
      <c r="E2546" s="28" t="s">
        <v>18</v>
      </c>
      <c r="F2546" s="28">
        <v>3854341.4169999999</v>
      </c>
      <c r="H2546">
        <f>VLOOKUP(A2546&amp;B2546,ticker_sector[],2,FALSE)</f>
        <v>20</v>
      </c>
      <c r="I2546">
        <f>VLOOKUP(C2546,year[],2,FALSE)</f>
        <v>0</v>
      </c>
      <c r="J2546">
        <f>VLOOKUP(E2546,showing[],2,FALSE)</f>
        <v>15</v>
      </c>
      <c r="K2546">
        <f>Сектора[[#This Row],[Значение]]</f>
        <v>3854341.4169999999</v>
      </c>
      <c r="L2546" t="str">
        <f t="shared" si="39"/>
        <v>INSERT INTO msfo.statements (id_company, id_year, id_showing, value) VALUES (20,0,15,3854341,417);</v>
      </c>
    </row>
    <row r="2547" spans="1:12">
      <c r="A2547" s="28" t="s">
        <v>55</v>
      </c>
      <c r="B2547" s="28" t="s">
        <v>53</v>
      </c>
      <c r="C2547" s="28">
        <v>2011</v>
      </c>
      <c r="D2547" s="28" t="s">
        <v>20</v>
      </c>
      <c r="E2547" s="28" t="s">
        <v>18</v>
      </c>
      <c r="F2547" s="28">
        <v>3854341.4169999999</v>
      </c>
      <c r="H2547">
        <f>VLOOKUP(A2547&amp;B2547,ticker_sector[],2,FALSE)</f>
        <v>20</v>
      </c>
      <c r="I2547">
        <f>VLOOKUP(C2547,year[],2,FALSE)</f>
        <v>1</v>
      </c>
      <c r="J2547">
        <f>VLOOKUP(E2547,showing[],2,FALSE)</f>
        <v>15</v>
      </c>
      <c r="K2547">
        <f>Сектора[[#This Row],[Значение]]</f>
        <v>3854341.4169999999</v>
      </c>
      <c r="L2547" t="str">
        <f t="shared" si="39"/>
        <v>INSERT INTO msfo.statements (id_company, id_year, id_showing, value) VALUES (20,1,15,3854341,417);</v>
      </c>
    </row>
    <row r="2548" spans="1:12">
      <c r="A2548" s="28" t="s">
        <v>55</v>
      </c>
      <c r="B2548" s="28" t="s">
        <v>53</v>
      </c>
      <c r="C2548" s="28">
        <v>2012</v>
      </c>
      <c r="D2548" s="28" t="s">
        <v>20</v>
      </c>
      <c r="E2548" s="28" t="s">
        <v>18</v>
      </c>
      <c r="F2548" s="28">
        <v>3854341.4169999999</v>
      </c>
      <c r="H2548">
        <f>VLOOKUP(A2548&amp;B2548,ticker_sector[],2,FALSE)</f>
        <v>20</v>
      </c>
      <c r="I2548">
        <f>VLOOKUP(C2548,year[],2,FALSE)</f>
        <v>2</v>
      </c>
      <c r="J2548">
        <f>VLOOKUP(E2548,showing[],2,FALSE)</f>
        <v>15</v>
      </c>
      <c r="K2548">
        <f>Сектора[[#This Row],[Значение]]</f>
        <v>3854341.4169999999</v>
      </c>
      <c r="L2548" t="str">
        <f t="shared" si="39"/>
        <v>INSERT INTO msfo.statements (id_company, id_year, id_showing, value) VALUES (20,2,15,3854341,417);</v>
      </c>
    </row>
    <row r="2549" spans="1:12">
      <c r="A2549" s="28" t="s">
        <v>55</v>
      </c>
      <c r="B2549" s="28" t="s">
        <v>53</v>
      </c>
      <c r="C2549" s="28">
        <v>2013</v>
      </c>
      <c r="D2549" s="28" t="s">
        <v>20</v>
      </c>
      <c r="E2549" s="28" t="s">
        <v>18</v>
      </c>
      <c r="F2549" s="28">
        <v>3854341.4169999999</v>
      </c>
      <c r="H2549">
        <f>VLOOKUP(A2549&amp;B2549,ticker_sector[],2,FALSE)</f>
        <v>20</v>
      </c>
      <c r="I2549">
        <f>VLOOKUP(C2549,year[],2,FALSE)</f>
        <v>3</v>
      </c>
      <c r="J2549">
        <f>VLOOKUP(E2549,showing[],2,FALSE)</f>
        <v>15</v>
      </c>
      <c r="K2549">
        <f>Сектора[[#This Row],[Значение]]</f>
        <v>3854341.4169999999</v>
      </c>
      <c r="L2549" t="str">
        <f t="shared" si="39"/>
        <v>INSERT INTO msfo.statements (id_company, id_year, id_showing, value) VALUES (20,3,15,3854341,417);</v>
      </c>
    </row>
    <row r="2550" spans="1:12">
      <c r="A2550" s="28" t="s">
        <v>55</v>
      </c>
      <c r="B2550" s="28" t="s">
        <v>53</v>
      </c>
      <c r="C2550" s="28">
        <v>2014</v>
      </c>
      <c r="D2550" s="28" t="s">
        <v>20</v>
      </c>
      <c r="E2550" s="28" t="s">
        <v>18</v>
      </c>
      <c r="F2550" s="28">
        <v>3854341.4169999999</v>
      </c>
      <c r="H2550">
        <f>VLOOKUP(A2550&amp;B2550,ticker_sector[],2,FALSE)</f>
        <v>20</v>
      </c>
      <c r="I2550">
        <f>VLOOKUP(C2550,year[],2,FALSE)</f>
        <v>4</v>
      </c>
      <c r="J2550">
        <f>VLOOKUP(E2550,showing[],2,FALSE)</f>
        <v>15</v>
      </c>
      <c r="K2550">
        <f>Сектора[[#This Row],[Значение]]</f>
        <v>3854341.4169999999</v>
      </c>
      <c r="L2550" t="str">
        <f t="shared" si="39"/>
        <v>INSERT INTO msfo.statements (id_company, id_year, id_showing, value) VALUES (20,4,15,3854341,417);</v>
      </c>
    </row>
    <row r="2551" spans="1:12">
      <c r="A2551" s="28" t="s">
        <v>55</v>
      </c>
      <c r="B2551" s="28" t="s">
        <v>53</v>
      </c>
      <c r="C2551" s="28">
        <v>2015</v>
      </c>
      <c r="D2551" s="28" t="s">
        <v>20</v>
      </c>
      <c r="E2551" s="28" t="s">
        <v>18</v>
      </c>
      <c r="F2551" s="28">
        <v>3854341.4169999999</v>
      </c>
      <c r="H2551">
        <f>VLOOKUP(A2551&amp;B2551,ticker_sector[],2,FALSE)</f>
        <v>20</v>
      </c>
      <c r="I2551">
        <f>VLOOKUP(C2551,year[],2,FALSE)</f>
        <v>5</v>
      </c>
      <c r="J2551">
        <f>VLOOKUP(E2551,showing[],2,FALSE)</f>
        <v>15</v>
      </c>
      <c r="K2551">
        <f>Сектора[[#This Row],[Значение]]</f>
        <v>3854341.4169999999</v>
      </c>
      <c r="L2551" t="str">
        <f t="shared" si="39"/>
        <v>INSERT INTO msfo.statements (id_company, id_year, id_showing, value) VALUES (20,5,15,3854341,417);</v>
      </c>
    </row>
    <row r="2552" spans="1:12">
      <c r="A2552" s="28" t="s">
        <v>55</v>
      </c>
      <c r="B2552" s="28" t="s">
        <v>53</v>
      </c>
      <c r="C2552" s="28">
        <v>2016</v>
      </c>
      <c r="D2552" s="28" t="s">
        <v>20</v>
      </c>
      <c r="E2552" s="28" t="s">
        <v>18</v>
      </c>
      <c r="F2552" s="28">
        <v>3854341.4169999999</v>
      </c>
      <c r="H2552">
        <f>VLOOKUP(A2552&amp;B2552,ticker_sector[],2,FALSE)</f>
        <v>20</v>
      </c>
      <c r="I2552">
        <f>VLOOKUP(C2552,year[],2,FALSE)</f>
        <v>6</v>
      </c>
      <c r="J2552">
        <f>VLOOKUP(E2552,showing[],2,FALSE)</f>
        <v>15</v>
      </c>
      <c r="K2552">
        <f>Сектора[[#This Row],[Значение]]</f>
        <v>3854341.4169999999</v>
      </c>
      <c r="L2552" t="str">
        <f t="shared" si="39"/>
        <v>INSERT INTO msfo.statements (id_company, id_year, id_showing, value) VALUES (20,6,15,3854341,417);</v>
      </c>
    </row>
    <row r="2553" spans="1:12">
      <c r="A2553" s="28" t="s">
        <v>55</v>
      </c>
      <c r="B2553" s="28" t="s">
        <v>53</v>
      </c>
      <c r="C2553" s="28">
        <v>2017</v>
      </c>
      <c r="D2553" s="28" t="s">
        <v>20</v>
      </c>
      <c r="E2553" s="28" t="s">
        <v>18</v>
      </c>
      <c r="F2553" s="28">
        <v>3854341.4169999999</v>
      </c>
      <c r="H2553">
        <f>VLOOKUP(A2553&amp;B2553,ticker_sector[],2,FALSE)</f>
        <v>20</v>
      </c>
      <c r="I2553">
        <f>VLOOKUP(C2553,year[],2,FALSE)</f>
        <v>7</v>
      </c>
      <c r="J2553">
        <f>VLOOKUP(E2553,showing[],2,FALSE)</f>
        <v>15</v>
      </c>
      <c r="K2553">
        <f>Сектора[[#This Row],[Значение]]</f>
        <v>3854341.4169999999</v>
      </c>
      <c r="L2553" t="str">
        <f t="shared" si="39"/>
        <v>INSERT INTO msfo.statements (id_company, id_year, id_showing, value) VALUES (20,7,15,3854341,417);</v>
      </c>
    </row>
    <row r="2554" spans="1:12">
      <c r="A2554" s="28" t="s">
        <v>55</v>
      </c>
      <c r="B2554" s="28" t="s">
        <v>53</v>
      </c>
      <c r="C2554" s="28">
        <v>2010</v>
      </c>
      <c r="D2554" s="28" t="s">
        <v>20</v>
      </c>
      <c r="E2554" s="28" t="s">
        <v>19</v>
      </c>
      <c r="F2554" s="28">
        <v>2.1499999999999998E-2</v>
      </c>
      <c r="H2554">
        <f>VLOOKUP(A2554&amp;B2554,ticker_sector[],2,FALSE)</f>
        <v>20</v>
      </c>
      <c r="I2554">
        <f>VLOOKUP(C2554,year[],2,FALSE)</f>
        <v>0</v>
      </c>
      <c r="J2554">
        <f>VLOOKUP(E2554,showing[],2,FALSE)</f>
        <v>16</v>
      </c>
      <c r="K2554">
        <f>Сектора[[#This Row],[Значение]]</f>
        <v>2.1499999999999998E-2</v>
      </c>
      <c r="L2554" t="str">
        <f t="shared" si="39"/>
        <v>INSERT INTO msfo.statements (id_company, id_year, id_showing, value) VALUES (20,0,16,0,0215);</v>
      </c>
    </row>
    <row r="2555" spans="1:12">
      <c r="A2555" s="28" t="s">
        <v>55</v>
      </c>
      <c r="B2555" s="28" t="s">
        <v>53</v>
      </c>
      <c r="C2555" s="28">
        <v>2011</v>
      </c>
      <c r="D2555" s="28" t="s">
        <v>20</v>
      </c>
      <c r="E2555" s="28" t="s">
        <v>19</v>
      </c>
      <c r="F2555" s="28">
        <v>9.2860000000000009E-3</v>
      </c>
      <c r="H2555">
        <f>VLOOKUP(A2555&amp;B2555,ticker_sector[],2,FALSE)</f>
        <v>20</v>
      </c>
      <c r="I2555">
        <f>VLOOKUP(C2555,year[],2,FALSE)</f>
        <v>1</v>
      </c>
      <c r="J2555">
        <f>VLOOKUP(E2555,showing[],2,FALSE)</f>
        <v>16</v>
      </c>
      <c r="K2555">
        <f>Сектора[[#This Row],[Значение]]</f>
        <v>9.2860000000000009E-3</v>
      </c>
      <c r="L2555" t="str">
        <f t="shared" si="39"/>
        <v>INSERT INTO msfo.statements (id_company, id_year, id_showing, value) VALUES (20,1,16,0,009286);</v>
      </c>
    </row>
    <row r="2556" spans="1:12">
      <c r="A2556" s="28" t="s">
        <v>55</v>
      </c>
      <c r="B2556" s="28" t="s">
        <v>53</v>
      </c>
      <c r="C2556" s="28">
        <v>2012</v>
      </c>
      <c r="D2556" s="28" t="s">
        <v>20</v>
      </c>
      <c r="E2556" s="28" t="s">
        <v>19</v>
      </c>
      <c r="F2556" s="28">
        <v>6.8799999999999998E-3</v>
      </c>
      <c r="H2556">
        <f>VLOOKUP(A2556&amp;B2556,ticker_sector[],2,FALSE)</f>
        <v>20</v>
      </c>
      <c r="I2556">
        <f>VLOOKUP(C2556,year[],2,FALSE)</f>
        <v>2</v>
      </c>
      <c r="J2556">
        <f>VLOOKUP(E2556,showing[],2,FALSE)</f>
        <v>16</v>
      </c>
      <c r="K2556">
        <f>Сектора[[#This Row],[Значение]]</f>
        <v>6.8799999999999998E-3</v>
      </c>
      <c r="L2556" t="str">
        <f t="shared" si="39"/>
        <v>INSERT INTO msfo.statements (id_company, id_year, id_showing, value) VALUES (20,2,16,0,00688);</v>
      </c>
    </row>
    <row r="2557" spans="1:12">
      <c r="A2557" s="28" t="s">
        <v>55</v>
      </c>
      <c r="B2557" s="28" t="s">
        <v>53</v>
      </c>
      <c r="C2557" s="28">
        <v>2013</v>
      </c>
      <c r="D2557" s="28" t="s">
        <v>20</v>
      </c>
      <c r="E2557" s="28" t="s">
        <v>19</v>
      </c>
      <c r="F2557" s="28">
        <v>6.5799999999999999E-3</v>
      </c>
      <c r="H2557">
        <f>VLOOKUP(A2557&amp;B2557,ticker_sector[],2,FALSE)</f>
        <v>20</v>
      </c>
      <c r="I2557">
        <f>VLOOKUP(C2557,year[],2,FALSE)</f>
        <v>3</v>
      </c>
      <c r="J2557">
        <f>VLOOKUP(E2557,showing[],2,FALSE)</f>
        <v>16</v>
      </c>
      <c r="K2557">
        <f>Сектора[[#This Row],[Значение]]</f>
        <v>6.5799999999999999E-3</v>
      </c>
      <c r="L2557" t="str">
        <f t="shared" si="39"/>
        <v>INSERT INTO msfo.statements (id_company, id_year, id_showing, value) VALUES (20,3,16,0,00658);</v>
      </c>
    </row>
    <row r="2558" spans="1:12">
      <c r="A2558" s="28" t="s">
        <v>55</v>
      </c>
      <c r="B2558" s="28" t="s">
        <v>53</v>
      </c>
      <c r="C2558" s="28">
        <v>2014</v>
      </c>
      <c r="D2558" s="28" t="s">
        <v>20</v>
      </c>
      <c r="E2558" s="28" t="s">
        <v>19</v>
      </c>
      <c r="F2558" s="28">
        <v>4.5399999999999998E-3</v>
      </c>
      <c r="H2558">
        <f>VLOOKUP(A2558&amp;B2558,ticker_sector[],2,FALSE)</f>
        <v>20</v>
      </c>
      <c r="I2558">
        <f>VLOOKUP(C2558,year[],2,FALSE)</f>
        <v>4</v>
      </c>
      <c r="J2558">
        <f>VLOOKUP(E2558,showing[],2,FALSE)</f>
        <v>16</v>
      </c>
      <c r="K2558">
        <f>Сектора[[#This Row],[Значение]]</f>
        <v>4.5399999999999998E-3</v>
      </c>
      <c r="L2558" t="str">
        <f t="shared" si="39"/>
        <v>INSERT INTO msfo.statements (id_company, id_year, id_showing, value) VALUES (20,4,16,0,00454);</v>
      </c>
    </row>
    <row r="2559" spans="1:12">
      <c r="A2559" s="28" t="s">
        <v>55</v>
      </c>
      <c r="B2559" s="28" t="s">
        <v>53</v>
      </c>
      <c r="C2559" s="28">
        <v>2015</v>
      </c>
      <c r="D2559" s="28" t="s">
        <v>20</v>
      </c>
      <c r="E2559" s="28" t="s">
        <v>19</v>
      </c>
      <c r="F2559" s="28">
        <v>4.176E-3</v>
      </c>
      <c r="H2559">
        <f>VLOOKUP(A2559&amp;B2559,ticker_sector[],2,FALSE)</f>
        <v>20</v>
      </c>
      <c r="I2559">
        <f>VLOOKUP(C2559,year[],2,FALSE)</f>
        <v>5</v>
      </c>
      <c r="J2559">
        <f>VLOOKUP(E2559,showing[],2,FALSE)</f>
        <v>16</v>
      </c>
      <c r="K2559">
        <f>Сектора[[#This Row],[Значение]]</f>
        <v>4.176E-3</v>
      </c>
      <c r="L2559" t="str">
        <f t="shared" si="39"/>
        <v>INSERT INTO msfo.statements (id_company, id_year, id_showing, value) VALUES (20,5,16,0,004176);</v>
      </c>
    </row>
    <row r="2560" spans="1:12">
      <c r="A2560" s="28" t="s">
        <v>55</v>
      </c>
      <c r="B2560" s="28" t="s">
        <v>53</v>
      </c>
      <c r="C2560" s="28">
        <v>2016</v>
      </c>
      <c r="D2560" s="28" t="s">
        <v>20</v>
      </c>
      <c r="E2560" s="28" t="s">
        <v>19</v>
      </c>
      <c r="F2560" s="28">
        <v>1.5006E-2</v>
      </c>
      <c r="H2560">
        <f>VLOOKUP(A2560&amp;B2560,ticker_sector[],2,FALSE)</f>
        <v>20</v>
      </c>
      <c r="I2560">
        <f>VLOOKUP(C2560,year[],2,FALSE)</f>
        <v>6</v>
      </c>
      <c r="J2560">
        <f>VLOOKUP(E2560,showing[],2,FALSE)</f>
        <v>16</v>
      </c>
      <c r="K2560">
        <f>Сектора[[#This Row],[Значение]]</f>
        <v>1.5006E-2</v>
      </c>
      <c r="L2560" t="str">
        <f t="shared" si="39"/>
        <v>INSERT INTO msfo.statements (id_company, id_year, id_showing, value) VALUES (20,6,16,0,015006);</v>
      </c>
    </row>
    <row r="2561" spans="1:12">
      <c r="A2561" s="28" t="s">
        <v>55</v>
      </c>
      <c r="B2561" s="28" t="s">
        <v>53</v>
      </c>
      <c r="C2561" s="28">
        <v>2017</v>
      </c>
      <c r="D2561" s="28" t="s">
        <v>20</v>
      </c>
      <c r="E2561" s="28" t="s">
        <v>19</v>
      </c>
      <c r="F2561" s="28">
        <v>1.189E-2</v>
      </c>
      <c r="H2561">
        <f>VLOOKUP(A2561&amp;B2561,ticker_sector[],2,FALSE)</f>
        <v>20</v>
      </c>
      <c r="I2561">
        <f>VLOOKUP(C2561,year[],2,FALSE)</f>
        <v>7</v>
      </c>
      <c r="J2561">
        <f>VLOOKUP(E2561,showing[],2,FALSE)</f>
        <v>16</v>
      </c>
      <c r="K2561">
        <f>Сектора[[#This Row],[Значение]]</f>
        <v>1.189E-2</v>
      </c>
      <c r="L2561" t="str">
        <f t="shared" si="39"/>
        <v>INSERT INTO msfo.statements (id_company, id_year, id_showing, value) VALUES (20,7,16,0,01189);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F2561"/>
  <sheetViews>
    <sheetView workbookViewId="0">
      <selection activeCell="K19" sqref="K19"/>
    </sheetView>
  </sheetViews>
  <sheetFormatPr defaultRowHeight="15"/>
  <cols>
    <col min="1" max="1" width="8.28515625" bestFit="1" customWidth="1"/>
    <col min="2" max="2" width="19" bestFit="1" customWidth="1"/>
    <col min="3" max="3" width="7.140625" bestFit="1" customWidth="1"/>
    <col min="4" max="4" width="27.42578125" bestFit="1" customWidth="1"/>
    <col min="5" max="5" width="31.140625" bestFit="1" customWidth="1"/>
    <col min="6" max="6" width="12.7109375" bestFit="1" customWidth="1"/>
  </cols>
  <sheetData>
    <row r="1" spans="1:6">
      <c r="A1" s="28" t="s">
        <v>23</v>
      </c>
      <c r="B1" s="28" t="s">
        <v>22</v>
      </c>
      <c r="C1" s="28" t="s">
        <v>21</v>
      </c>
      <c r="D1" s="28" t="s">
        <v>56</v>
      </c>
      <c r="E1" s="28" t="s">
        <v>24</v>
      </c>
      <c r="F1" s="28" t="s">
        <v>25</v>
      </c>
    </row>
    <row r="2" spans="1:6">
      <c r="A2" s="28" t="s">
        <v>35</v>
      </c>
      <c r="B2" s="28" t="s">
        <v>0</v>
      </c>
      <c r="C2" s="28">
        <v>2010</v>
      </c>
      <c r="D2" s="28" t="s">
        <v>1</v>
      </c>
      <c r="E2" s="28" t="s">
        <v>2</v>
      </c>
      <c r="F2" s="28">
        <v>173659</v>
      </c>
    </row>
    <row r="3" spans="1:6">
      <c r="A3" s="28" t="s">
        <v>35</v>
      </c>
      <c r="B3" s="28" t="s">
        <v>0</v>
      </c>
      <c r="C3" s="28">
        <v>2011</v>
      </c>
      <c r="D3" s="28" t="s">
        <v>1</v>
      </c>
      <c r="E3" s="28" t="s">
        <v>2</v>
      </c>
      <c r="F3" s="28">
        <v>173322</v>
      </c>
    </row>
    <row r="4" spans="1:6">
      <c r="A4" s="28" t="s">
        <v>35</v>
      </c>
      <c r="B4" s="28" t="s">
        <v>0</v>
      </c>
      <c r="C4" s="28">
        <v>2012</v>
      </c>
      <c r="D4" s="28" t="s">
        <v>1</v>
      </c>
      <c r="E4" s="28" t="s">
        <v>2</v>
      </c>
      <c r="F4" s="28">
        <v>175550</v>
      </c>
    </row>
    <row r="5" spans="1:6">
      <c r="A5" s="28" t="s">
        <v>35</v>
      </c>
      <c r="B5" s="28" t="s">
        <v>0</v>
      </c>
      <c r="C5" s="28">
        <v>2013</v>
      </c>
      <c r="D5" s="28" t="s">
        <v>1</v>
      </c>
      <c r="E5" s="28" t="s">
        <v>2</v>
      </c>
      <c r="F5" s="28">
        <v>231018</v>
      </c>
    </row>
    <row r="6" spans="1:6">
      <c r="A6" s="28" t="s">
        <v>35</v>
      </c>
      <c r="B6" s="28" t="s">
        <v>0</v>
      </c>
      <c r="C6" s="28">
        <v>2014</v>
      </c>
      <c r="D6" s="28" t="s">
        <v>1</v>
      </c>
      <c r="E6" s="28" t="s">
        <v>2</v>
      </c>
      <c r="F6" s="28">
        <v>225202</v>
      </c>
    </row>
    <row r="7" spans="1:6">
      <c r="A7" s="28" t="s">
        <v>35</v>
      </c>
      <c r="B7" s="28" t="s">
        <v>0</v>
      </c>
      <c r="C7" s="28">
        <v>2015</v>
      </c>
      <c r="D7" s="28" t="s">
        <v>1</v>
      </c>
      <c r="E7" s="28" t="s">
        <v>2</v>
      </c>
      <c r="F7" s="28">
        <v>284156</v>
      </c>
    </row>
    <row r="8" spans="1:6">
      <c r="A8" s="28" t="s">
        <v>35</v>
      </c>
      <c r="B8" s="28" t="s">
        <v>0</v>
      </c>
      <c r="C8" s="28">
        <v>2016</v>
      </c>
      <c r="D8" s="28" t="s">
        <v>1</v>
      </c>
      <c r="E8" s="28" t="s">
        <v>2</v>
      </c>
      <c r="F8" s="28">
        <v>298376</v>
      </c>
    </row>
    <row r="9" spans="1:6">
      <c r="A9" s="28" t="s">
        <v>35</v>
      </c>
      <c r="B9" s="28" t="s">
        <v>0</v>
      </c>
      <c r="C9" s="28">
        <v>2017</v>
      </c>
      <c r="D9" s="28" t="s">
        <v>1</v>
      </c>
      <c r="E9" s="28" t="s">
        <v>2</v>
      </c>
      <c r="F9" s="28">
        <v>299858</v>
      </c>
    </row>
    <row r="10" spans="1:6">
      <c r="A10" s="28" t="s">
        <v>35</v>
      </c>
      <c r="B10" s="28" t="s">
        <v>0</v>
      </c>
      <c r="C10" s="28">
        <v>2010</v>
      </c>
      <c r="D10" s="28" t="s">
        <v>1</v>
      </c>
      <c r="E10" s="28" t="s">
        <v>3</v>
      </c>
      <c r="F10" s="28">
        <v>62580</v>
      </c>
    </row>
    <row r="11" spans="1:6">
      <c r="A11" s="28" t="s">
        <v>35</v>
      </c>
      <c r="B11" s="28" t="s">
        <v>0</v>
      </c>
      <c r="C11" s="28">
        <v>2011</v>
      </c>
      <c r="D11" s="28" t="s">
        <v>1</v>
      </c>
      <c r="E11" s="28" t="s">
        <v>3</v>
      </c>
      <c r="F11" s="28">
        <v>49105</v>
      </c>
    </row>
    <row r="12" spans="1:6">
      <c r="A12" s="28" t="s">
        <v>35</v>
      </c>
      <c r="B12" s="28" t="s">
        <v>0</v>
      </c>
      <c r="C12" s="28">
        <v>2012</v>
      </c>
      <c r="D12" s="28" t="s">
        <v>1</v>
      </c>
      <c r="E12" s="28" t="s">
        <v>3</v>
      </c>
      <c r="F12" s="28">
        <v>65414</v>
      </c>
    </row>
    <row r="13" spans="1:6">
      <c r="A13" s="28" t="s">
        <v>35</v>
      </c>
      <c r="B13" s="28" t="s">
        <v>0</v>
      </c>
      <c r="C13" s="28">
        <v>2013</v>
      </c>
      <c r="D13" s="28" t="s">
        <v>1</v>
      </c>
      <c r="E13" s="28" t="s">
        <v>3</v>
      </c>
      <c r="F13" s="28">
        <v>73691</v>
      </c>
    </row>
    <row r="14" spans="1:6">
      <c r="A14" s="28" t="s">
        <v>35</v>
      </c>
      <c r="B14" s="28" t="s">
        <v>0</v>
      </c>
      <c r="C14" s="28">
        <v>2014</v>
      </c>
      <c r="D14" s="28" t="s">
        <v>1</v>
      </c>
      <c r="E14" s="28" t="s">
        <v>3</v>
      </c>
      <c r="F14" s="28">
        <v>129669</v>
      </c>
    </row>
    <row r="15" spans="1:6">
      <c r="A15" s="28" t="s">
        <v>35</v>
      </c>
      <c r="B15" s="28" t="s">
        <v>0</v>
      </c>
      <c r="C15" s="28">
        <v>2015</v>
      </c>
      <c r="D15" s="28" t="s">
        <v>1</v>
      </c>
      <c r="E15" s="28" t="s">
        <v>3</v>
      </c>
      <c r="F15" s="28">
        <v>104093</v>
      </c>
    </row>
    <row r="16" spans="1:6">
      <c r="A16" s="28" t="s">
        <v>35</v>
      </c>
      <c r="B16" s="28" t="s">
        <v>0</v>
      </c>
      <c r="C16" s="28">
        <v>2016</v>
      </c>
      <c r="D16" s="28" t="s">
        <v>1</v>
      </c>
      <c r="E16" s="28" t="s">
        <v>3</v>
      </c>
      <c r="F16" s="28">
        <v>136689</v>
      </c>
    </row>
    <row r="17" spans="1:6">
      <c r="A17" s="28" t="s">
        <v>35</v>
      </c>
      <c r="B17" s="28" t="s">
        <v>0</v>
      </c>
      <c r="C17" s="28">
        <v>2017</v>
      </c>
      <c r="D17" s="28" t="s">
        <v>1</v>
      </c>
      <c r="E17" s="28" t="s">
        <v>3</v>
      </c>
      <c r="F17" s="28">
        <v>172856</v>
      </c>
    </row>
    <row r="18" spans="1:6">
      <c r="A18" s="28" t="s">
        <v>35</v>
      </c>
      <c r="B18" s="28" t="s">
        <v>0</v>
      </c>
      <c r="C18" s="28">
        <v>2010</v>
      </c>
      <c r="D18" s="28" t="s">
        <v>1</v>
      </c>
      <c r="E18" s="28" t="s">
        <v>5</v>
      </c>
      <c r="F18" s="28">
        <v>236239</v>
      </c>
    </row>
    <row r="19" spans="1:6">
      <c r="A19" s="28" t="s">
        <v>35</v>
      </c>
      <c r="B19" s="28" t="s">
        <v>0</v>
      </c>
      <c r="C19" s="28">
        <v>2011</v>
      </c>
      <c r="D19" s="28" t="s">
        <v>1</v>
      </c>
      <c r="E19" s="28" t="s">
        <v>5</v>
      </c>
      <c r="F19" s="28">
        <v>222427</v>
      </c>
    </row>
    <row r="20" spans="1:6">
      <c r="A20" s="28" t="s">
        <v>35</v>
      </c>
      <c r="B20" s="28" t="s">
        <v>0</v>
      </c>
      <c r="C20" s="28">
        <v>2012</v>
      </c>
      <c r="D20" s="28" t="s">
        <v>1</v>
      </c>
      <c r="E20" s="28" t="s">
        <v>5</v>
      </c>
      <c r="F20" s="28">
        <v>240964</v>
      </c>
    </row>
    <row r="21" spans="1:6">
      <c r="A21" s="28" t="s">
        <v>35</v>
      </c>
      <c r="B21" s="28" t="s">
        <v>0</v>
      </c>
      <c r="C21" s="28">
        <v>2013</v>
      </c>
      <c r="D21" s="28" t="s">
        <v>1</v>
      </c>
      <c r="E21" s="28" t="s">
        <v>5</v>
      </c>
      <c r="F21" s="28">
        <v>304709</v>
      </c>
    </row>
    <row r="22" spans="1:6">
      <c r="A22" s="28" t="s">
        <v>35</v>
      </c>
      <c r="B22" s="28" t="s">
        <v>0</v>
      </c>
      <c r="C22" s="28">
        <v>2014</v>
      </c>
      <c r="D22" s="28" t="s">
        <v>1</v>
      </c>
      <c r="E22" s="28" t="s">
        <v>5</v>
      </c>
      <c r="F22" s="28">
        <v>354871</v>
      </c>
    </row>
    <row r="23" spans="1:6">
      <c r="A23" s="28" t="s">
        <v>35</v>
      </c>
      <c r="B23" s="28" t="s">
        <v>0</v>
      </c>
      <c r="C23" s="28">
        <v>2015</v>
      </c>
      <c r="D23" s="28" t="s">
        <v>1</v>
      </c>
      <c r="E23" s="28" t="s">
        <v>5</v>
      </c>
      <c r="F23" s="28">
        <v>388249</v>
      </c>
    </row>
    <row r="24" spans="1:6">
      <c r="A24" s="28" t="s">
        <v>35</v>
      </c>
      <c r="B24" s="28" t="s">
        <v>0</v>
      </c>
      <c r="C24" s="28">
        <v>2016</v>
      </c>
      <c r="D24" s="28" t="s">
        <v>1</v>
      </c>
      <c r="E24" s="28" t="s">
        <v>5</v>
      </c>
      <c r="F24" s="28">
        <v>435065</v>
      </c>
    </row>
    <row r="25" spans="1:6">
      <c r="A25" s="28" t="s">
        <v>35</v>
      </c>
      <c r="B25" s="28" t="s">
        <v>0</v>
      </c>
      <c r="C25" s="28">
        <v>2017</v>
      </c>
      <c r="D25" s="28" t="s">
        <v>1</v>
      </c>
      <c r="E25" s="28" t="s">
        <v>5</v>
      </c>
      <c r="F25" s="28">
        <v>472714</v>
      </c>
    </row>
    <row r="26" spans="1:6">
      <c r="A26" s="28" t="s">
        <v>35</v>
      </c>
      <c r="B26" s="28" t="s">
        <v>0</v>
      </c>
      <c r="C26" s="28">
        <v>2010</v>
      </c>
      <c r="D26" s="28" t="s">
        <v>1</v>
      </c>
      <c r="E26" s="28" t="s">
        <v>6</v>
      </c>
      <c r="F26" s="28">
        <v>80721</v>
      </c>
    </row>
    <row r="27" spans="1:6">
      <c r="A27" s="28" t="s">
        <v>35</v>
      </c>
      <c r="B27" s="28" t="s">
        <v>0</v>
      </c>
      <c r="C27" s="28">
        <v>2011</v>
      </c>
      <c r="D27" s="28" t="s">
        <v>1</v>
      </c>
      <c r="E27" s="28" t="s">
        <v>6</v>
      </c>
      <c r="F27" s="28">
        <v>92610</v>
      </c>
    </row>
    <row r="28" spans="1:6">
      <c r="A28" s="28" t="s">
        <v>35</v>
      </c>
      <c r="B28" s="28" t="s">
        <v>0</v>
      </c>
      <c r="C28" s="28">
        <v>2012</v>
      </c>
      <c r="D28" s="28" t="s">
        <v>1</v>
      </c>
      <c r="E28" s="28" t="s">
        <v>6</v>
      </c>
      <c r="F28" s="28">
        <v>113097</v>
      </c>
    </row>
    <row r="29" spans="1:6">
      <c r="A29" s="28" t="s">
        <v>35</v>
      </c>
      <c r="B29" s="28" t="s">
        <v>0</v>
      </c>
      <c r="C29" s="28">
        <v>2013</v>
      </c>
      <c r="D29" s="28" t="s">
        <v>1</v>
      </c>
      <c r="E29" s="28" t="s">
        <v>6</v>
      </c>
      <c r="F29" s="28">
        <v>137849</v>
      </c>
    </row>
    <row r="30" spans="1:6">
      <c r="A30" s="28" t="s">
        <v>35</v>
      </c>
      <c r="B30" s="28" t="s">
        <v>0</v>
      </c>
      <c r="C30" s="28">
        <v>2014</v>
      </c>
      <c r="D30" s="28" t="s">
        <v>1</v>
      </c>
      <c r="E30" s="28" t="s">
        <v>6</v>
      </c>
      <c r="F30" s="28">
        <v>159461</v>
      </c>
    </row>
    <row r="31" spans="1:6">
      <c r="A31" s="28" t="s">
        <v>35</v>
      </c>
      <c r="B31" s="28" t="s">
        <v>0</v>
      </c>
      <c r="C31" s="28">
        <v>2015</v>
      </c>
      <c r="D31" s="28" t="s">
        <v>1</v>
      </c>
      <c r="E31" s="28" t="s">
        <v>6</v>
      </c>
      <c r="F31" s="28">
        <v>137174</v>
      </c>
    </row>
    <row r="32" spans="1:6">
      <c r="A32" s="28" t="s">
        <v>35</v>
      </c>
      <c r="B32" s="28" t="s">
        <v>0</v>
      </c>
      <c r="C32" s="28">
        <v>2016</v>
      </c>
      <c r="D32" s="28" t="s">
        <v>1</v>
      </c>
      <c r="E32" s="28" t="s">
        <v>6</v>
      </c>
      <c r="F32" s="28">
        <v>151485</v>
      </c>
    </row>
    <row r="33" spans="1:6">
      <c r="A33" s="28" t="s">
        <v>35</v>
      </c>
      <c r="B33" s="28" t="s">
        <v>0</v>
      </c>
      <c r="C33" s="28">
        <v>2017</v>
      </c>
      <c r="D33" s="28" t="s">
        <v>1</v>
      </c>
      <c r="E33" s="28" t="s">
        <v>6</v>
      </c>
      <c r="F33" s="28">
        <v>256970</v>
      </c>
    </row>
    <row r="34" spans="1:6">
      <c r="A34" s="28" t="s">
        <v>35</v>
      </c>
      <c r="B34" s="28" t="s">
        <v>0</v>
      </c>
      <c r="C34" s="28">
        <v>2010</v>
      </c>
      <c r="D34" s="28" t="s">
        <v>1</v>
      </c>
      <c r="E34" s="28" t="s">
        <v>8</v>
      </c>
      <c r="F34" s="28">
        <v>36279</v>
      </c>
    </row>
    <row r="35" spans="1:6">
      <c r="A35" s="28" t="s">
        <v>35</v>
      </c>
      <c r="B35" s="28" t="s">
        <v>0</v>
      </c>
      <c r="C35" s="28">
        <v>2011</v>
      </c>
      <c r="D35" s="28" t="s">
        <v>1</v>
      </c>
      <c r="E35" s="28" t="s">
        <v>8</v>
      </c>
      <c r="F35" s="28">
        <v>98935</v>
      </c>
    </row>
    <row r="36" spans="1:6">
      <c r="A36" s="28" t="s">
        <v>35</v>
      </c>
      <c r="B36" s="28" t="s">
        <v>0</v>
      </c>
      <c r="C36" s="28">
        <v>2012</v>
      </c>
      <c r="D36" s="28" t="s">
        <v>1</v>
      </c>
      <c r="E36" s="28" t="s">
        <v>8</v>
      </c>
      <c r="F36" s="28">
        <v>84557</v>
      </c>
    </row>
    <row r="37" spans="1:6">
      <c r="A37" s="28" t="s">
        <v>35</v>
      </c>
      <c r="B37" s="28" t="s">
        <v>0</v>
      </c>
      <c r="C37" s="28">
        <v>2013</v>
      </c>
      <c r="D37" s="28" t="s">
        <v>1</v>
      </c>
      <c r="E37" s="28" t="s">
        <v>8</v>
      </c>
      <c r="F37" s="28">
        <v>109630</v>
      </c>
    </row>
    <row r="38" spans="1:6">
      <c r="A38" s="28" t="s">
        <v>35</v>
      </c>
      <c r="B38" s="28" t="s">
        <v>0</v>
      </c>
      <c r="C38" s="28">
        <v>2014</v>
      </c>
      <c r="D38" s="28" t="s">
        <v>1</v>
      </c>
      <c r="E38" s="28" t="s">
        <v>8</v>
      </c>
      <c r="F38" s="28">
        <v>101703</v>
      </c>
    </row>
    <row r="39" spans="1:6">
      <c r="A39" s="28" t="s">
        <v>35</v>
      </c>
      <c r="B39" s="28" t="s">
        <v>0</v>
      </c>
      <c r="C39" s="28">
        <v>2015</v>
      </c>
      <c r="D39" s="28" t="s">
        <v>1</v>
      </c>
      <c r="E39" s="28" t="s">
        <v>8</v>
      </c>
      <c r="F39" s="28">
        <v>197799</v>
      </c>
    </row>
    <row r="40" spans="1:6">
      <c r="A40" s="28" t="s">
        <v>35</v>
      </c>
      <c r="B40" s="28" t="s">
        <v>0</v>
      </c>
      <c r="C40" s="28">
        <v>2016</v>
      </c>
      <c r="D40" s="28" t="s">
        <v>1</v>
      </c>
      <c r="E40" s="28" t="s">
        <v>8</v>
      </c>
      <c r="F40" s="28">
        <v>227830</v>
      </c>
    </row>
    <row r="41" spans="1:6">
      <c r="A41" s="28" t="s">
        <v>35</v>
      </c>
      <c r="B41" s="28" t="s">
        <v>0</v>
      </c>
      <c r="C41" s="28">
        <v>2017</v>
      </c>
      <c r="D41" s="28" t="s">
        <v>1</v>
      </c>
      <c r="E41" s="28" t="s">
        <v>8</v>
      </c>
      <c r="F41" s="28">
        <v>179332</v>
      </c>
    </row>
    <row r="42" spans="1:6">
      <c r="A42" s="28" t="s">
        <v>35</v>
      </c>
      <c r="B42" s="28" t="s">
        <v>0</v>
      </c>
      <c r="C42" s="28">
        <v>2010</v>
      </c>
      <c r="D42" s="28" t="s">
        <v>1</v>
      </c>
      <c r="E42" s="28" t="s">
        <v>9</v>
      </c>
      <c r="F42" s="28">
        <v>119239</v>
      </c>
    </row>
    <row r="43" spans="1:6">
      <c r="A43" s="28" t="s">
        <v>35</v>
      </c>
      <c r="B43" s="28" t="s">
        <v>0</v>
      </c>
      <c r="C43" s="28">
        <v>2011</v>
      </c>
      <c r="D43" s="28" t="s">
        <v>1</v>
      </c>
      <c r="E43" s="28" t="s">
        <v>9</v>
      </c>
      <c r="F43" s="28">
        <v>30882</v>
      </c>
    </row>
    <row r="44" spans="1:6">
      <c r="A44" s="28" t="s">
        <v>35</v>
      </c>
      <c r="B44" s="28" t="s">
        <v>0</v>
      </c>
      <c r="C44" s="28">
        <v>2012</v>
      </c>
      <c r="D44" s="28" t="s">
        <v>1</v>
      </c>
      <c r="E44" s="28" t="s">
        <v>9</v>
      </c>
      <c r="F44" s="28">
        <v>43310</v>
      </c>
    </row>
    <row r="45" spans="1:6">
      <c r="A45" s="28" t="s">
        <v>35</v>
      </c>
      <c r="B45" s="28" t="s">
        <v>0</v>
      </c>
      <c r="C45" s="28">
        <v>2013</v>
      </c>
      <c r="D45" s="28" t="s">
        <v>1</v>
      </c>
      <c r="E45" s="28" t="s">
        <v>9</v>
      </c>
      <c r="F45" s="28">
        <v>57230</v>
      </c>
    </row>
    <row r="46" spans="1:6">
      <c r="A46" s="28" t="s">
        <v>35</v>
      </c>
      <c r="B46" s="28" t="s">
        <v>0</v>
      </c>
      <c r="C46" s="28">
        <v>2014</v>
      </c>
      <c r="D46" s="28" t="s">
        <v>1</v>
      </c>
      <c r="E46" s="28" t="s">
        <v>9</v>
      </c>
      <c r="F46" s="28">
        <v>93707</v>
      </c>
    </row>
    <row r="47" spans="1:6">
      <c r="A47" s="28" t="s">
        <v>35</v>
      </c>
      <c r="B47" s="28" t="s">
        <v>0</v>
      </c>
      <c r="C47" s="28">
        <v>2015</v>
      </c>
      <c r="D47" s="28" t="s">
        <v>1</v>
      </c>
      <c r="E47" s="28" t="s">
        <v>9</v>
      </c>
      <c r="F47" s="28">
        <v>53276</v>
      </c>
    </row>
    <row r="48" spans="1:6">
      <c r="A48" s="28" t="s">
        <v>35</v>
      </c>
      <c r="B48" s="28" t="s">
        <v>0</v>
      </c>
      <c r="C48" s="28">
        <v>2016</v>
      </c>
      <c r="D48" s="28" t="s">
        <v>1</v>
      </c>
      <c r="E48" s="28" t="s">
        <v>9</v>
      </c>
      <c r="F48" s="28">
        <v>55750</v>
      </c>
    </row>
    <row r="49" spans="1:6">
      <c r="A49" s="28" t="s">
        <v>35</v>
      </c>
      <c r="B49" s="28" t="s">
        <v>0</v>
      </c>
      <c r="C49" s="28">
        <v>2017</v>
      </c>
      <c r="D49" s="28" t="s">
        <v>1</v>
      </c>
      <c r="E49" s="28" t="s">
        <v>9</v>
      </c>
      <c r="F49" s="28">
        <v>36412</v>
      </c>
    </row>
    <row r="50" spans="1:6">
      <c r="A50" s="28" t="s">
        <v>35</v>
      </c>
      <c r="B50" s="28" t="s">
        <v>0</v>
      </c>
      <c r="C50" s="28">
        <v>2010</v>
      </c>
      <c r="D50" s="28" t="s">
        <v>1</v>
      </c>
      <c r="E50" s="28" t="s">
        <v>10</v>
      </c>
      <c r="F50" s="28">
        <v>236239</v>
      </c>
    </row>
    <row r="51" spans="1:6">
      <c r="A51" s="28" t="s">
        <v>35</v>
      </c>
      <c r="B51" s="28" t="s">
        <v>0</v>
      </c>
      <c r="C51" s="28">
        <v>2011</v>
      </c>
      <c r="D51" s="28" t="s">
        <v>1</v>
      </c>
      <c r="E51" s="28" t="s">
        <v>10</v>
      </c>
      <c r="F51" s="28">
        <v>222427</v>
      </c>
    </row>
    <row r="52" spans="1:6">
      <c r="A52" s="28" t="s">
        <v>35</v>
      </c>
      <c r="B52" s="28" t="s">
        <v>0</v>
      </c>
      <c r="C52" s="28">
        <v>2012</v>
      </c>
      <c r="D52" s="28" t="s">
        <v>1</v>
      </c>
      <c r="E52" s="28" t="s">
        <v>10</v>
      </c>
      <c r="F52" s="28">
        <v>240964</v>
      </c>
    </row>
    <row r="53" spans="1:6">
      <c r="A53" s="28" t="s">
        <v>35</v>
      </c>
      <c r="B53" s="28" t="s">
        <v>0</v>
      </c>
      <c r="C53" s="28">
        <v>2013</v>
      </c>
      <c r="D53" s="28" t="s">
        <v>1</v>
      </c>
      <c r="E53" s="28" t="s">
        <v>10</v>
      </c>
      <c r="F53" s="28">
        <v>304709</v>
      </c>
    </row>
    <row r="54" spans="1:6">
      <c r="A54" s="28" t="s">
        <v>35</v>
      </c>
      <c r="B54" s="28" t="s">
        <v>0</v>
      </c>
      <c r="C54" s="28">
        <v>2014</v>
      </c>
      <c r="D54" s="28" t="s">
        <v>1</v>
      </c>
      <c r="E54" s="28" t="s">
        <v>10</v>
      </c>
      <c r="F54" s="28">
        <v>354871</v>
      </c>
    </row>
    <row r="55" spans="1:6">
      <c r="A55" s="28" t="s">
        <v>35</v>
      </c>
      <c r="B55" s="28" t="s">
        <v>0</v>
      </c>
      <c r="C55" s="28">
        <v>2015</v>
      </c>
      <c r="D55" s="28" t="s">
        <v>1</v>
      </c>
      <c r="E55" s="28" t="s">
        <v>10</v>
      </c>
      <c r="F55" s="28">
        <v>388249</v>
      </c>
    </row>
    <row r="56" spans="1:6">
      <c r="A56" s="28" t="s">
        <v>35</v>
      </c>
      <c r="B56" s="28" t="s">
        <v>0</v>
      </c>
      <c r="C56" s="28">
        <v>2016</v>
      </c>
      <c r="D56" s="28" t="s">
        <v>1</v>
      </c>
      <c r="E56" s="28" t="s">
        <v>10</v>
      </c>
      <c r="F56" s="28">
        <v>435065</v>
      </c>
    </row>
    <row r="57" spans="1:6">
      <c r="A57" s="28" t="s">
        <v>35</v>
      </c>
      <c r="B57" s="28" t="s">
        <v>0</v>
      </c>
      <c r="C57" s="28">
        <v>2017</v>
      </c>
      <c r="D57" s="28" t="s">
        <v>1</v>
      </c>
      <c r="E57" s="28" t="s">
        <v>10</v>
      </c>
      <c r="F57" s="28">
        <v>472714</v>
      </c>
    </row>
    <row r="58" spans="1:6">
      <c r="A58" s="28" t="s">
        <v>35</v>
      </c>
      <c r="B58" s="28" t="s">
        <v>0</v>
      </c>
      <c r="C58" s="28">
        <v>2010</v>
      </c>
      <c r="D58" s="28" t="s">
        <v>1</v>
      </c>
      <c r="E58" s="28" t="s">
        <v>11</v>
      </c>
      <c r="F58" s="28">
        <v>0.65830790005037298</v>
      </c>
    </row>
    <row r="59" spans="1:6">
      <c r="A59" s="28" t="s">
        <v>35</v>
      </c>
      <c r="B59" s="28" t="s">
        <v>0</v>
      </c>
      <c r="C59" s="28">
        <v>2011</v>
      </c>
      <c r="D59" s="28" t="s">
        <v>1</v>
      </c>
      <c r="E59" s="28" t="s">
        <v>11</v>
      </c>
      <c r="F59" s="28">
        <v>0.58363867695918203</v>
      </c>
    </row>
    <row r="60" spans="1:6">
      <c r="A60" s="28" t="s">
        <v>35</v>
      </c>
      <c r="B60" s="28" t="s">
        <v>0</v>
      </c>
      <c r="C60" s="28">
        <v>2012</v>
      </c>
      <c r="D60" s="28" t="s">
        <v>1</v>
      </c>
      <c r="E60" s="28" t="s">
        <v>11</v>
      </c>
      <c r="F60" s="28">
        <v>0.53064773161136103</v>
      </c>
    </row>
    <row r="61" spans="1:6">
      <c r="A61" s="28" t="s">
        <v>35</v>
      </c>
      <c r="B61" s="28" t="s">
        <v>0</v>
      </c>
      <c r="C61" s="28">
        <v>2013</v>
      </c>
      <c r="D61" s="28" t="s">
        <v>1</v>
      </c>
      <c r="E61" s="28" t="s">
        <v>11</v>
      </c>
      <c r="F61" s="28">
        <v>0.54760443570751105</v>
      </c>
    </row>
    <row r="62" spans="1:6">
      <c r="A62" s="28" t="s">
        <v>35</v>
      </c>
      <c r="B62" s="28" t="s">
        <v>0</v>
      </c>
      <c r="C62" s="28">
        <v>2014</v>
      </c>
      <c r="D62" s="28" t="s">
        <v>1</v>
      </c>
      <c r="E62" s="28" t="s">
        <v>11</v>
      </c>
      <c r="F62" s="28">
        <v>0.55065079986812104</v>
      </c>
    </row>
    <row r="63" spans="1:6">
      <c r="A63" s="28" t="s">
        <v>35</v>
      </c>
      <c r="B63" s="28" t="s">
        <v>0</v>
      </c>
      <c r="C63" s="28">
        <v>2015</v>
      </c>
      <c r="D63" s="28" t="s">
        <v>1</v>
      </c>
      <c r="E63" s="28" t="s">
        <v>11</v>
      </c>
      <c r="F63" s="28">
        <v>0.64668550337541097</v>
      </c>
    </row>
    <row r="64" spans="1:6">
      <c r="A64" s="28" t="s">
        <v>35</v>
      </c>
      <c r="B64" s="28" t="s">
        <v>0</v>
      </c>
      <c r="C64" s="28">
        <v>2016</v>
      </c>
      <c r="D64" s="28" t="s">
        <v>1</v>
      </c>
      <c r="E64" s="28" t="s">
        <v>11</v>
      </c>
      <c r="F64" s="28">
        <v>0.65181064898348495</v>
      </c>
    </row>
    <row r="65" spans="1:6">
      <c r="A65" s="28" t="s">
        <v>35</v>
      </c>
      <c r="B65" s="28" t="s">
        <v>0</v>
      </c>
      <c r="C65" s="28">
        <v>2017</v>
      </c>
      <c r="D65" s="28" t="s">
        <v>1</v>
      </c>
      <c r="E65" s="28" t="s">
        <v>11</v>
      </c>
      <c r="F65" s="28">
        <v>0.45639435261066902</v>
      </c>
    </row>
    <row r="66" spans="1:6">
      <c r="A66" s="28" t="s">
        <v>35</v>
      </c>
      <c r="B66" s="28" t="s">
        <v>0</v>
      </c>
      <c r="C66" s="28">
        <v>2010</v>
      </c>
      <c r="D66" s="28" t="s">
        <v>4</v>
      </c>
      <c r="E66" s="28" t="s">
        <v>12</v>
      </c>
      <c r="F66" s="28">
        <v>77949</v>
      </c>
    </row>
    <row r="67" spans="1:6">
      <c r="A67" s="28" t="s">
        <v>35</v>
      </c>
      <c r="B67" s="28" t="s">
        <v>0</v>
      </c>
      <c r="C67" s="28">
        <v>2011</v>
      </c>
      <c r="D67" s="28" t="s">
        <v>4</v>
      </c>
      <c r="E67" s="28" t="s">
        <v>12</v>
      </c>
      <c r="F67" s="28">
        <v>113394</v>
      </c>
    </row>
    <row r="68" spans="1:6">
      <c r="A68" s="28" t="s">
        <v>35</v>
      </c>
      <c r="B68" s="28" t="s">
        <v>0</v>
      </c>
      <c r="C68" s="28">
        <v>2012</v>
      </c>
      <c r="D68" s="28" t="s">
        <v>4</v>
      </c>
      <c r="E68" s="28" t="s">
        <v>12</v>
      </c>
      <c r="F68" s="28">
        <v>137732</v>
      </c>
    </row>
    <row r="69" spans="1:6">
      <c r="A69" s="28" t="s">
        <v>35</v>
      </c>
      <c r="B69" s="28" t="s">
        <v>0</v>
      </c>
      <c r="C69" s="28">
        <v>2013</v>
      </c>
      <c r="D69" s="28" t="s">
        <v>4</v>
      </c>
      <c r="E69" s="28" t="s">
        <v>12</v>
      </c>
      <c r="F69" s="28">
        <v>150880</v>
      </c>
    </row>
    <row r="70" spans="1:6">
      <c r="A70" s="28" t="s">
        <v>35</v>
      </c>
      <c r="B70" s="28" t="s">
        <v>0</v>
      </c>
      <c r="C70" s="28">
        <v>2014</v>
      </c>
      <c r="D70" s="28" t="s">
        <v>4</v>
      </c>
      <c r="E70" s="28" t="s">
        <v>12</v>
      </c>
      <c r="F70" s="28">
        <v>168505</v>
      </c>
    </row>
    <row r="71" spans="1:6">
      <c r="A71" s="28" t="s">
        <v>35</v>
      </c>
      <c r="B71" s="28" t="s">
        <v>0</v>
      </c>
      <c r="C71" s="28">
        <v>2015</v>
      </c>
      <c r="D71" s="28" t="s">
        <v>4</v>
      </c>
      <c r="E71" s="28" t="s">
        <v>12</v>
      </c>
      <c r="F71" s="28">
        <v>207159</v>
      </c>
    </row>
    <row r="72" spans="1:6">
      <c r="A72" s="28" t="s">
        <v>35</v>
      </c>
      <c r="B72" s="28" t="s">
        <v>0</v>
      </c>
      <c r="C72" s="28">
        <v>2016</v>
      </c>
      <c r="D72" s="28" t="s">
        <v>4</v>
      </c>
      <c r="E72" s="28" t="s">
        <v>12</v>
      </c>
      <c r="F72" s="28">
        <v>224524</v>
      </c>
    </row>
    <row r="73" spans="1:6">
      <c r="A73" s="28" t="s">
        <v>35</v>
      </c>
      <c r="B73" s="28" t="s">
        <v>0</v>
      </c>
      <c r="C73" s="28">
        <v>2017</v>
      </c>
      <c r="D73" s="28" t="s">
        <v>4</v>
      </c>
      <c r="E73" s="28" t="s">
        <v>12</v>
      </c>
      <c r="F73" s="28">
        <v>317090</v>
      </c>
    </row>
    <row r="74" spans="1:6">
      <c r="A74" s="28" t="s">
        <v>35</v>
      </c>
      <c r="B74" s="28" t="s">
        <v>0</v>
      </c>
      <c r="C74" s="28">
        <v>2010</v>
      </c>
      <c r="D74" s="28" t="s">
        <v>4</v>
      </c>
      <c r="E74" s="28" t="s">
        <v>13</v>
      </c>
      <c r="F74" s="28">
        <v>3437</v>
      </c>
    </row>
    <row r="75" spans="1:6">
      <c r="A75" s="28" t="s">
        <v>35</v>
      </c>
      <c r="B75" s="28" t="s">
        <v>0</v>
      </c>
      <c r="C75" s="28">
        <v>2011</v>
      </c>
      <c r="D75" s="28" t="s">
        <v>4</v>
      </c>
      <c r="E75" s="28" t="s">
        <v>13</v>
      </c>
      <c r="F75" s="28">
        <v>11690</v>
      </c>
    </row>
    <row r="76" spans="1:6">
      <c r="A76" s="28" t="s">
        <v>35</v>
      </c>
      <c r="B76" s="28" t="s">
        <v>0</v>
      </c>
      <c r="C76" s="28">
        <v>2012</v>
      </c>
      <c r="D76" s="28" t="s">
        <v>4</v>
      </c>
      <c r="E76" s="28" t="s">
        <v>13</v>
      </c>
      <c r="F76" s="28">
        <v>26480</v>
      </c>
    </row>
    <row r="77" spans="1:6">
      <c r="A77" s="28" t="s">
        <v>35</v>
      </c>
      <c r="B77" s="28" t="s">
        <v>0</v>
      </c>
      <c r="C77" s="28">
        <v>2013</v>
      </c>
      <c r="D77" s="28" t="s">
        <v>4</v>
      </c>
      <c r="E77" s="28" t="s">
        <v>13</v>
      </c>
      <c r="F77" s="28">
        <v>32634</v>
      </c>
    </row>
    <row r="78" spans="1:6">
      <c r="A78" s="28" t="s">
        <v>35</v>
      </c>
      <c r="B78" s="28" t="s">
        <v>0</v>
      </c>
      <c r="C78" s="28">
        <v>2014</v>
      </c>
      <c r="D78" s="28" t="s">
        <v>4</v>
      </c>
      <c r="E78" s="28" t="s">
        <v>13</v>
      </c>
      <c r="F78" s="28">
        <v>30917</v>
      </c>
    </row>
    <row r="79" spans="1:6">
      <c r="A79" s="28" t="s">
        <v>35</v>
      </c>
      <c r="B79" s="28" t="s">
        <v>0</v>
      </c>
      <c r="C79" s="28">
        <v>2015</v>
      </c>
      <c r="D79" s="28" t="s">
        <v>4</v>
      </c>
      <c r="E79" s="28" t="s">
        <v>13</v>
      </c>
      <c r="F79" s="28">
        <v>-17952</v>
      </c>
    </row>
    <row r="80" spans="1:6">
      <c r="A80" s="28" t="s">
        <v>35</v>
      </c>
      <c r="B80" s="28" t="s">
        <v>0</v>
      </c>
      <c r="C80" s="28">
        <v>2016</v>
      </c>
      <c r="D80" s="28" t="s">
        <v>4</v>
      </c>
      <c r="E80" s="28" t="s">
        <v>13</v>
      </c>
      <c r="F80" s="28">
        <v>30674</v>
      </c>
    </row>
    <row r="81" spans="1:6">
      <c r="A81" s="28" t="s">
        <v>35</v>
      </c>
      <c r="B81" s="28" t="s">
        <v>0</v>
      </c>
      <c r="C81" s="28">
        <v>2017</v>
      </c>
      <c r="D81" s="28" t="s">
        <v>4</v>
      </c>
      <c r="E81" s="28" t="s">
        <v>13</v>
      </c>
      <c r="F81" s="28">
        <v>131392</v>
      </c>
    </row>
    <row r="82" spans="1:6">
      <c r="A82" s="28" t="s">
        <v>35</v>
      </c>
      <c r="B82" s="28" t="s">
        <v>0</v>
      </c>
      <c r="C82" s="28">
        <v>2010</v>
      </c>
      <c r="D82" s="28" t="s">
        <v>4</v>
      </c>
      <c r="E82" s="28" t="s">
        <v>14</v>
      </c>
      <c r="F82" s="28">
        <v>2557.6420173967799</v>
      </c>
    </row>
    <row r="83" spans="1:6">
      <c r="A83" s="28" t="s">
        <v>35</v>
      </c>
      <c r="B83" s="28" t="s">
        <v>0</v>
      </c>
      <c r="C83" s="28">
        <v>2011</v>
      </c>
      <c r="D83" s="28" t="s">
        <v>4</v>
      </c>
      <c r="E83" s="28" t="s">
        <v>14</v>
      </c>
      <c r="F83" s="28">
        <v>3521.9793701721601</v>
      </c>
    </row>
    <row r="84" spans="1:6">
      <c r="A84" s="28" t="s">
        <v>35</v>
      </c>
      <c r="B84" s="28" t="s">
        <v>0</v>
      </c>
      <c r="C84" s="28">
        <v>2012</v>
      </c>
      <c r="D84" s="28" t="s">
        <v>4</v>
      </c>
      <c r="E84" s="28" t="s">
        <v>14</v>
      </c>
      <c r="F84" s="28">
        <v>4534.7302017930597</v>
      </c>
    </row>
    <row r="85" spans="1:6">
      <c r="A85" s="28" t="s">
        <v>35</v>
      </c>
      <c r="B85" s="28" t="s">
        <v>0</v>
      </c>
      <c r="C85" s="28">
        <v>2013</v>
      </c>
      <c r="D85" s="28" t="s">
        <v>4</v>
      </c>
      <c r="E85" s="28" t="s">
        <v>14</v>
      </c>
      <c r="F85" s="28">
        <v>4609.9507473448803</v>
      </c>
    </row>
    <row r="86" spans="1:6">
      <c r="A86" s="28" t="s">
        <v>35</v>
      </c>
      <c r="B86" s="28" t="s">
        <v>0</v>
      </c>
      <c r="C86" s="28">
        <v>2014</v>
      </c>
      <c r="D86" s="28" t="s">
        <v>4</v>
      </c>
      <c r="E86" s="28" t="s">
        <v>14</v>
      </c>
      <c r="F86" s="28">
        <v>2995.1971616682999</v>
      </c>
    </row>
    <row r="87" spans="1:6">
      <c r="A87" s="28" t="s">
        <v>35</v>
      </c>
      <c r="B87" s="28" t="s">
        <v>0</v>
      </c>
      <c r="C87" s="28">
        <v>2015</v>
      </c>
      <c r="D87" s="28" t="s">
        <v>4</v>
      </c>
      <c r="E87" s="28" t="s">
        <v>14</v>
      </c>
      <c r="F87" s="28">
        <v>2842.3617676074</v>
      </c>
    </row>
    <row r="88" spans="1:6">
      <c r="A88" s="28" t="s">
        <v>35</v>
      </c>
      <c r="B88" s="28" t="s">
        <v>0</v>
      </c>
      <c r="C88" s="28">
        <v>2016</v>
      </c>
      <c r="D88" s="28" t="s">
        <v>4</v>
      </c>
      <c r="E88" s="28" t="s">
        <v>14</v>
      </c>
      <c r="F88" s="28">
        <v>3701.5409623637202</v>
      </c>
    </row>
    <row r="89" spans="1:6">
      <c r="A89" s="28" t="s">
        <v>35</v>
      </c>
      <c r="B89" s="28" t="s">
        <v>0</v>
      </c>
      <c r="C89" s="28">
        <v>2017</v>
      </c>
      <c r="D89" s="28" t="s">
        <v>4</v>
      </c>
      <c r="E89" s="28" t="s">
        <v>14</v>
      </c>
      <c r="F89" s="28">
        <v>5505.0156075846999</v>
      </c>
    </row>
    <row r="90" spans="1:6">
      <c r="A90" s="28" t="s">
        <v>35</v>
      </c>
      <c r="B90" s="28" t="s">
        <v>0</v>
      </c>
      <c r="C90" s="28">
        <v>2010</v>
      </c>
      <c r="D90" s="28" t="s">
        <v>4</v>
      </c>
      <c r="E90" s="28" t="s">
        <v>15</v>
      </c>
      <c r="F90" s="28">
        <v>112.77393698178</v>
      </c>
    </row>
    <row r="91" spans="1:6">
      <c r="A91" s="28" t="s">
        <v>35</v>
      </c>
      <c r="B91" s="28" t="s">
        <v>0</v>
      </c>
      <c r="C91" s="28">
        <v>2011</v>
      </c>
      <c r="D91" s="28" t="s">
        <v>4</v>
      </c>
      <c r="E91" s="28" t="s">
        <v>15</v>
      </c>
      <c r="F91" s="28">
        <v>363.08745469171703</v>
      </c>
    </row>
    <row r="92" spans="1:6">
      <c r="A92" s="28" t="s">
        <v>35</v>
      </c>
      <c r="B92" s="28" t="s">
        <v>0</v>
      </c>
      <c r="C92" s="28">
        <v>2012</v>
      </c>
      <c r="D92" s="28" t="s">
        <v>4</v>
      </c>
      <c r="E92" s="28" t="s">
        <v>15</v>
      </c>
      <c r="F92" s="28">
        <v>871.83556285743498</v>
      </c>
    </row>
    <row r="93" spans="1:6">
      <c r="A93" s="28" t="s">
        <v>35</v>
      </c>
      <c r="B93" s="28" t="s">
        <v>0</v>
      </c>
      <c r="C93" s="28">
        <v>2013</v>
      </c>
      <c r="D93" s="28" t="s">
        <v>4</v>
      </c>
      <c r="E93" s="28" t="s">
        <v>15</v>
      </c>
      <c r="F93" s="28">
        <v>997.09128240225903</v>
      </c>
    </row>
    <row r="94" spans="1:6">
      <c r="A94" s="28" t="s">
        <v>35</v>
      </c>
      <c r="B94" s="28" t="s">
        <v>0</v>
      </c>
      <c r="C94" s="28">
        <v>2014</v>
      </c>
      <c r="D94" s="28" t="s">
        <v>4</v>
      </c>
      <c r="E94" s="28" t="s">
        <v>15</v>
      </c>
      <c r="F94" s="28">
        <v>549.55348890121297</v>
      </c>
    </row>
    <row r="95" spans="1:6">
      <c r="A95" s="28" t="s">
        <v>35</v>
      </c>
      <c r="B95" s="28" t="s">
        <v>0</v>
      </c>
      <c r="C95" s="28">
        <v>2015</v>
      </c>
      <c r="D95" s="28" t="s">
        <v>4</v>
      </c>
      <c r="E95" s="28" t="s">
        <v>15</v>
      </c>
      <c r="F95" s="28">
        <v>-246.31359705389599</v>
      </c>
    </row>
    <row r="96" spans="1:6">
      <c r="A96" s="28" t="s">
        <v>35</v>
      </c>
      <c r="B96" s="28" t="s">
        <v>0</v>
      </c>
      <c r="C96" s="28">
        <v>2016</v>
      </c>
      <c r="D96" s="28" t="s">
        <v>4</v>
      </c>
      <c r="E96" s="28" t="s">
        <v>15</v>
      </c>
      <c r="F96" s="28">
        <v>505.69679624247198</v>
      </c>
    </row>
    <row r="97" spans="1:6">
      <c r="A97" s="28" t="s">
        <v>35</v>
      </c>
      <c r="B97" s="28" t="s">
        <v>0</v>
      </c>
      <c r="C97" s="28">
        <v>2017</v>
      </c>
      <c r="D97" s="28" t="s">
        <v>4</v>
      </c>
      <c r="E97" s="28" t="s">
        <v>15</v>
      </c>
      <c r="F97" s="28">
        <v>2281.1031906139201</v>
      </c>
    </row>
    <row r="98" spans="1:6">
      <c r="A98" s="28" t="s">
        <v>35</v>
      </c>
      <c r="B98" s="28" t="s">
        <v>0</v>
      </c>
      <c r="C98" s="28">
        <v>2010</v>
      </c>
      <c r="D98" s="28" t="s">
        <v>7</v>
      </c>
      <c r="E98" s="28" t="s">
        <v>16</v>
      </c>
      <c r="F98" s="28">
        <v>12297</v>
      </c>
    </row>
    <row r="99" spans="1:6">
      <c r="A99" s="28" t="s">
        <v>35</v>
      </c>
      <c r="B99" s="28" t="s">
        <v>0</v>
      </c>
      <c r="C99" s="28">
        <v>2011</v>
      </c>
      <c r="D99" s="28" t="s">
        <v>7</v>
      </c>
      <c r="E99" s="28" t="s">
        <v>16</v>
      </c>
      <c r="F99" s="28">
        <v>26884</v>
      </c>
    </row>
    <row r="100" spans="1:6">
      <c r="A100" s="28" t="s">
        <v>35</v>
      </c>
      <c r="B100" s="28" t="s">
        <v>0</v>
      </c>
      <c r="C100" s="28">
        <v>2012</v>
      </c>
      <c r="D100" s="28" t="s">
        <v>7</v>
      </c>
      <c r="E100" s="28" t="s">
        <v>16</v>
      </c>
      <c r="F100" s="28">
        <v>47019</v>
      </c>
    </row>
    <row r="101" spans="1:6">
      <c r="A101" s="28" t="s">
        <v>35</v>
      </c>
      <c r="B101" s="28" t="s">
        <v>0</v>
      </c>
      <c r="C101" s="28">
        <v>2013</v>
      </c>
      <c r="D101" s="28" t="s">
        <v>7</v>
      </c>
      <c r="E101" s="28" t="s">
        <v>16</v>
      </c>
      <c r="F101" s="28">
        <v>44408</v>
      </c>
    </row>
    <row r="102" spans="1:6">
      <c r="A102" s="28" t="s">
        <v>35</v>
      </c>
      <c r="B102" s="28" t="s">
        <v>0</v>
      </c>
      <c r="C102" s="28">
        <v>2014</v>
      </c>
      <c r="D102" s="28" t="s">
        <v>7</v>
      </c>
      <c r="E102" s="28" t="s">
        <v>16</v>
      </c>
      <c r="F102" s="28">
        <v>48463</v>
      </c>
    </row>
    <row r="103" spans="1:6">
      <c r="A103" s="28" t="s">
        <v>35</v>
      </c>
      <c r="B103" s="28" t="s">
        <v>0</v>
      </c>
      <c r="C103" s="28">
        <v>2015</v>
      </c>
      <c r="D103" s="28" t="s">
        <v>7</v>
      </c>
      <c r="E103" s="28" t="s">
        <v>16</v>
      </c>
      <c r="F103" s="28">
        <v>74872</v>
      </c>
    </row>
    <row r="104" spans="1:6">
      <c r="A104" s="28" t="s">
        <v>35</v>
      </c>
      <c r="B104" s="28" t="s">
        <v>0</v>
      </c>
      <c r="C104" s="28">
        <v>2016</v>
      </c>
      <c r="D104" s="28" t="s">
        <v>7</v>
      </c>
      <c r="E104" s="28" t="s">
        <v>16</v>
      </c>
      <c r="F104" s="28">
        <v>102832</v>
      </c>
    </row>
    <row r="105" spans="1:6">
      <c r="A105" s="28" t="s">
        <v>35</v>
      </c>
      <c r="B105" s="28" t="s">
        <v>0</v>
      </c>
      <c r="C105" s="28">
        <v>2017</v>
      </c>
      <c r="D105" s="28" t="s">
        <v>7</v>
      </c>
      <c r="E105" s="28" t="s">
        <v>16</v>
      </c>
      <c r="F105" s="28">
        <v>144183</v>
      </c>
    </row>
    <row r="106" spans="1:6">
      <c r="A106" s="28" t="s">
        <v>35</v>
      </c>
      <c r="B106" s="28" t="s">
        <v>0</v>
      </c>
      <c r="C106" s="28">
        <v>2010</v>
      </c>
      <c r="D106" s="28" t="s">
        <v>7</v>
      </c>
      <c r="E106" s="28" t="s">
        <v>17</v>
      </c>
      <c r="F106" s="28">
        <v>403.485918843452</v>
      </c>
    </row>
    <row r="107" spans="1:6">
      <c r="A107" s="28" t="s">
        <v>35</v>
      </c>
      <c r="B107" s="28" t="s">
        <v>0</v>
      </c>
      <c r="C107" s="28">
        <v>2011</v>
      </c>
      <c r="D107" s="28" t="s">
        <v>7</v>
      </c>
      <c r="E107" s="28" t="s">
        <v>17</v>
      </c>
      <c r="F107" s="28">
        <v>835.00796680343296</v>
      </c>
    </row>
    <row r="108" spans="1:6">
      <c r="A108" s="28" t="s">
        <v>35</v>
      </c>
      <c r="B108" s="28" t="s">
        <v>0</v>
      </c>
      <c r="C108" s="28">
        <v>2012</v>
      </c>
      <c r="D108" s="28" t="s">
        <v>7</v>
      </c>
      <c r="E108" s="28" t="s">
        <v>17</v>
      </c>
      <c r="F108" s="28">
        <v>1548.06783723541</v>
      </c>
    </row>
    <row r="109" spans="1:6">
      <c r="A109" s="28" t="s">
        <v>35</v>
      </c>
      <c r="B109" s="28" t="s">
        <v>0</v>
      </c>
      <c r="C109" s="28">
        <v>2013</v>
      </c>
      <c r="D109" s="28" t="s">
        <v>7</v>
      </c>
      <c r="E109" s="28" t="s">
        <v>17</v>
      </c>
      <c r="F109" s="28">
        <v>1356.8312088288101</v>
      </c>
    </row>
    <row r="110" spans="1:6">
      <c r="A110" s="28" t="s">
        <v>35</v>
      </c>
      <c r="B110" s="28" t="s">
        <v>0</v>
      </c>
      <c r="C110" s="28">
        <v>2014</v>
      </c>
      <c r="D110" s="28" t="s">
        <v>7</v>
      </c>
      <c r="E110" s="28" t="s">
        <v>17</v>
      </c>
      <c r="F110" s="28">
        <v>861.43580336447496</v>
      </c>
    </row>
    <row r="111" spans="1:6">
      <c r="A111" s="28" t="s">
        <v>35</v>
      </c>
      <c r="B111" s="28" t="s">
        <v>0</v>
      </c>
      <c r="C111" s="28">
        <v>2015</v>
      </c>
      <c r="D111" s="28" t="s">
        <v>7</v>
      </c>
      <c r="E111" s="28" t="s">
        <v>17</v>
      </c>
      <c r="F111" s="28">
        <v>1027.29454314947</v>
      </c>
    </row>
    <row r="112" spans="1:6">
      <c r="A112" s="28" t="s">
        <v>35</v>
      </c>
      <c r="B112" s="28" t="s">
        <v>0</v>
      </c>
      <c r="C112" s="28">
        <v>2016</v>
      </c>
      <c r="D112" s="28" t="s">
        <v>7</v>
      </c>
      <c r="E112" s="28" t="s">
        <v>17</v>
      </c>
      <c r="F112" s="28">
        <v>1695.30589265195</v>
      </c>
    </row>
    <row r="113" spans="1:6">
      <c r="A113" s="28" t="s">
        <v>35</v>
      </c>
      <c r="B113" s="28" t="s">
        <v>0</v>
      </c>
      <c r="C113" s="28">
        <v>2017</v>
      </c>
      <c r="D113" s="28" t="s">
        <v>7</v>
      </c>
      <c r="E113" s="28" t="s">
        <v>17</v>
      </c>
      <c r="F113" s="28">
        <v>2503.1683917764199</v>
      </c>
    </row>
    <row r="114" spans="1:6">
      <c r="A114" s="28" t="s">
        <v>35</v>
      </c>
      <c r="B114" s="28" t="s">
        <v>0</v>
      </c>
      <c r="C114" s="28">
        <v>2010</v>
      </c>
      <c r="D114" s="28" t="s">
        <v>20</v>
      </c>
      <c r="E114" s="28" t="s">
        <v>18</v>
      </c>
      <c r="F114" s="28">
        <v>7326.2964679999995</v>
      </c>
    </row>
    <row r="115" spans="1:6">
      <c r="A115" s="28" t="s">
        <v>35</v>
      </c>
      <c r="B115" s="28" t="s">
        <v>0</v>
      </c>
      <c r="C115" s="28">
        <v>2011</v>
      </c>
      <c r="D115" s="28" t="s">
        <v>20</v>
      </c>
      <c r="E115" s="28" t="s">
        <v>18</v>
      </c>
      <c r="F115" s="28">
        <v>7326.2964679999995</v>
      </c>
    </row>
    <row r="116" spans="1:6">
      <c r="A116" s="28" t="s">
        <v>35</v>
      </c>
      <c r="B116" s="28" t="s">
        <v>0</v>
      </c>
      <c r="C116" s="28">
        <v>2012</v>
      </c>
      <c r="D116" s="28" t="s">
        <v>20</v>
      </c>
      <c r="E116" s="28" t="s">
        <v>18</v>
      </c>
      <c r="F116" s="28">
        <v>7230.1643649999996</v>
      </c>
    </row>
    <row r="117" spans="1:6">
      <c r="A117" s="28" t="s">
        <v>35</v>
      </c>
      <c r="B117" s="28" t="s">
        <v>0</v>
      </c>
      <c r="C117" s="28">
        <v>2013</v>
      </c>
      <c r="D117" s="28" t="s">
        <v>20</v>
      </c>
      <c r="E117" s="28" t="s">
        <v>18</v>
      </c>
      <c r="F117" s="28">
        <v>7215.5832300000002</v>
      </c>
    </row>
    <row r="118" spans="1:6">
      <c r="A118" s="28" t="s">
        <v>35</v>
      </c>
      <c r="B118" s="28" t="s">
        <v>0</v>
      </c>
      <c r="C118" s="28">
        <v>2014</v>
      </c>
      <c r="D118" s="28" t="s">
        <v>20</v>
      </c>
      <c r="E118" s="28" t="s">
        <v>18</v>
      </c>
      <c r="F118" s="28">
        <v>7253.7177499999998</v>
      </c>
    </row>
    <row r="119" spans="1:6">
      <c r="A119" s="28" t="s">
        <v>35</v>
      </c>
      <c r="B119" s="28" t="s">
        <v>0</v>
      </c>
      <c r="C119" s="28">
        <v>2015</v>
      </c>
      <c r="D119" s="28" t="s">
        <v>20</v>
      </c>
      <c r="E119" s="28" t="s">
        <v>18</v>
      </c>
      <c r="F119" s="28">
        <v>7360.600109</v>
      </c>
    </row>
    <row r="120" spans="1:6">
      <c r="A120" s="28" t="s">
        <v>35</v>
      </c>
      <c r="B120" s="28" t="s">
        <v>0</v>
      </c>
      <c r="C120" s="28">
        <v>2016</v>
      </c>
      <c r="D120" s="28" t="s">
        <v>20</v>
      </c>
      <c r="E120" s="28" t="s">
        <v>18</v>
      </c>
      <c r="F120" s="28">
        <v>7359.1791679999997</v>
      </c>
    </row>
    <row r="121" spans="1:6">
      <c r="A121" s="28" t="s">
        <v>35</v>
      </c>
      <c r="B121" s="28" t="s">
        <v>0</v>
      </c>
      <c r="C121" s="28">
        <v>2017</v>
      </c>
      <c r="D121" s="28" t="s">
        <v>20</v>
      </c>
      <c r="E121" s="28" t="s">
        <v>18</v>
      </c>
      <c r="F121" s="28">
        <v>7362.5309079999997</v>
      </c>
    </row>
    <row r="122" spans="1:6">
      <c r="A122" s="28" t="s">
        <v>35</v>
      </c>
      <c r="B122" s="28" t="s">
        <v>0</v>
      </c>
      <c r="C122" s="28">
        <v>2010</v>
      </c>
      <c r="D122" s="28" t="s">
        <v>20</v>
      </c>
      <c r="E122" s="28" t="s">
        <v>19</v>
      </c>
      <c r="F122" s="28">
        <v>0</v>
      </c>
    </row>
    <row r="123" spans="1:6">
      <c r="A123" s="28" t="s">
        <v>35</v>
      </c>
      <c r="B123" s="28" t="s">
        <v>0</v>
      </c>
      <c r="C123" s="28">
        <v>2011</v>
      </c>
      <c r="D123" s="28" t="s">
        <v>20</v>
      </c>
      <c r="E123" s="28" t="s">
        <v>19</v>
      </c>
      <c r="F123" s="28">
        <v>0</v>
      </c>
    </row>
    <row r="124" spans="1:6">
      <c r="A124" s="28" t="s">
        <v>35</v>
      </c>
      <c r="B124" s="28" t="s">
        <v>0</v>
      </c>
      <c r="C124" s="28">
        <v>2012</v>
      </c>
      <c r="D124" s="28" t="s">
        <v>20</v>
      </c>
      <c r="E124" s="28" t="s">
        <v>19</v>
      </c>
      <c r="F124" s="28">
        <v>31</v>
      </c>
    </row>
    <row r="125" spans="1:6">
      <c r="A125" s="28" t="s">
        <v>35</v>
      </c>
      <c r="B125" s="28" t="s">
        <v>0</v>
      </c>
      <c r="C125" s="28">
        <v>2013</v>
      </c>
      <c r="D125" s="28" t="s">
        <v>20</v>
      </c>
      <c r="E125" s="28" t="s">
        <v>19</v>
      </c>
      <c r="F125" s="28">
        <v>30</v>
      </c>
    </row>
    <row r="126" spans="1:6">
      <c r="A126" s="28" t="s">
        <v>35</v>
      </c>
      <c r="B126" s="28" t="s">
        <v>0</v>
      </c>
      <c r="C126" s="28">
        <v>2014</v>
      </c>
      <c r="D126" s="28" t="s">
        <v>20</v>
      </c>
      <c r="E126" s="28" t="s">
        <v>19</v>
      </c>
      <c r="F126" s="28">
        <v>35.67</v>
      </c>
    </row>
    <row r="127" spans="1:6">
      <c r="A127" s="28" t="s">
        <v>35</v>
      </c>
      <c r="B127" s="28" t="s">
        <v>0</v>
      </c>
      <c r="C127" s="28">
        <v>2015</v>
      </c>
      <c r="D127" s="28" t="s">
        <v>20</v>
      </c>
      <c r="E127" s="28" t="s">
        <v>19</v>
      </c>
      <c r="F127" s="28">
        <v>63</v>
      </c>
    </row>
    <row r="128" spans="1:6">
      <c r="A128" s="28" t="s">
        <v>35</v>
      </c>
      <c r="B128" s="28" t="s">
        <v>0</v>
      </c>
      <c r="C128" s="28">
        <v>2016</v>
      </c>
      <c r="D128" s="28" t="s">
        <v>20</v>
      </c>
      <c r="E128" s="28" t="s">
        <v>19</v>
      </c>
      <c r="F128" s="28">
        <v>55.94</v>
      </c>
    </row>
    <row r="129" spans="1:6">
      <c r="A129" s="28" t="s">
        <v>35</v>
      </c>
      <c r="B129" s="28" t="s">
        <v>0</v>
      </c>
      <c r="C129" s="28">
        <v>2017</v>
      </c>
      <c r="D129" s="28" t="s">
        <v>20</v>
      </c>
      <c r="E129" s="28" t="s">
        <v>19</v>
      </c>
      <c r="F129" s="28">
        <v>97.43</v>
      </c>
    </row>
    <row r="130" spans="1:6">
      <c r="A130" s="28" t="s">
        <v>36</v>
      </c>
      <c r="B130" s="28" t="s">
        <v>0</v>
      </c>
      <c r="C130" s="28">
        <v>2010</v>
      </c>
      <c r="D130" s="28" t="s">
        <v>1</v>
      </c>
      <c r="E130" s="28" t="s">
        <v>2</v>
      </c>
      <c r="F130" s="28">
        <v>333264.90149999998</v>
      </c>
    </row>
    <row r="131" spans="1:6">
      <c r="A131" s="28" t="s">
        <v>36</v>
      </c>
      <c r="B131" s="28" t="s">
        <v>0</v>
      </c>
      <c r="C131" s="28">
        <v>2011</v>
      </c>
      <c r="D131" s="28" t="s">
        <v>1</v>
      </c>
      <c r="E131" s="28" t="s">
        <v>2</v>
      </c>
      <c r="F131" s="28">
        <v>397432</v>
      </c>
    </row>
    <row r="132" spans="1:6">
      <c r="A132" s="28" t="s">
        <v>36</v>
      </c>
      <c r="B132" s="28" t="s">
        <v>0</v>
      </c>
      <c r="C132" s="28">
        <v>2012</v>
      </c>
      <c r="D132" s="28" t="s">
        <v>1</v>
      </c>
      <c r="E132" s="28" t="s">
        <v>2</v>
      </c>
      <c r="F132" s="28">
        <v>430111</v>
      </c>
    </row>
    <row r="133" spans="1:6">
      <c r="A133" s="28" t="s">
        <v>36</v>
      </c>
      <c r="B133" s="28" t="s">
        <v>0</v>
      </c>
      <c r="C133" s="28">
        <v>2013</v>
      </c>
      <c r="D133" s="28" t="s">
        <v>1</v>
      </c>
      <c r="E133" s="28" t="s">
        <v>2</v>
      </c>
      <c r="F133" s="28">
        <v>402296</v>
      </c>
    </row>
    <row r="134" spans="1:6">
      <c r="A134" s="28" t="s">
        <v>36</v>
      </c>
      <c r="B134" s="28" t="s">
        <v>0</v>
      </c>
      <c r="C134" s="28">
        <v>2014</v>
      </c>
      <c r="D134" s="28" t="s">
        <v>1</v>
      </c>
      <c r="E134" s="28" t="s">
        <v>2</v>
      </c>
      <c r="F134" s="28">
        <v>420008</v>
      </c>
    </row>
    <row r="135" spans="1:6">
      <c r="A135" s="28" t="s">
        <v>36</v>
      </c>
      <c r="B135" s="28" t="s">
        <v>0</v>
      </c>
      <c r="C135" s="28">
        <v>2015</v>
      </c>
      <c r="D135" s="28" t="s">
        <v>1</v>
      </c>
      <c r="E135" s="28" t="s">
        <v>2</v>
      </c>
      <c r="F135" s="28">
        <v>491678</v>
      </c>
    </row>
    <row r="136" spans="1:6">
      <c r="A136" s="28" t="s">
        <v>36</v>
      </c>
      <c r="B136" s="28" t="s">
        <v>0</v>
      </c>
      <c r="C136" s="28">
        <v>2016</v>
      </c>
      <c r="D136" s="28" t="s">
        <v>1</v>
      </c>
      <c r="E136" s="28" t="s">
        <v>2</v>
      </c>
      <c r="F136" s="28">
        <v>647662</v>
      </c>
    </row>
    <row r="137" spans="1:6">
      <c r="A137" s="28" t="s">
        <v>36</v>
      </c>
      <c r="B137" s="28" t="s">
        <v>0</v>
      </c>
      <c r="C137" s="28">
        <v>2017</v>
      </c>
      <c r="D137" s="28" t="s">
        <v>1</v>
      </c>
      <c r="E137" s="28" t="s">
        <v>2</v>
      </c>
      <c r="F137" s="28">
        <v>697570</v>
      </c>
    </row>
    <row r="138" spans="1:6">
      <c r="A138" s="28" t="s">
        <v>36</v>
      </c>
      <c r="B138" s="28" t="s">
        <v>0</v>
      </c>
      <c r="C138" s="28">
        <v>2010</v>
      </c>
      <c r="D138" s="28" t="s">
        <v>1</v>
      </c>
      <c r="E138" s="28" t="s">
        <v>3</v>
      </c>
      <c r="F138" s="28">
        <v>395407.30060000002</v>
      </c>
    </row>
    <row r="139" spans="1:6">
      <c r="A139" s="28" t="s">
        <v>36</v>
      </c>
      <c r="B139" s="28" t="s">
        <v>0</v>
      </c>
      <c r="C139" s="28">
        <v>2011</v>
      </c>
      <c r="D139" s="28" t="s">
        <v>1</v>
      </c>
      <c r="E139" s="28" t="s">
        <v>3</v>
      </c>
      <c r="F139" s="28">
        <v>211525</v>
      </c>
    </row>
    <row r="140" spans="1:6">
      <c r="A140" s="28" t="s">
        <v>36</v>
      </c>
      <c r="B140" s="28" t="s">
        <v>0</v>
      </c>
      <c r="C140" s="28">
        <v>2012</v>
      </c>
      <c r="D140" s="28" t="s">
        <v>1</v>
      </c>
      <c r="E140" s="28" t="s">
        <v>3</v>
      </c>
      <c r="F140" s="28">
        <v>206935</v>
      </c>
    </row>
    <row r="141" spans="1:6">
      <c r="A141" s="28" t="s">
        <v>36</v>
      </c>
      <c r="B141" s="28" t="s">
        <v>0</v>
      </c>
      <c r="C141" s="28">
        <v>2013</v>
      </c>
      <c r="D141" s="28" t="s">
        <v>1</v>
      </c>
      <c r="E141" s="28" t="s">
        <v>3</v>
      </c>
      <c r="F141" s="28">
        <v>212450</v>
      </c>
    </row>
    <row r="142" spans="1:6">
      <c r="A142" s="28" t="s">
        <v>36</v>
      </c>
      <c r="B142" s="28" t="s">
        <v>0</v>
      </c>
      <c r="C142" s="28">
        <v>2014</v>
      </c>
      <c r="D142" s="28" t="s">
        <v>1</v>
      </c>
      <c r="E142" s="28" t="s">
        <v>3</v>
      </c>
      <c r="F142" s="28">
        <v>319767</v>
      </c>
    </row>
    <row r="143" spans="1:6">
      <c r="A143" s="28" t="s">
        <v>36</v>
      </c>
      <c r="B143" s="28" t="s">
        <v>0</v>
      </c>
      <c r="C143" s="28">
        <v>2015</v>
      </c>
      <c r="D143" s="28" t="s">
        <v>1</v>
      </c>
      <c r="E143" s="28" t="s">
        <v>3</v>
      </c>
      <c r="F143" s="28">
        <v>482871</v>
      </c>
    </row>
    <row r="144" spans="1:6">
      <c r="A144" s="28" t="s">
        <v>36</v>
      </c>
      <c r="B144" s="28" t="s">
        <v>0</v>
      </c>
      <c r="C144" s="28">
        <v>2016</v>
      </c>
      <c r="D144" s="28" t="s">
        <v>1</v>
      </c>
      <c r="E144" s="28" t="s">
        <v>3</v>
      </c>
      <c r="F144" s="28">
        <v>354576</v>
      </c>
    </row>
    <row r="145" spans="1:6">
      <c r="A145" s="28" t="s">
        <v>36</v>
      </c>
      <c r="B145" s="28" t="s">
        <v>0</v>
      </c>
      <c r="C145" s="28">
        <v>2017</v>
      </c>
      <c r="D145" s="28" t="s">
        <v>1</v>
      </c>
      <c r="E145" s="28" t="s">
        <v>3</v>
      </c>
      <c r="F145" s="28">
        <v>260700</v>
      </c>
    </row>
    <row r="146" spans="1:6">
      <c r="A146" s="28" t="s">
        <v>36</v>
      </c>
      <c r="B146" s="28" t="s">
        <v>0</v>
      </c>
      <c r="C146" s="28">
        <v>2010</v>
      </c>
      <c r="D146" s="28" t="s">
        <v>1</v>
      </c>
      <c r="E146" s="28" t="s">
        <v>5</v>
      </c>
      <c r="F146" s="28">
        <v>728672.20209999999</v>
      </c>
    </row>
    <row r="147" spans="1:6">
      <c r="A147" s="28" t="s">
        <v>36</v>
      </c>
      <c r="B147" s="28" t="s">
        <v>0</v>
      </c>
      <c r="C147" s="28">
        <v>2011</v>
      </c>
      <c r="D147" s="28" t="s">
        <v>1</v>
      </c>
      <c r="E147" s="28" t="s">
        <v>5</v>
      </c>
      <c r="F147" s="28">
        <v>608957</v>
      </c>
    </row>
    <row r="148" spans="1:6">
      <c r="A148" s="28" t="s">
        <v>36</v>
      </c>
      <c r="B148" s="28" t="s">
        <v>0</v>
      </c>
      <c r="C148" s="28">
        <v>2012</v>
      </c>
      <c r="D148" s="28" t="s">
        <v>1</v>
      </c>
      <c r="E148" s="28" t="s">
        <v>5</v>
      </c>
      <c r="F148" s="28">
        <v>637046</v>
      </c>
    </row>
    <row r="149" spans="1:6">
      <c r="A149" s="28" t="s">
        <v>36</v>
      </c>
      <c r="B149" s="28" t="s">
        <v>0</v>
      </c>
      <c r="C149" s="28">
        <v>2013</v>
      </c>
      <c r="D149" s="28" t="s">
        <v>1</v>
      </c>
      <c r="E149" s="28" t="s">
        <v>5</v>
      </c>
      <c r="F149" s="28">
        <v>614746</v>
      </c>
    </row>
    <row r="150" spans="1:6">
      <c r="A150" s="28" t="s">
        <v>36</v>
      </c>
      <c r="B150" s="28" t="s">
        <v>0</v>
      </c>
      <c r="C150" s="28">
        <v>2014</v>
      </c>
      <c r="D150" s="28" t="s">
        <v>1</v>
      </c>
      <c r="E150" s="28" t="s">
        <v>5</v>
      </c>
      <c r="F150" s="28">
        <v>739775</v>
      </c>
    </row>
    <row r="151" spans="1:6">
      <c r="A151" s="28" t="s">
        <v>36</v>
      </c>
      <c r="B151" s="28" t="s">
        <v>0</v>
      </c>
      <c r="C151" s="28">
        <v>2015</v>
      </c>
      <c r="D151" s="28" t="s">
        <v>1</v>
      </c>
      <c r="E151" s="28" t="s">
        <v>5</v>
      </c>
      <c r="F151" s="28">
        <v>974549</v>
      </c>
    </row>
    <row r="152" spans="1:6">
      <c r="A152" s="28" t="s">
        <v>36</v>
      </c>
      <c r="B152" s="28" t="s">
        <v>0</v>
      </c>
      <c r="C152" s="28">
        <v>2016</v>
      </c>
      <c r="D152" s="28" t="s">
        <v>1</v>
      </c>
      <c r="E152" s="28" t="s">
        <v>5</v>
      </c>
      <c r="F152" s="28">
        <v>1002238</v>
      </c>
    </row>
    <row r="153" spans="1:6">
      <c r="A153" s="28" t="s">
        <v>36</v>
      </c>
      <c r="B153" s="28" t="s">
        <v>0</v>
      </c>
      <c r="C153" s="28">
        <v>2017</v>
      </c>
      <c r="D153" s="28" t="s">
        <v>1</v>
      </c>
      <c r="E153" s="28" t="s">
        <v>5</v>
      </c>
      <c r="F153" s="28">
        <v>958270</v>
      </c>
    </row>
    <row r="154" spans="1:6">
      <c r="A154" s="28" t="s">
        <v>36</v>
      </c>
      <c r="B154" s="28" t="s">
        <v>0</v>
      </c>
      <c r="C154" s="28">
        <v>2010</v>
      </c>
      <c r="D154" s="28" t="s">
        <v>1</v>
      </c>
      <c r="E154" s="28" t="s">
        <v>6</v>
      </c>
      <c r="F154" s="28">
        <v>547791.80059999996</v>
      </c>
    </row>
    <row r="155" spans="1:6">
      <c r="A155" s="28" t="s">
        <v>36</v>
      </c>
      <c r="B155" s="28" t="s">
        <v>0</v>
      </c>
      <c r="C155" s="28">
        <v>2011</v>
      </c>
      <c r="D155" s="28" t="s">
        <v>1</v>
      </c>
      <c r="E155" s="28" t="s">
        <v>6</v>
      </c>
      <c r="F155" s="28">
        <v>361338</v>
      </c>
    </row>
    <row r="156" spans="1:6">
      <c r="A156" s="28" t="s">
        <v>36</v>
      </c>
      <c r="B156" s="28" t="s">
        <v>0</v>
      </c>
      <c r="C156" s="28">
        <v>2012</v>
      </c>
      <c r="D156" s="28" t="s">
        <v>1</v>
      </c>
      <c r="E156" s="28" t="s">
        <v>6</v>
      </c>
      <c r="F156" s="28">
        <v>393020</v>
      </c>
    </row>
    <row r="157" spans="1:6">
      <c r="A157" s="28" t="s">
        <v>36</v>
      </c>
      <c r="B157" s="28" t="s">
        <v>0</v>
      </c>
      <c r="C157" s="28">
        <v>2013</v>
      </c>
      <c r="D157" s="28" t="s">
        <v>1</v>
      </c>
      <c r="E157" s="28" t="s">
        <v>6</v>
      </c>
      <c r="F157" s="28">
        <v>319130</v>
      </c>
    </row>
    <row r="158" spans="1:6">
      <c r="A158" s="28" t="s">
        <v>36</v>
      </c>
      <c r="B158" s="28" t="s">
        <v>0</v>
      </c>
      <c r="C158" s="28">
        <v>2014</v>
      </c>
      <c r="D158" s="28" t="s">
        <v>1</v>
      </c>
      <c r="E158" s="28" t="s">
        <v>6</v>
      </c>
      <c r="F158" s="28">
        <v>269641</v>
      </c>
    </row>
    <row r="159" spans="1:6">
      <c r="A159" s="28" t="s">
        <v>36</v>
      </c>
      <c r="B159" s="28" t="s">
        <v>0</v>
      </c>
      <c r="C159" s="28">
        <v>2015</v>
      </c>
      <c r="D159" s="28" t="s">
        <v>1</v>
      </c>
      <c r="E159" s="28" t="s">
        <v>6</v>
      </c>
      <c r="F159" s="28">
        <v>164885</v>
      </c>
    </row>
    <row r="160" spans="1:6">
      <c r="A160" s="28" t="s">
        <v>36</v>
      </c>
      <c r="B160" s="28" t="s">
        <v>0</v>
      </c>
      <c r="C160" s="28">
        <v>2016</v>
      </c>
      <c r="D160" s="28" t="s">
        <v>1</v>
      </c>
      <c r="E160" s="28" t="s">
        <v>6</v>
      </c>
      <c r="F160" s="28">
        <v>236501</v>
      </c>
    </row>
    <row r="161" spans="1:6">
      <c r="A161" s="28" t="s">
        <v>36</v>
      </c>
      <c r="B161" s="28" t="s">
        <v>0</v>
      </c>
      <c r="C161" s="28">
        <v>2017</v>
      </c>
      <c r="D161" s="28" t="s">
        <v>1</v>
      </c>
      <c r="E161" s="28" t="s">
        <v>6</v>
      </c>
      <c r="F161" s="28">
        <v>268272</v>
      </c>
    </row>
    <row r="162" spans="1:6">
      <c r="A162" s="28" t="s">
        <v>36</v>
      </c>
      <c r="B162" s="28" t="s">
        <v>0</v>
      </c>
      <c r="C162" s="28">
        <v>2010</v>
      </c>
      <c r="D162" s="28" t="s">
        <v>1</v>
      </c>
      <c r="E162" s="28" t="s">
        <v>8</v>
      </c>
      <c r="F162" s="28">
        <v>98684.2022</v>
      </c>
    </row>
    <row r="163" spans="1:6">
      <c r="A163" s="28" t="s">
        <v>36</v>
      </c>
      <c r="B163" s="28" t="s">
        <v>0</v>
      </c>
      <c r="C163" s="28">
        <v>2011</v>
      </c>
      <c r="D163" s="28" t="s">
        <v>1</v>
      </c>
      <c r="E163" s="28" t="s">
        <v>8</v>
      </c>
      <c r="F163" s="28">
        <v>124228</v>
      </c>
    </row>
    <row r="164" spans="1:6">
      <c r="A164" s="28" t="s">
        <v>36</v>
      </c>
      <c r="B164" s="28" t="s">
        <v>0</v>
      </c>
      <c r="C164" s="28">
        <v>2012</v>
      </c>
      <c r="D164" s="28" t="s">
        <v>1</v>
      </c>
      <c r="E164" s="28" t="s">
        <v>8</v>
      </c>
      <c r="F164" s="28">
        <v>123473</v>
      </c>
    </row>
    <row r="165" spans="1:6">
      <c r="A165" s="28" t="s">
        <v>36</v>
      </c>
      <c r="B165" s="28" t="s">
        <v>0</v>
      </c>
      <c r="C165" s="28">
        <v>2013</v>
      </c>
      <c r="D165" s="28" t="s">
        <v>1</v>
      </c>
      <c r="E165" s="28" t="s">
        <v>8</v>
      </c>
      <c r="F165" s="28">
        <v>207008</v>
      </c>
    </row>
    <row r="166" spans="1:6">
      <c r="A166" s="28" t="s">
        <v>36</v>
      </c>
      <c r="B166" s="28" t="s">
        <v>0</v>
      </c>
      <c r="C166" s="28">
        <v>2014</v>
      </c>
      <c r="D166" s="28" t="s">
        <v>1</v>
      </c>
      <c r="E166" s="28" t="s">
        <v>8</v>
      </c>
      <c r="F166" s="28">
        <v>347375</v>
      </c>
    </row>
    <row r="167" spans="1:6">
      <c r="A167" s="28" t="s">
        <v>36</v>
      </c>
      <c r="B167" s="28" t="s">
        <v>0</v>
      </c>
      <c r="C167" s="28">
        <v>2015</v>
      </c>
      <c r="D167" s="28" t="s">
        <v>1</v>
      </c>
      <c r="E167" s="28" t="s">
        <v>8</v>
      </c>
      <c r="F167" s="28">
        <v>563537</v>
      </c>
    </row>
    <row r="168" spans="1:6">
      <c r="A168" s="28" t="s">
        <v>36</v>
      </c>
      <c r="B168" s="28" t="s">
        <v>0</v>
      </c>
      <c r="C168" s="28">
        <v>2016</v>
      </c>
      <c r="D168" s="28" t="s">
        <v>1</v>
      </c>
      <c r="E168" s="28" t="s">
        <v>8</v>
      </c>
      <c r="F168" s="28">
        <v>524240</v>
      </c>
    </row>
    <row r="169" spans="1:6">
      <c r="A169" s="28" t="s">
        <v>36</v>
      </c>
      <c r="B169" s="28" t="s">
        <v>0</v>
      </c>
      <c r="C169" s="28">
        <v>2017</v>
      </c>
      <c r="D169" s="28" t="s">
        <v>1</v>
      </c>
      <c r="E169" s="28" t="s">
        <v>8</v>
      </c>
      <c r="F169" s="28">
        <v>554554</v>
      </c>
    </row>
    <row r="170" spans="1:6">
      <c r="A170" s="28" t="s">
        <v>36</v>
      </c>
      <c r="B170" s="28" t="s">
        <v>0</v>
      </c>
      <c r="C170" s="28">
        <v>2010</v>
      </c>
      <c r="D170" s="28" t="s">
        <v>1</v>
      </c>
      <c r="E170" s="28" t="s">
        <v>9</v>
      </c>
      <c r="F170" s="28">
        <v>82196.199299999993</v>
      </c>
    </row>
    <row r="171" spans="1:6">
      <c r="A171" s="28" t="s">
        <v>36</v>
      </c>
      <c r="B171" s="28" t="s">
        <v>0</v>
      </c>
      <c r="C171" s="28">
        <v>2011</v>
      </c>
      <c r="D171" s="28" t="s">
        <v>1</v>
      </c>
      <c r="E171" s="28" t="s">
        <v>9</v>
      </c>
      <c r="F171" s="28">
        <v>123391</v>
      </c>
    </row>
    <row r="172" spans="1:6">
      <c r="A172" s="28" t="s">
        <v>36</v>
      </c>
      <c r="B172" s="28" t="s">
        <v>0</v>
      </c>
      <c r="C172" s="28">
        <v>2012</v>
      </c>
      <c r="D172" s="28" t="s">
        <v>1</v>
      </c>
      <c r="E172" s="28" t="s">
        <v>9</v>
      </c>
      <c r="F172" s="28">
        <v>120553</v>
      </c>
    </row>
    <row r="173" spans="1:6">
      <c r="A173" s="28" t="s">
        <v>36</v>
      </c>
      <c r="B173" s="28" t="s">
        <v>0</v>
      </c>
      <c r="C173" s="28">
        <v>2013</v>
      </c>
      <c r="D173" s="28" t="s">
        <v>1</v>
      </c>
      <c r="E173" s="28" t="s">
        <v>9</v>
      </c>
      <c r="F173" s="28">
        <v>88608</v>
      </c>
    </row>
    <row r="174" spans="1:6">
      <c r="A174" s="28" t="s">
        <v>36</v>
      </c>
      <c r="B174" s="28" t="s">
        <v>0</v>
      </c>
      <c r="C174" s="28">
        <v>2014</v>
      </c>
      <c r="D174" s="28" t="s">
        <v>1</v>
      </c>
      <c r="E174" s="28" t="s">
        <v>9</v>
      </c>
      <c r="F174" s="28">
        <v>122759</v>
      </c>
    </row>
    <row r="175" spans="1:6">
      <c r="A175" s="28" t="s">
        <v>36</v>
      </c>
      <c r="B175" s="28" t="s">
        <v>0</v>
      </c>
      <c r="C175" s="28">
        <v>2015</v>
      </c>
      <c r="D175" s="28" t="s">
        <v>1</v>
      </c>
      <c r="E175" s="28" t="s">
        <v>9</v>
      </c>
      <c r="F175" s="28">
        <v>246127</v>
      </c>
    </row>
    <row r="176" spans="1:6">
      <c r="A176" s="28" t="s">
        <v>36</v>
      </c>
      <c r="B176" s="28" t="s">
        <v>0</v>
      </c>
      <c r="C176" s="28">
        <v>2016</v>
      </c>
      <c r="D176" s="28" t="s">
        <v>1</v>
      </c>
      <c r="E176" s="28" t="s">
        <v>9</v>
      </c>
      <c r="F176" s="28">
        <v>241497</v>
      </c>
    </row>
    <row r="177" spans="1:6">
      <c r="A177" s="28" t="s">
        <v>36</v>
      </c>
      <c r="B177" s="28" t="s">
        <v>0</v>
      </c>
      <c r="C177" s="28">
        <v>2017</v>
      </c>
      <c r="D177" s="28" t="s">
        <v>1</v>
      </c>
      <c r="E177" s="28" t="s">
        <v>9</v>
      </c>
      <c r="F177" s="28">
        <v>135444</v>
      </c>
    </row>
    <row r="178" spans="1:6">
      <c r="A178" s="28" t="s">
        <v>36</v>
      </c>
      <c r="B178" s="28" t="s">
        <v>0</v>
      </c>
      <c r="C178" s="28">
        <v>2010</v>
      </c>
      <c r="D178" s="28" t="s">
        <v>1</v>
      </c>
      <c r="E178" s="28" t="s">
        <v>10</v>
      </c>
      <c r="F178" s="28">
        <v>728672.20209999999</v>
      </c>
    </row>
    <row r="179" spans="1:6">
      <c r="A179" s="28" t="s">
        <v>36</v>
      </c>
      <c r="B179" s="28" t="s">
        <v>0</v>
      </c>
      <c r="C179" s="28">
        <v>2011</v>
      </c>
      <c r="D179" s="28" t="s">
        <v>1</v>
      </c>
      <c r="E179" s="28" t="s">
        <v>10</v>
      </c>
      <c r="F179" s="28">
        <v>608957</v>
      </c>
    </row>
    <row r="180" spans="1:6">
      <c r="A180" s="28" t="s">
        <v>36</v>
      </c>
      <c r="B180" s="28" t="s">
        <v>0</v>
      </c>
      <c r="C180" s="28">
        <v>2012</v>
      </c>
      <c r="D180" s="28" t="s">
        <v>1</v>
      </c>
      <c r="E180" s="28" t="s">
        <v>10</v>
      </c>
      <c r="F180" s="28">
        <v>637046</v>
      </c>
    </row>
    <row r="181" spans="1:6">
      <c r="A181" s="28" t="s">
        <v>36</v>
      </c>
      <c r="B181" s="28" t="s">
        <v>0</v>
      </c>
      <c r="C181" s="28">
        <v>2013</v>
      </c>
      <c r="D181" s="28" t="s">
        <v>1</v>
      </c>
      <c r="E181" s="28" t="s">
        <v>10</v>
      </c>
      <c r="F181" s="28">
        <v>614746</v>
      </c>
    </row>
    <row r="182" spans="1:6">
      <c r="A182" s="28" t="s">
        <v>36</v>
      </c>
      <c r="B182" s="28" t="s">
        <v>0</v>
      </c>
      <c r="C182" s="28">
        <v>2014</v>
      </c>
      <c r="D182" s="28" t="s">
        <v>1</v>
      </c>
      <c r="E182" s="28" t="s">
        <v>10</v>
      </c>
      <c r="F182" s="28">
        <v>739775</v>
      </c>
    </row>
    <row r="183" spans="1:6">
      <c r="A183" s="28" t="s">
        <v>36</v>
      </c>
      <c r="B183" s="28" t="s">
        <v>0</v>
      </c>
      <c r="C183" s="28">
        <v>2015</v>
      </c>
      <c r="D183" s="28" t="s">
        <v>1</v>
      </c>
      <c r="E183" s="28" t="s">
        <v>10</v>
      </c>
      <c r="F183" s="28">
        <v>974549</v>
      </c>
    </row>
    <row r="184" spans="1:6">
      <c r="A184" s="28" t="s">
        <v>36</v>
      </c>
      <c r="B184" s="28" t="s">
        <v>0</v>
      </c>
      <c r="C184" s="28">
        <v>2016</v>
      </c>
      <c r="D184" s="28" t="s">
        <v>1</v>
      </c>
      <c r="E184" s="28" t="s">
        <v>10</v>
      </c>
      <c r="F184" s="28">
        <v>1002238</v>
      </c>
    </row>
    <row r="185" spans="1:6">
      <c r="A185" s="28" t="s">
        <v>36</v>
      </c>
      <c r="B185" s="28" t="s">
        <v>0</v>
      </c>
      <c r="C185" s="28">
        <v>2017</v>
      </c>
      <c r="D185" s="28" t="s">
        <v>1</v>
      </c>
      <c r="E185" s="28" t="s">
        <v>10</v>
      </c>
      <c r="F185" s="28">
        <v>958270</v>
      </c>
    </row>
    <row r="186" spans="1:6">
      <c r="A186" s="28" t="s">
        <v>36</v>
      </c>
      <c r="B186" s="28" t="s">
        <v>0</v>
      </c>
      <c r="C186" s="28">
        <v>2010</v>
      </c>
      <c r="D186" s="28" t="s">
        <v>1</v>
      </c>
      <c r="E186" s="28" t="s">
        <v>11</v>
      </c>
      <c r="F186" s="28">
        <v>0.24823288301476401</v>
      </c>
    </row>
    <row r="187" spans="1:6">
      <c r="A187" s="28" t="s">
        <v>36</v>
      </c>
      <c r="B187" s="28" t="s">
        <v>0</v>
      </c>
      <c r="C187" s="28">
        <v>2011</v>
      </c>
      <c r="D187" s="28" t="s">
        <v>1</v>
      </c>
      <c r="E187" s="28" t="s">
        <v>11</v>
      </c>
      <c r="F187" s="28">
        <v>0.40662805419758702</v>
      </c>
    </row>
    <row r="188" spans="1:6">
      <c r="A188" s="28" t="s">
        <v>36</v>
      </c>
      <c r="B188" s="28" t="s">
        <v>0</v>
      </c>
      <c r="C188" s="28">
        <v>2012</v>
      </c>
      <c r="D188" s="28" t="s">
        <v>1</v>
      </c>
      <c r="E188" s="28" t="s">
        <v>11</v>
      </c>
      <c r="F188" s="28">
        <v>0.38305868022089501</v>
      </c>
    </row>
    <row r="189" spans="1:6">
      <c r="A189" s="28" t="s">
        <v>36</v>
      </c>
      <c r="B189" s="28" t="s">
        <v>0</v>
      </c>
      <c r="C189" s="28">
        <v>2013</v>
      </c>
      <c r="D189" s="28" t="s">
        <v>1</v>
      </c>
      <c r="E189" s="28" t="s">
        <v>11</v>
      </c>
      <c r="F189" s="28">
        <v>0.48087502806037002</v>
      </c>
    </row>
    <row r="190" spans="1:6">
      <c r="A190" s="28" t="s">
        <v>36</v>
      </c>
      <c r="B190" s="28" t="s">
        <v>0</v>
      </c>
      <c r="C190" s="28">
        <v>2014</v>
      </c>
      <c r="D190" s="28" t="s">
        <v>1</v>
      </c>
      <c r="E190" s="28" t="s">
        <v>11</v>
      </c>
      <c r="F190" s="28">
        <v>0.63550944543949195</v>
      </c>
    </row>
    <row r="191" spans="1:6">
      <c r="A191" s="28" t="s">
        <v>36</v>
      </c>
      <c r="B191" s="28" t="s">
        <v>0</v>
      </c>
      <c r="C191" s="28">
        <v>2015</v>
      </c>
      <c r="D191" s="28" t="s">
        <v>1</v>
      </c>
      <c r="E191" s="28" t="s">
        <v>11</v>
      </c>
      <c r="F191" s="28">
        <v>0.83080891776606403</v>
      </c>
    </row>
    <row r="192" spans="1:6">
      <c r="A192" s="28" t="s">
        <v>36</v>
      </c>
      <c r="B192" s="28" t="s">
        <v>0</v>
      </c>
      <c r="C192" s="28">
        <v>2016</v>
      </c>
      <c r="D192" s="28" t="s">
        <v>1</v>
      </c>
      <c r="E192" s="28" t="s">
        <v>11</v>
      </c>
      <c r="F192" s="28">
        <v>0.76402710733378698</v>
      </c>
    </row>
    <row r="193" spans="1:6">
      <c r="A193" s="28" t="s">
        <v>36</v>
      </c>
      <c r="B193" s="28" t="s">
        <v>0</v>
      </c>
      <c r="C193" s="28">
        <v>2017</v>
      </c>
      <c r="D193" s="28" t="s">
        <v>1</v>
      </c>
      <c r="E193" s="28" t="s">
        <v>11</v>
      </c>
      <c r="F193" s="28">
        <v>0.72004549865904199</v>
      </c>
    </row>
    <row r="194" spans="1:6">
      <c r="A194" s="28" t="s">
        <v>36</v>
      </c>
      <c r="B194" s="28" t="s">
        <v>0</v>
      </c>
      <c r="C194" s="28">
        <v>2010</v>
      </c>
      <c r="D194" s="28" t="s">
        <v>4</v>
      </c>
      <c r="E194" s="28" t="s">
        <v>12</v>
      </c>
      <c r="F194" s="28">
        <v>389342.39750000002</v>
      </c>
    </row>
    <row r="195" spans="1:6">
      <c r="A195" s="28" t="s">
        <v>36</v>
      </c>
      <c r="B195" s="28" t="s">
        <v>0</v>
      </c>
      <c r="C195" s="28">
        <v>2011</v>
      </c>
      <c r="D195" s="28" t="s">
        <v>4</v>
      </c>
      <c r="E195" s="28" t="s">
        <v>12</v>
      </c>
      <c r="F195" s="28">
        <v>415018</v>
      </c>
    </row>
    <row r="196" spans="1:6">
      <c r="A196" s="28" t="s">
        <v>36</v>
      </c>
      <c r="B196" s="28" t="s">
        <v>0</v>
      </c>
      <c r="C196" s="28">
        <v>2012</v>
      </c>
      <c r="D196" s="28" t="s">
        <v>4</v>
      </c>
      <c r="E196" s="28" t="s">
        <v>12</v>
      </c>
      <c r="F196" s="28">
        <v>375120</v>
      </c>
    </row>
    <row r="197" spans="1:6">
      <c r="A197" s="28" t="s">
        <v>36</v>
      </c>
      <c r="B197" s="28" t="s">
        <v>0</v>
      </c>
      <c r="C197" s="28">
        <v>2013</v>
      </c>
      <c r="D197" s="28" t="s">
        <v>4</v>
      </c>
      <c r="E197" s="28" t="s">
        <v>12</v>
      </c>
      <c r="F197" s="28">
        <v>365876</v>
      </c>
    </row>
    <row r="198" spans="1:6">
      <c r="A198" s="28" t="s">
        <v>36</v>
      </c>
      <c r="B198" s="28" t="s">
        <v>0</v>
      </c>
      <c r="C198" s="28">
        <v>2014</v>
      </c>
      <c r="D198" s="28" t="s">
        <v>4</v>
      </c>
      <c r="E198" s="28" t="s">
        <v>12</v>
      </c>
      <c r="F198" s="28">
        <v>456013</v>
      </c>
    </row>
    <row r="199" spans="1:6">
      <c r="A199" s="28" t="s">
        <v>36</v>
      </c>
      <c r="B199" s="28" t="s">
        <v>0</v>
      </c>
      <c r="C199" s="28">
        <v>2015</v>
      </c>
      <c r="D199" s="28" t="s">
        <v>4</v>
      </c>
      <c r="E199" s="28" t="s">
        <v>12</v>
      </c>
      <c r="F199" s="28">
        <v>506140</v>
      </c>
    </row>
    <row r="200" spans="1:6">
      <c r="A200" s="28" t="s">
        <v>36</v>
      </c>
      <c r="B200" s="28" t="s">
        <v>0</v>
      </c>
      <c r="C200" s="28">
        <v>2016</v>
      </c>
      <c r="D200" s="28" t="s">
        <v>4</v>
      </c>
      <c r="E200" s="28" t="s">
        <v>12</v>
      </c>
      <c r="F200" s="28">
        <v>548564</v>
      </c>
    </row>
    <row r="201" spans="1:6">
      <c r="A201" s="28" t="s">
        <v>36</v>
      </c>
      <c r="B201" s="28" t="s">
        <v>0</v>
      </c>
      <c r="C201" s="28">
        <v>2017</v>
      </c>
      <c r="D201" s="28" t="s">
        <v>4</v>
      </c>
      <c r="E201" s="28" t="s">
        <v>12</v>
      </c>
      <c r="F201" s="28">
        <v>536753</v>
      </c>
    </row>
    <row r="202" spans="1:6">
      <c r="A202" s="28" t="s">
        <v>36</v>
      </c>
      <c r="B202" s="28" t="s">
        <v>0</v>
      </c>
      <c r="C202" s="28">
        <v>2010</v>
      </c>
      <c r="D202" s="28" t="s">
        <v>4</v>
      </c>
      <c r="E202" s="28" t="s">
        <v>13</v>
      </c>
      <c r="F202" s="28">
        <v>94143.144100000005</v>
      </c>
    </row>
    <row r="203" spans="1:6">
      <c r="A203" s="28" t="s">
        <v>36</v>
      </c>
      <c r="B203" s="28" t="s">
        <v>0</v>
      </c>
      <c r="C203" s="28">
        <v>2011</v>
      </c>
      <c r="D203" s="28" t="s">
        <v>4</v>
      </c>
      <c r="E203" s="28" t="s">
        <v>13</v>
      </c>
      <c r="F203" s="28">
        <v>105152</v>
      </c>
    </row>
    <row r="204" spans="1:6">
      <c r="A204" s="28" t="s">
        <v>36</v>
      </c>
      <c r="B204" s="28" t="s">
        <v>0</v>
      </c>
      <c r="C204" s="28">
        <v>2012</v>
      </c>
      <c r="D204" s="28" t="s">
        <v>4</v>
      </c>
      <c r="E204" s="28" t="s">
        <v>13</v>
      </c>
      <c r="F204" s="28">
        <v>68198</v>
      </c>
    </row>
    <row r="205" spans="1:6">
      <c r="A205" s="28" t="s">
        <v>36</v>
      </c>
      <c r="B205" s="28" t="s">
        <v>0</v>
      </c>
      <c r="C205" s="28">
        <v>2013</v>
      </c>
      <c r="D205" s="28" t="s">
        <v>4</v>
      </c>
      <c r="E205" s="28" t="s">
        <v>13</v>
      </c>
      <c r="F205" s="28">
        <v>23838</v>
      </c>
    </row>
    <row r="206" spans="1:6">
      <c r="A206" s="28" t="s">
        <v>36</v>
      </c>
      <c r="B206" s="28" t="s">
        <v>0</v>
      </c>
      <c r="C206" s="28">
        <v>2014</v>
      </c>
      <c r="D206" s="28" t="s">
        <v>4</v>
      </c>
      <c r="E206" s="28" t="s">
        <v>13</v>
      </c>
      <c r="F206" s="28">
        <v>93506</v>
      </c>
    </row>
    <row r="207" spans="1:6">
      <c r="A207" s="28" t="s">
        <v>36</v>
      </c>
      <c r="B207" s="28" t="s">
        <v>0</v>
      </c>
      <c r="C207" s="28">
        <v>2015</v>
      </c>
      <c r="D207" s="28" t="s">
        <v>4</v>
      </c>
      <c r="E207" s="28" t="s">
        <v>13</v>
      </c>
      <c r="F207" s="28">
        <v>105139</v>
      </c>
    </row>
    <row r="208" spans="1:6">
      <c r="A208" s="28" t="s">
        <v>36</v>
      </c>
      <c r="B208" s="28" t="s">
        <v>0</v>
      </c>
      <c r="C208" s="28">
        <v>2016</v>
      </c>
      <c r="D208" s="28" t="s">
        <v>4</v>
      </c>
      <c r="E208" s="28" t="s">
        <v>13</v>
      </c>
      <c r="F208" s="28">
        <v>167836</v>
      </c>
    </row>
    <row r="209" spans="1:6">
      <c r="A209" s="28" t="s">
        <v>36</v>
      </c>
      <c r="B209" s="28" t="s">
        <v>0</v>
      </c>
      <c r="C209" s="28">
        <v>2017</v>
      </c>
      <c r="D209" s="28" t="s">
        <v>4</v>
      </c>
      <c r="E209" s="28" t="s">
        <v>13</v>
      </c>
      <c r="F209" s="28">
        <v>127809</v>
      </c>
    </row>
    <row r="210" spans="1:6">
      <c r="A210" s="28" t="s">
        <v>36</v>
      </c>
      <c r="B210" s="28" t="s">
        <v>0</v>
      </c>
      <c r="C210" s="28">
        <v>2010</v>
      </c>
      <c r="D210" s="28" t="s">
        <v>4</v>
      </c>
      <c r="E210" s="28" t="s">
        <v>14</v>
      </c>
      <c r="F210" s="28">
        <v>12775</v>
      </c>
    </row>
    <row r="211" spans="1:6">
      <c r="A211" s="28" t="s">
        <v>36</v>
      </c>
      <c r="B211" s="28" t="s">
        <v>0</v>
      </c>
      <c r="C211" s="28">
        <v>2011</v>
      </c>
      <c r="D211" s="28" t="s">
        <v>4</v>
      </c>
      <c r="E211" s="28" t="s">
        <v>14</v>
      </c>
      <c r="F211" s="28">
        <v>12890.3190137936</v>
      </c>
    </row>
    <row r="212" spans="1:6">
      <c r="A212" s="28" t="s">
        <v>36</v>
      </c>
      <c r="B212" s="28" t="s">
        <v>0</v>
      </c>
      <c r="C212" s="28">
        <v>2012</v>
      </c>
      <c r="D212" s="28" t="s">
        <v>4</v>
      </c>
      <c r="E212" s="28" t="s">
        <v>14</v>
      </c>
      <c r="F212" s="28">
        <v>12350.5648164305</v>
      </c>
    </row>
    <row r="213" spans="1:6">
      <c r="A213" s="28" t="s">
        <v>36</v>
      </c>
      <c r="B213" s="28" t="s">
        <v>0</v>
      </c>
      <c r="C213" s="28">
        <v>2013</v>
      </c>
      <c r="D213" s="28" t="s">
        <v>4</v>
      </c>
      <c r="E213" s="28" t="s">
        <v>14</v>
      </c>
      <c r="F213" s="28">
        <v>11178.886132261099</v>
      </c>
    </row>
    <row r="214" spans="1:6">
      <c r="A214" s="28" t="s">
        <v>36</v>
      </c>
      <c r="B214" s="28" t="s">
        <v>0</v>
      </c>
      <c r="C214" s="28">
        <v>2014</v>
      </c>
      <c r="D214" s="28" t="s">
        <v>4</v>
      </c>
      <c r="E214" s="28" t="s">
        <v>14</v>
      </c>
      <c r="F214" s="28">
        <v>8105.6873284700596</v>
      </c>
    </row>
    <row r="215" spans="1:6">
      <c r="A215" s="28" t="s">
        <v>36</v>
      </c>
      <c r="B215" s="28" t="s">
        <v>0</v>
      </c>
      <c r="C215" s="28">
        <v>2015</v>
      </c>
      <c r="D215" s="28" t="s">
        <v>4</v>
      </c>
      <c r="E215" s="28" t="s">
        <v>14</v>
      </c>
      <c r="F215" s="28">
        <v>6944.5835568660304</v>
      </c>
    </row>
    <row r="216" spans="1:6">
      <c r="A216" s="28" t="s">
        <v>36</v>
      </c>
      <c r="B216" s="28" t="s">
        <v>0</v>
      </c>
      <c r="C216" s="28">
        <v>2016</v>
      </c>
      <c r="D216" s="28" t="s">
        <v>4</v>
      </c>
      <c r="E216" s="28" t="s">
        <v>14</v>
      </c>
      <c r="F216" s="28">
        <v>9043.7196757500005</v>
      </c>
    </row>
    <row r="217" spans="1:6">
      <c r="A217" s="28" t="s">
        <v>36</v>
      </c>
      <c r="B217" s="28" t="s">
        <v>0</v>
      </c>
      <c r="C217" s="28">
        <v>2017</v>
      </c>
      <c r="D217" s="28" t="s">
        <v>4</v>
      </c>
      <c r="E217" s="28" t="s">
        <v>14</v>
      </c>
      <c r="F217" s="28">
        <v>9318.5961159857106</v>
      </c>
    </row>
    <row r="218" spans="1:6">
      <c r="A218" s="28" t="s">
        <v>36</v>
      </c>
      <c r="B218" s="28" t="s">
        <v>0</v>
      </c>
      <c r="C218" s="28">
        <v>2010</v>
      </c>
      <c r="D218" s="28" t="s">
        <v>4</v>
      </c>
      <c r="E218" s="28" t="s">
        <v>15</v>
      </c>
      <c r="F218" s="28">
        <v>3089</v>
      </c>
    </row>
    <row r="219" spans="1:6">
      <c r="A219" s="28" t="s">
        <v>36</v>
      </c>
      <c r="B219" s="28" t="s">
        <v>0</v>
      </c>
      <c r="C219" s="28">
        <v>2011</v>
      </c>
      <c r="D219" s="28" t="s">
        <v>4</v>
      </c>
      <c r="E219" s="28" t="s">
        <v>15</v>
      </c>
      <c r="F219" s="28">
        <v>3265.9856318001198</v>
      </c>
    </row>
    <row r="220" spans="1:6">
      <c r="A220" s="28" t="s">
        <v>36</v>
      </c>
      <c r="B220" s="28" t="s">
        <v>0</v>
      </c>
      <c r="C220" s="28">
        <v>2012</v>
      </c>
      <c r="D220" s="28" t="s">
        <v>4</v>
      </c>
      <c r="E220" s="28" t="s">
        <v>15</v>
      </c>
      <c r="F220" s="28">
        <v>2245.3716660026898</v>
      </c>
    </row>
    <row r="221" spans="1:6">
      <c r="A221" s="28" t="s">
        <v>36</v>
      </c>
      <c r="B221" s="28" t="s">
        <v>0</v>
      </c>
      <c r="C221" s="28">
        <v>2013</v>
      </c>
      <c r="D221" s="28" t="s">
        <v>4</v>
      </c>
      <c r="E221" s="28" t="s">
        <v>15</v>
      </c>
      <c r="F221" s="28">
        <v>728.34044217396104</v>
      </c>
    </row>
    <row r="222" spans="1:6">
      <c r="A222" s="28" t="s">
        <v>36</v>
      </c>
      <c r="B222" s="28" t="s">
        <v>0</v>
      </c>
      <c r="C222" s="28">
        <v>2014</v>
      </c>
      <c r="D222" s="28" t="s">
        <v>4</v>
      </c>
      <c r="E222" s="28" t="s">
        <v>15</v>
      </c>
      <c r="F222" s="28">
        <v>1662.08068483995</v>
      </c>
    </row>
    <row r="223" spans="1:6">
      <c r="A223" s="28" t="s">
        <v>36</v>
      </c>
      <c r="B223" s="28" t="s">
        <v>0</v>
      </c>
      <c r="C223" s="28">
        <v>2015</v>
      </c>
      <c r="D223" s="28" t="s">
        <v>4</v>
      </c>
      <c r="E223" s="28" t="s">
        <v>15</v>
      </c>
      <c r="F223" s="28">
        <v>1442.57827989358</v>
      </c>
    </row>
    <row r="224" spans="1:6">
      <c r="A224" s="28" t="s">
        <v>36</v>
      </c>
      <c r="B224" s="28" t="s">
        <v>0</v>
      </c>
      <c r="C224" s="28">
        <v>2016</v>
      </c>
      <c r="D224" s="28" t="s">
        <v>4</v>
      </c>
      <c r="E224" s="28" t="s">
        <v>15</v>
      </c>
      <c r="F224" s="28">
        <v>2766.9729247620598</v>
      </c>
    </row>
    <row r="225" spans="1:6">
      <c r="A225" s="28" t="s">
        <v>36</v>
      </c>
      <c r="B225" s="28" t="s">
        <v>0</v>
      </c>
      <c r="C225" s="28">
        <v>2017</v>
      </c>
      <c r="D225" s="28" t="s">
        <v>4</v>
      </c>
      <c r="E225" s="28" t="s">
        <v>15</v>
      </c>
      <c r="F225" s="28">
        <v>2218.8985454911599</v>
      </c>
    </row>
    <row r="226" spans="1:6">
      <c r="A226" s="28" t="s">
        <v>36</v>
      </c>
      <c r="B226" s="28" t="s">
        <v>0</v>
      </c>
      <c r="C226" s="28">
        <v>2010</v>
      </c>
      <c r="D226" s="28" t="s">
        <v>7</v>
      </c>
      <c r="E226" s="28" t="s">
        <v>16</v>
      </c>
      <c r="F226" s="28">
        <v>179813.71</v>
      </c>
    </row>
    <row r="227" spans="1:6">
      <c r="A227" s="28" t="s">
        <v>36</v>
      </c>
      <c r="B227" s="28" t="s">
        <v>0</v>
      </c>
      <c r="C227" s="28">
        <v>2011</v>
      </c>
      <c r="D227" s="28" t="s">
        <v>7</v>
      </c>
      <c r="E227" s="28" t="s">
        <v>16</v>
      </c>
      <c r="F227" s="28">
        <v>156889</v>
      </c>
    </row>
    <row r="228" spans="1:6">
      <c r="A228" s="28" t="s">
        <v>36</v>
      </c>
      <c r="B228" s="28" t="s">
        <v>0</v>
      </c>
      <c r="C228" s="28">
        <v>2012</v>
      </c>
      <c r="D228" s="28" t="s">
        <v>7</v>
      </c>
      <c r="E228" s="28" t="s">
        <v>16</v>
      </c>
      <c r="F228" s="28">
        <v>122486</v>
      </c>
    </row>
    <row r="229" spans="1:6">
      <c r="A229" s="28" t="s">
        <v>36</v>
      </c>
      <c r="B229" s="28" t="s">
        <v>0</v>
      </c>
      <c r="C229" s="28">
        <v>2013</v>
      </c>
      <c r="D229" s="28" t="s">
        <v>7</v>
      </c>
      <c r="E229" s="28" t="s">
        <v>16</v>
      </c>
      <c r="F229" s="28">
        <v>113833</v>
      </c>
    </row>
    <row r="230" spans="1:6">
      <c r="A230" s="28" t="s">
        <v>36</v>
      </c>
      <c r="B230" s="28" t="s">
        <v>0</v>
      </c>
      <c r="C230" s="28">
        <v>2014</v>
      </c>
      <c r="D230" s="28" t="s">
        <v>7</v>
      </c>
      <c r="E230" s="28" t="s">
        <v>16</v>
      </c>
      <c r="F230" s="28">
        <v>183619</v>
      </c>
    </row>
    <row r="231" spans="1:6">
      <c r="A231" s="28" t="s">
        <v>36</v>
      </c>
      <c r="B231" s="28" t="s">
        <v>0</v>
      </c>
      <c r="C231" s="28">
        <v>2015</v>
      </c>
      <c r="D231" s="28" t="s">
        <v>7</v>
      </c>
      <c r="E231" s="28" t="s">
        <v>16</v>
      </c>
      <c r="F231" s="28">
        <v>202482</v>
      </c>
    </row>
    <row r="232" spans="1:6">
      <c r="A232" s="28" t="s">
        <v>36</v>
      </c>
      <c r="B232" s="28" t="s">
        <v>0</v>
      </c>
      <c r="C232" s="28">
        <v>2016</v>
      </c>
      <c r="D232" s="28" t="s">
        <v>7</v>
      </c>
      <c r="E232" s="28" t="s">
        <v>16</v>
      </c>
      <c r="F232" s="28">
        <v>192211</v>
      </c>
    </row>
    <row r="233" spans="1:6">
      <c r="A233" s="28" t="s">
        <v>36</v>
      </c>
      <c r="B233" s="28" t="s">
        <v>0</v>
      </c>
      <c r="C233" s="28">
        <v>2017</v>
      </c>
      <c r="D233" s="28" t="s">
        <v>7</v>
      </c>
      <c r="E233" s="28" t="s">
        <v>16</v>
      </c>
      <c r="F233" s="28">
        <v>169449</v>
      </c>
    </row>
    <row r="234" spans="1:6">
      <c r="A234" s="28" t="s">
        <v>36</v>
      </c>
      <c r="B234" s="28" t="s">
        <v>0</v>
      </c>
      <c r="C234" s="28">
        <v>2010</v>
      </c>
      <c r="D234" s="28" t="s">
        <v>7</v>
      </c>
      <c r="E234" s="28" t="s">
        <v>17</v>
      </c>
      <c r="F234" s="28">
        <v>5900</v>
      </c>
    </row>
    <row r="235" spans="1:6">
      <c r="A235" s="28" t="s">
        <v>36</v>
      </c>
      <c r="B235" s="28" t="s">
        <v>0</v>
      </c>
      <c r="C235" s="28">
        <v>2011</v>
      </c>
      <c r="D235" s="28" t="s">
        <v>7</v>
      </c>
      <c r="E235" s="28" t="s">
        <v>17</v>
      </c>
      <c r="F235" s="28">
        <v>4872.9193908579</v>
      </c>
    </row>
    <row r="236" spans="1:6">
      <c r="A236" s="28" t="s">
        <v>36</v>
      </c>
      <c r="B236" s="28" t="s">
        <v>0</v>
      </c>
      <c r="C236" s="28">
        <v>2012</v>
      </c>
      <c r="D236" s="28" t="s">
        <v>7</v>
      </c>
      <c r="E236" s="28" t="s">
        <v>17</v>
      </c>
      <c r="F236" s="28">
        <v>4032.7662670753698</v>
      </c>
    </row>
    <row r="237" spans="1:6">
      <c r="A237" s="28" t="s">
        <v>36</v>
      </c>
      <c r="B237" s="28" t="s">
        <v>0</v>
      </c>
      <c r="C237" s="28">
        <v>2013</v>
      </c>
      <c r="D237" s="28" t="s">
        <v>7</v>
      </c>
      <c r="E237" s="28" t="s">
        <v>17</v>
      </c>
      <c r="F237" s="28">
        <v>3478.0257384842898</v>
      </c>
    </row>
    <row r="238" spans="1:6">
      <c r="A238" s="28" t="s">
        <v>36</v>
      </c>
      <c r="B238" s="28" t="s">
        <v>0</v>
      </c>
      <c r="C238" s="28">
        <v>2014</v>
      </c>
      <c r="D238" s="28" t="s">
        <v>7</v>
      </c>
      <c r="E238" s="28" t="s">
        <v>17</v>
      </c>
      <c r="F238" s="28">
        <v>3263.8503761216102</v>
      </c>
    </row>
    <row r="239" spans="1:6">
      <c r="A239" s="28" t="s">
        <v>36</v>
      </c>
      <c r="B239" s="28" t="s">
        <v>0</v>
      </c>
      <c r="C239" s="28">
        <v>2015</v>
      </c>
      <c r="D239" s="28" t="s">
        <v>7</v>
      </c>
      <c r="E239" s="28" t="s">
        <v>17</v>
      </c>
      <c r="F239" s="28">
        <v>2778.1901603535498</v>
      </c>
    </row>
    <row r="240" spans="1:6">
      <c r="A240" s="28" t="s">
        <v>36</v>
      </c>
      <c r="B240" s="28" t="s">
        <v>0</v>
      </c>
      <c r="C240" s="28">
        <v>2016</v>
      </c>
      <c r="D240" s="28" t="s">
        <v>7</v>
      </c>
      <c r="E240" s="28" t="s">
        <v>17</v>
      </c>
      <c r="F240" s="28">
        <v>3168.8233325474898</v>
      </c>
    </row>
    <row r="241" spans="1:6">
      <c r="A241" s="28" t="s">
        <v>36</v>
      </c>
      <c r="B241" s="28" t="s">
        <v>0</v>
      </c>
      <c r="C241" s="28">
        <v>2017</v>
      </c>
      <c r="D241" s="28" t="s">
        <v>7</v>
      </c>
      <c r="E241" s="28" t="s">
        <v>17</v>
      </c>
      <c r="F241" s="28">
        <v>2941.8127020392299</v>
      </c>
    </row>
    <row r="242" spans="1:6">
      <c r="A242" s="28" t="s">
        <v>36</v>
      </c>
      <c r="B242" s="28" t="s">
        <v>0</v>
      </c>
      <c r="C242" s="28">
        <v>2010</v>
      </c>
      <c r="D242" s="28" t="s">
        <v>20</v>
      </c>
      <c r="E242" s="28" t="s">
        <v>18</v>
      </c>
      <c r="F242" s="28">
        <v>190.627747</v>
      </c>
    </row>
    <row r="243" spans="1:6">
      <c r="A243" s="28" t="s">
        <v>36</v>
      </c>
      <c r="B243" s="28" t="s">
        <v>0</v>
      </c>
      <c r="C243" s="28">
        <v>2011</v>
      </c>
      <c r="D243" s="28" t="s">
        <v>20</v>
      </c>
      <c r="E243" s="28" t="s">
        <v>18</v>
      </c>
      <c r="F243" s="28">
        <v>190.627747</v>
      </c>
    </row>
    <row r="244" spans="1:6">
      <c r="A244" s="28" t="s">
        <v>36</v>
      </c>
      <c r="B244" s="28" t="s">
        <v>0</v>
      </c>
      <c r="C244" s="28">
        <v>2012</v>
      </c>
      <c r="D244" s="28" t="s">
        <v>20</v>
      </c>
      <c r="E244" s="28" t="s">
        <v>18</v>
      </c>
      <c r="F244" s="28">
        <v>190.627747</v>
      </c>
    </row>
    <row r="245" spans="1:6">
      <c r="A245" s="28" t="s">
        <v>36</v>
      </c>
      <c r="B245" s="28" t="s">
        <v>0</v>
      </c>
      <c r="C245" s="28">
        <v>2013</v>
      </c>
      <c r="D245" s="28" t="s">
        <v>20</v>
      </c>
      <c r="E245" s="28" t="s">
        <v>18</v>
      </c>
      <c r="F245" s="28">
        <v>158.245476</v>
      </c>
    </row>
    <row r="246" spans="1:6">
      <c r="A246" s="28" t="s">
        <v>36</v>
      </c>
      <c r="B246" s="28" t="s">
        <v>0</v>
      </c>
      <c r="C246" s="28">
        <v>2014</v>
      </c>
      <c r="D246" s="28" t="s">
        <v>20</v>
      </c>
      <c r="E246" s="28" t="s">
        <v>18</v>
      </c>
      <c r="F246" s="28">
        <v>158.245476</v>
      </c>
    </row>
    <row r="247" spans="1:6">
      <c r="A247" s="28" t="s">
        <v>36</v>
      </c>
      <c r="B247" s="28" t="s">
        <v>0</v>
      </c>
      <c r="C247" s="28">
        <v>2015</v>
      </c>
      <c r="D247" s="28" t="s">
        <v>20</v>
      </c>
      <c r="E247" s="28" t="s">
        <v>18</v>
      </c>
      <c r="F247" s="28">
        <v>156.99540099999999</v>
      </c>
    </row>
    <row r="248" spans="1:6">
      <c r="A248" s="28" t="s">
        <v>36</v>
      </c>
      <c r="B248" s="28" t="s">
        <v>0</v>
      </c>
      <c r="C248" s="28">
        <v>2016</v>
      </c>
      <c r="D248" s="28" t="s">
        <v>20</v>
      </c>
      <c r="E248" s="28" t="s">
        <v>18</v>
      </c>
      <c r="F248" s="28">
        <v>158.245476</v>
      </c>
    </row>
    <row r="249" spans="1:6">
      <c r="A249" s="28" t="s">
        <v>36</v>
      </c>
      <c r="B249" s="28" t="s">
        <v>0</v>
      </c>
      <c r="C249" s="28">
        <v>2017</v>
      </c>
      <c r="D249" s="28" t="s">
        <v>20</v>
      </c>
      <c r="E249" s="28" t="s">
        <v>18</v>
      </c>
      <c r="F249" s="28">
        <v>158.245476</v>
      </c>
    </row>
    <row r="250" spans="1:6">
      <c r="A250" s="28" t="s">
        <v>36</v>
      </c>
      <c r="B250" s="28" t="s">
        <v>0</v>
      </c>
      <c r="C250" s="28">
        <v>2010</v>
      </c>
      <c r="D250" s="28" t="s">
        <v>20</v>
      </c>
      <c r="E250" s="28" t="s">
        <v>19</v>
      </c>
      <c r="F250" s="28">
        <v>7165</v>
      </c>
    </row>
    <row r="251" spans="1:6">
      <c r="A251" s="28" t="s">
        <v>36</v>
      </c>
      <c r="B251" s="28" t="s">
        <v>0</v>
      </c>
      <c r="C251" s="28">
        <v>2011</v>
      </c>
      <c r="D251" s="28" t="s">
        <v>20</v>
      </c>
      <c r="E251" s="28" t="s">
        <v>19</v>
      </c>
      <c r="F251" s="28">
        <v>4929</v>
      </c>
    </row>
    <row r="252" spans="1:6">
      <c r="A252" s="28" t="s">
        <v>36</v>
      </c>
      <c r="B252" s="28" t="s">
        <v>0</v>
      </c>
      <c r="C252" s="28">
        <v>2012</v>
      </c>
      <c r="D252" s="28" t="s">
        <v>20</v>
      </c>
      <c r="E252" s="28" t="s">
        <v>19</v>
      </c>
      <c r="F252" s="28">
        <v>5603</v>
      </c>
    </row>
    <row r="253" spans="1:6">
      <c r="A253" s="28" t="s">
        <v>36</v>
      </c>
      <c r="B253" s="28" t="s">
        <v>0</v>
      </c>
      <c r="C253" s="28">
        <v>2013</v>
      </c>
      <c r="D253" s="28" t="s">
        <v>20</v>
      </c>
      <c r="E253" s="28" t="s">
        <v>19</v>
      </c>
      <c r="F253" s="28">
        <v>5400</v>
      </c>
    </row>
    <row r="254" spans="1:6">
      <c r="A254" s="28" t="s">
        <v>36</v>
      </c>
      <c r="B254" s="28" t="s">
        <v>0</v>
      </c>
      <c r="C254" s="28">
        <v>2014</v>
      </c>
      <c r="D254" s="28" t="s">
        <v>20</v>
      </c>
      <c r="E254" s="28" t="s">
        <v>19</v>
      </c>
      <c r="F254" s="28">
        <v>8080</v>
      </c>
    </row>
    <row r="255" spans="1:6">
      <c r="A255" s="28" t="s">
        <v>36</v>
      </c>
      <c r="B255" s="28" t="s">
        <v>0</v>
      </c>
      <c r="C255" s="28">
        <v>2015</v>
      </c>
      <c r="D255" s="28" t="s">
        <v>20</v>
      </c>
      <c r="E255" s="28" t="s">
        <v>19</v>
      </c>
      <c r="F255" s="28">
        <v>9150</v>
      </c>
    </row>
    <row r="256" spans="1:6">
      <c r="A256" s="28" t="s">
        <v>36</v>
      </c>
      <c r="B256" s="28" t="s">
        <v>0</v>
      </c>
      <c r="C256" s="28">
        <v>2016</v>
      </c>
      <c r="D256" s="28" t="s">
        <v>20</v>
      </c>
      <c r="E256" s="28" t="s">
        <v>19</v>
      </c>
      <c r="F256" s="28">
        <v>10122</v>
      </c>
    </row>
    <row r="257" spans="1:6">
      <c r="A257" s="28" t="s">
        <v>36</v>
      </c>
      <c r="B257" s="28" t="s">
        <v>0</v>
      </c>
      <c r="C257" s="28">
        <v>2017</v>
      </c>
      <c r="D257" s="28" t="s">
        <v>20</v>
      </c>
      <c r="E257" s="28" t="s">
        <v>19</v>
      </c>
      <c r="F257" s="28">
        <v>10850</v>
      </c>
    </row>
    <row r="258" spans="1:6">
      <c r="A258" s="28" t="s">
        <v>37</v>
      </c>
      <c r="B258" s="28" t="s">
        <v>0</v>
      </c>
      <c r="C258" s="28">
        <v>2010</v>
      </c>
      <c r="D258" s="28" t="s">
        <v>1</v>
      </c>
      <c r="E258" s="28" t="s">
        <v>2</v>
      </c>
      <c r="F258" s="28">
        <v>4459</v>
      </c>
    </row>
    <row r="259" spans="1:6">
      <c r="A259" s="28" t="s">
        <v>37</v>
      </c>
      <c r="B259" s="28" t="s">
        <v>0</v>
      </c>
      <c r="C259" s="28">
        <v>2011</v>
      </c>
      <c r="D259" s="28" t="s">
        <v>1</v>
      </c>
      <c r="E259" s="28" t="s">
        <v>2</v>
      </c>
      <c r="F259" s="28">
        <v>4459</v>
      </c>
    </row>
    <row r="260" spans="1:6">
      <c r="A260" s="28" t="s">
        <v>37</v>
      </c>
      <c r="B260" s="28" t="s">
        <v>0</v>
      </c>
      <c r="C260" s="28">
        <v>2012</v>
      </c>
      <c r="D260" s="28" t="s">
        <v>1</v>
      </c>
      <c r="E260" s="28" t="s">
        <v>2</v>
      </c>
      <c r="F260" s="28">
        <v>4122</v>
      </c>
    </row>
    <row r="261" spans="1:6">
      <c r="A261" s="28" t="s">
        <v>37</v>
      </c>
      <c r="B261" s="28" t="s">
        <v>0</v>
      </c>
      <c r="C261" s="28">
        <v>2013</v>
      </c>
      <c r="D261" s="28" t="s">
        <v>1</v>
      </c>
      <c r="E261" s="28" t="s">
        <v>2</v>
      </c>
      <c r="F261" s="28">
        <v>3874</v>
      </c>
    </row>
    <row r="262" spans="1:6">
      <c r="A262" s="28" t="s">
        <v>37</v>
      </c>
      <c r="B262" s="28" t="s">
        <v>0</v>
      </c>
      <c r="C262" s="28">
        <v>2014</v>
      </c>
      <c r="D262" s="28" t="s">
        <v>1</v>
      </c>
      <c r="E262" s="28" t="s">
        <v>2</v>
      </c>
      <c r="F262" s="28">
        <v>3835</v>
      </c>
    </row>
    <row r="263" spans="1:6">
      <c r="A263" s="28" t="s">
        <v>37</v>
      </c>
      <c r="B263" s="28" t="s">
        <v>0</v>
      </c>
      <c r="C263" s="28">
        <v>2015</v>
      </c>
      <c r="D263" s="28" t="s">
        <v>1</v>
      </c>
      <c r="E263" s="28" t="s">
        <v>2</v>
      </c>
      <c r="F263" s="28">
        <v>3973</v>
      </c>
    </row>
    <row r="264" spans="1:6">
      <c r="A264" s="28" t="s">
        <v>37</v>
      </c>
      <c r="B264" s="28" t="s">
        <v>0</v>
      </c>
      <c r="C264" s="28">
        <v>2016</v>
      </c>
      <c r="D264" s="28" t="s">
        <v>1</v>
      </c>
      <c r="E264" s="28" t="s">
        <v>2</v>
      </c>
      <c r="F264" s="28">
        <v>4604</v>
      </c>
    </row>
    <row r="265" spans="1:6">
      <c r="A265" s="28" t="s">
        <v>37</v>
      </c>
      <c r="B265" s="28" t="s">
        <v>0</v>
      </c>
      <c r="C265" s="28">
        <v>2017</v>
      </c>
      <c r="D265" s="28" t="s">
        <v>1</v>
      </c>
      <c r="E265" s="28" t="s">
        <v>2</v>
      </c>
      <c r="F265" s="28">
        <v>5544</v>
      </c>
    </row>
    <row r="266" spans="1:6">
      <c r="A266" s="28" t="s">
        <v>37</v>
      </c>
      <c r="B266" s="28" t="s">
        <v>0</v>
      </c>
      <c r="C266" s="28">
        <v>2010</v>
      </c>
      <c r="D266" s="28" t="s">
        <v>1</v>
      </c>
      <c r="E266" s="28" t="s">
        <v>3</v>
      </c>
      <c r="F266" s="28">
        <v>6813</v>
      </c>
    </row>
    <row r="267" spans="1:6">
      <c r="A267" s="28" t="s">
        <v>37</v>
      </c>
      <c r="B267" s="28" t="s">
        <v>0</v>
      </c>
      <c r="C267" s="28">
        <v>2011</v>
      </c>
      <c r="D267" s="28" t="s">
        <v>1</v>
      </c>
      <c r="E267" s="28" t="s">
        <v>3</v>
      </c>
      <c r="F267" s="28">
        <v>6813</v>
      </c>
    </row>
    <row r="268" spans="1:6">
      <c r="A268" s="28" t="s">
        <v>37</v>
      </c>
      <c r="B268" s="28" t="s">
        <v>0</v>
      </c>
      <c r="C268" s="28">
        <v>2012</v>
      </c>
      <c r="D268" s="28" t="s">
        <v>1</v>
      </c>
      <c r="E268" s="28" t="s">
        <v>3</v>
      </c>
      <c r="F268" s="28">
        <v>6512</v>
      </c>
    </row>
    <row r="269" spans="1:6">
      <c r="A269" s="28" t="s">
        <v>37</v>
      </c>
      <c r="B269" s="28" t="s">
        <v>0</v>
      </c>
      <c r="C269" s="28">
        <v>2013</v>
      </c>
      <c r="D269" s="28" t="s">
        <v>1</v>
      </c>
      <c r="E269" s="28" t="s">
        <v>3</v>
      </c>
      <c r="F269" s="28">
        <v>5742</v>
      </c>
    </row>
    <row r="270" spans="1:6">
      <c r="A270" s="28" t="s">
        <v>37</v>
      </c>
      <c r="B270" s="28" t="s">
        <v>0</v>
      </c>
      <c r="C270" s="28">
        <v>2014</v>
      </c>
      <c r="D270" s="28" t="s">
        <v>1</v>
      </c>
      <c r="E270" s="28" t="s">
        <v>3</v>
      </c>
      <c r="F270" s="28">
        <v>8736</v>
      </c>
    </row>
    <row r="271" spans="1:6">
      <c r="A271" s="28" t="s">
        <v>37</v>
      </c>
      <c r="B271" s="28" t="s">
        <v>0</v>
      </c>
      <c r="C271" s="28">
        <v>2015</v>
      </c>
      <c r="D271" s="28" t="s">
        <v>1</v>
      </c>
      <c r="E271" s="28" t="s">
        <v>3</v>
      </c>
      <c r="F271" s="28">
        <v>12743</v>
      </c>
    </row>
    <row r="272" spans="1:6">
      <c r="A272" s="28" t="s">
        <v>37</v>
      </c>
      <c r="B272" s="28" t="s">
        <v>0</v>
      </c>
      <c r="C272" s="28">
        <v>2016</v>
      </c>
      <c r="D272" s="28" t="s">
        <v>1</v>
      </c>
      <c r="E272" s="28" t="s">
        <v>3</v>
      </c>
      <c r="F272" s="28">
        <v>13469</v>
      </c>
    </row>
    <row r="273" spans="1:6">
      <c r="A273" s="28" t="s">
        <v>37</v>
      </c>
      <c r="B273" s="28" t="s">
        <v>0</v>
      </c>
      <c r="C273" s="28">
        <v>2017</v>
      </c>
      <c r="D273" s="28" t="s">
        <v>1</v>
      </c>
      <c r="E273" s="28" t="s">
        <v>3</v>
      </c>
      <c r="F273" s="28">
        <v>12794</v>
      </c>
    </row>
    <row r="274" spans="1:6">
      <c r="A274" s="28" t="s">
        <v>37</v>
      </c>
      <c r="B274" s="28" t="s">
        <v>0</v>
      </c>
      <c r="C274" s="28">
        <v>2010</v>
      </c>
      <c r="D274" s="28" t="s">
        <v>1</v>
      </c>
      <c r="E274" s="28" t="s">
        <v>5</v>
      </c>
      <c r="F274" s="28">
        <v>11272</v>
      </c>
    </row>
    <row r="275" spans="1:6">
      <c r="A275" s="28" t="s">
        <v>37</v>
      </c>
      <c r="B275" s="28" t="s">
        <v>0</v>
      </c>
      <c r="C275" s="28">
        <v>2011</v>
      </c>
      <c r="D275" s="28" t="s">
        <v>1</v>
      </c>
      <c r="E275" s="28" t="s">
        <v>5</v>
      </c>
      <c r="F275" s="28">
        <v>11272</v>
      </c>
    </row>
    <row r="276" spans="1:6">
      <c r="A276" s="28" t="s">
        <v>37</v>
      </c>
      <c r="B276" s="28" t="s">
        <v>0</v>
      </c>
      <c r="C276" s="28">
        <v>2012</v>
      </c>
      <c r="D276" s="28" t="s">
        <v>1</v>
      </c>
      <c r="E276" s="28" t="s">
        <v>5</v>
      </c>
      <c r="F276" s="28">
        <v>10634</v>
      </c>
    </row>
    <row r="277" spans="1:6">
      <c r="A277" s="28" t="s">
        <v>37</v>
      </c>
      <c r="B277" s="28" t="s">
        <v>0</v>
      </c>
      <c r="C277" s="28">
        <v>2013</v>
      </c>
      <c r="D277" s="28" t="s">
        <v>1</v>
      </c>
      <c r="E277" s="28" t="s">
        <v>5</v>
      </c>
      <c r="F277" s="28">
        <v>9616</v>
      </c>
    </row>
    <row r="278" spans="1:6">
      <c r="A278" s="28" t="s">
        <v>37</v>
      </c>
      <c r="B278" s="28" t="s">
        <v>0</v>
      </c>
      <c r="C278" s="28">
        <v>2014</v>
      </c>
      <c r="D278" s="28" t="s">
        <v>1</v>
      </c>
      <c r="E278" s="28" t="s">
        <v>5</v>
      </c>
      <c r="F278" s="28">
        <v>12571</v>
      </c>
    </row>
    <row r="279" spans="1:6">
      <c r="A279" s="28" t="s">
        <v>37</v>
      </c>
      <c r="B279" s="28" t="s">
        <v>0</v>
      </c>
      <c r="C279" s="28">
        <v>2015</v>
      </c>
      <c r="D279" s="28" t="s">
        <v>1</v>
      </c>
      <c r="E279" s="28" t="s">
        <v>5</v>
      </c>
      <c r="F279" s="28">
        <v>16716</v>
      </c>
    </row>
    <row r="280" spans="1:6">
      <c r="A280" s="28" t="s">
        <v>37</v>
      </c>
      <c r="B280" s="28" t="s">
        <v>0</v>
      </c>
      <c r="C280" s="28">
        <v>2016</v>
      </c>
      <c r="D280" s="28" t="s">
        <v>1</v>
      </c>
      <c r="E280" s="28" t="s">
        <v>5</v>
      </c>
      <c r="F280" s="28">
        <v>18073</v>
      </c>
    </row>
    <row r="281" spans="1:6">
      <c r="A281" s="28" t="s">
        <v>37</v>
      </c>
      <c r="B281" s="28" t="s">
        <v>0</v>
      </c>
      <c r="C281" s="28">
        <v>2017</v>
      </c>
      <c r="D281" s="28" t="s">
        <v>1</v>
      </c>
      <c r="E281" s="28" t="s">
        <v>5</v>
      </c>
      <c r="F281" s="28">
        <v>18338</v>
      </c>
    </row>
    <row r="282" spans="1:6">
      <c r="A282" s="28" t="s">
        <v>37</v>
      </c>
      <c r="B282" s="28" t="s">
        <v>0</v>
      </c>
      <c r="C282" s="28">
        <v>2010</v>
      </c>
      <c r="D282" s="28" t="s">
        <v>1</v>
      </c>
      <c r="E282" s="28" t="s">
        <v>6</v>
      </c>
      <c r="F282" s="28">
        <v>8512</v>
      </c>
    </row>
    <row r="283" spans="1:6">
      <c r="A283" s="28" t="s">
        <v>37</v>
      </c>
      <c r="B283" s="28" t="s">
        <v>0</v>
      </c>
      <c r="C283" s="28">
        <v>2011</v>
      </c>
      <c r="D283" s="28" t="s">
        <v>1</v>
      </c>
      <c r="E283" s="28" t="s">
        <v>6</v>
      </c>
      <c r="F283" s="28">
        <v>8512</v>
      </c>
    </row>
    <row r="284" spans="1:6">
      <c r="A284" s="28" t="s">
        <v>37</v>
      </c>
      <c r="B284" s="28" t="s">
        <v>0</v>
      </c>
      <c r="C284" s="28">
        <v>2012</v>
      </c>
      <c r="D284" s="28" t="s">
        <v>1</v>
      </c>
      <c r="E284" s="28" t="s">
        <v>6</v>
      </c>
      <c r="F284" s="28">
        <v>9161</v>
      </c>
    </row>
    <row r="285" spans="1:6">
      <c r="A285" s="28" t="s">
        <v>37</v>
      </c>
      <c r="B285" s="28" t="s">
        <v>0</v>
      </c>
      <c r="C285" s="28">
        <v>2013</v>
      </c>
      <c r="D285" s="28" t="s">
        <v>1</v>
      </c>
      <c r="E285" s="28" t="s">
        <v>6</v>
      </c>
      <c r="F285" s="28">
        <v>8015</v>
      </c>
    </row>
    <row r="286" spans="1:6">
      <c r="A286" s="28" t="s">
        <v>37</v>
      </c>
      <c r="B286" s="28" t="s">
        <v>0</v>
      </c>
      <c r="C286" s="28">
        <v>2014</v>
      </c>
      <c r="D286" s="28" t="s">
        <v>1</v>
      </c>
      <c r="E286" s="28" t="s">
        <v>6</v>
      </c>
      <c r="F286" s="28">
        <v>10853</v>
      </c>
    </row>
    <row r="287" spans="1:6">
      <c r="A287" s="28" t="s">
        <v>37</v>
      </c>
      <c r="B287" s="28" t="s">
        <v>0</v>
      </c>
      <c r="C287" s="28">
        <v>2015</v>
      </c>
      <c r="D287" s="28" t="s">
        <v>1</v>
      </c>
      <c r="E287" s="28" t="s">
        <v>6</v>
      </c>
      <c r="F287" s="28">
        <v>14529</v>
      </c>
    </row>
    <row r="288" spans="1:6">
      <c r="A288" s="28" t="s">
        <v>37</v>
      </c>
      <c r="B288" s="28" t="s">
        <v>0</v>
      </c>
      <c r="C288" s="28">
        <v>2016</v>
      </c>
      <c r="D288" s="28" t="s">
        <v>1</v>
      </c>
      <c r="E288" s="28" t="s">
        <v>6</v>
      </c>
      <c r="F288" s="28">
        <v>16085</v>
      </c>
    </row>
    <row r="289" spans="1:6">
      <c r="A289" s="28" t="s">
        <v>37</v>
      </c>
      <c r="B289" s="28" t="s">
        <v>0</v>
      </c>
      <c r="C289" s="28">
        <v>2017</v>
      </c>
      <c r="D289" s="28" t="s">
        <v>1</v>
      </c>
      <c r="E289" s="28" t="s">
        <v>6</v>
      </c>
      <c r="F289" s="28">
        <v>14862</v>
      </c>
    </row>
    <row r="290" spans="1:6">
      <c r="A290" s="28" t="s">
        <v>37</v>
      </c>
      <c r="B290" s="28" t="s">
        <v>0</v>
      </c>
      <c r="C290" s="28">
        <v>2010</v>
      </c>
      <c r="D290" s="28" t="s">
        <v>1</v>
      </c>
      <c r="E290" s="28" t="s">
        <v>8</v>
      </c>
      <c r="F290" s="28">
        <v>798</v>
      </c>
    </row>
    <row r="291" spans="1:6">
      <c r="A291" s="28" t="s">
        <v>37</v>
      </c>
      <c r="B291" s="28" t="s">
        <v>0</v>
      </c>
      <c r="C291" s="28">
        <v>2011</v>
      </c>
      <c r="D291" s="28" t="s">
        <v>1</v>
      </c>
      <c r="E291" s="28" t="s">
        <v>8</v>
      </c>
      <c r="F291" s="28">
        <v>798</v>
      </c>
    </row>
    <row r="292" spans="1:6">
      <c r="A292" s="28" t="s">
        <v>37</v>
      </c>
      <c r="B292" s="28" t="s">
        <v>0</v>
      </c>
      <c r="C292" s="28">
        <v>2012</v>
      </c>
      <c r="D292" s="28" t="s">
        <v>1</v>
      </c>
      <c r="E292" s="28" t="s">
        <v>8</v>
      </c>
      <c r="F292" s="28">
        <v>706</v>
      </c>
    </row>
    <row r="293" spans="1:6">
      <c r="A293" s="28" t="s">
        <v>37</v>
      </c>
      <c r="B293" s="28" t="s">
        <v>0</v>
      </c>
      <c r="C293" s="28">
        <v>2013</v>
      </c>
      <c r="D293" s="28" t="s">
        <v>1</v>
      </c>
      <c r="E293" s="28" t="s">
        <v>8</v>
      </c>
      <c r="F293" s="28">
        <v>779</v>
      </c>
    </row>
    <row r="294" spans="1:6">
      <c r="A294" s="28" t="s">
        <v>37</v>
      </c>
      <c r="B294" s="28" t="s">
        <v>0</v>
      </c>
      <c r="C294" s="28">
        <v>2014</v>
      </c>
      <c r="D294" s="28" t="s">
        <v>1</v>
      </c>
      <c r="E294" s="28" t="s">
        <v>8</v>
      </c>
      <c r="F294" s="28">
        <v>811</v>
      </c>
    </row>
    <row r="295" spans="1:6">
      <c r="A295" s="28" t="s">
        <v>37</v>
      </c>
      <c r="B295" s="28" t="s">
        <v>0</v>
      </c>
      <c r="C295" s="28">
        <v>2015</v>
      </c>
      <c r="D295" s="28" t="s">
        <v>1</v>
      </c>
      <c r="E295" s="28" t="s">
        <v>8</v>
      </c>
      <c r="F295" s="28">
        <v>1070</v>
      </c>
    </row>
    <row r="296" spans="1:6">
      <c r="A296" s="28" t="s">
        <v>37</v>
      </c>
      <c r="B296" s="28" t="s">
        <v>0</v>
      </c>
      <c r="C296" s="28">
        <v>2016</v>
      </c>
      <c r="D296" s="28" t="s">
        <v>1</v>
      </c>
      <c r="E296" s="28" t="s">
        <v>8</v>
      </c>
      <c r="F296" s="28">
        <v>1098</v>
      </c>
    </row>
    <row r="297" spans="1:6">
      <c r="A297" s="28" t="s">
        <v>37</v>
      </c>
      <c r="B297" s="28" t="s">
        <v>0</v>
      </c>
      <c r="C297" s="28">
        <v>2017</v>
      </c>
      <c r="D297" s="28" t="s">
        <v>1</v>
      </c>
      <c r="E297" s="28" t="s">
        <v>8</v>
      </c>
      <c r="F297" s="28">
        <v>1733</v>
      </c>
    </row>
    <row r="298" spans="1:6">
      <c r="A298" s="28" t="s">
        <v>37</v>
      </c>
      <c r="B298" s="28" t="s">
        <v>0</v>
      </c>
      <c r="C298" s="28">
        <v>2010</v>
      </c>
      <c r="D298" s="28" t="s">
        <v>1</v>
      </c>
      <c r="E298" s="28" t="s">
        <v>9</v>
      </c>
      <c r="F298" s="28">
        <v>1962</v>
      </c>
    </row>
    <row r="299" spans="1:6">
      <c r="A299" s="28" t="s">
        <v>37</v>
      </c>
      <c r="B299" s="28" t="s">
        <v>0</v>
      </c>
      <c r="C299" s="28">
        <v>2011</v>
      </c>
      <c r="D299" s="28" t="s">
        <v>1</v>
      </c>
      <c r="E299" s="28" t="s">
        <v>9</v>
      </c>
      <c r="F299" s="28">
        <v>1962</v>
      </c>
    </row>
    <row r="300" spans="1:6">
      <c r="A300" s="28" t="s">
        <v>37</v>
      </c>
      <c r="B300" s="28" t="s">
        <v>0</v>
      </c>
      <c r="C300" s="28">
        <v>2012</v>
      </c>
      <c r="D300" s="28" t="s">
        <v>1</v>
      </c>
      <c r="E300" s="28" t="s">
        <v>9</v>
      </c>
      <c r="F300" s="28">
        <v>767</v>
      </c>
    </row>
    <row r="301" spans="1:6">
      <c r="A301" s="28" t="s">
        <v>37</v>
      </c>
      <c r="B301" s="28" t="s">
        <v>0</v>
      </c>
      <c r="C301" s="28">
        <v>2013</v>
      </c>
      <c r="D301" s="28" t="s">
        <v>1</v>
      </c>
      <c r="E301" s="28" t="s">
        <v>9</v>
      </c>
      <c r="F301" s="28">
        <v>822</v>
      </c>
    </row>
    <row r="302" spans="1:6">
      <c r="A302" s="28" t="s">
        <v>37</v>
      </c>
      <c r="B302" s="28" t="s">
        <v>0</v>
      </c>
      <c r="C302" s="28">
        <v>2014</v>
      </c>
      <c r="D302" s="28" t="s">
        <v>1</v>
      </c>
      <c r="E302" s="28" t="s">
        <v>9</v>
      </c>
      <c r="F302" s="28">
        <v>907</v>
      </c>
    </row>
    <row r="303" spans="1:6">
      <c r="A303" s="28" t="s">
        <v>37</v>
      </c>
      <c r="B303" s="28" t="s">
        <v>0</v>
      </c>
      <c r="C303" s="28">
        <v>2015</v>
      </c>
      <c r="D303" s="28" t="s">
        <v>1</v>
      </c>
      <c r="E303" s="28" t="s">
        <v>9</v>
      </c>
      <c r="F303" s="28">
        <v>1117</v>
      </c>
    </row>
    <row r="304" spans="1:6">
      <c r="A304" s="28" t="s">
        <v>37</v>
      </c>
      <c r="B304" s="28" t="s">
        <v>0</v>
      </c>
      <c r="C304" s="28">
        <v>2016</v>
      </c>
      <c r="D304" s="28" t="s">
        <v>1</v>
      </c>
      <c r="E304" s="28" t="s">
        <v>9</v>
      </c>
      <c r="F304" s="28">
        <v>890</v>
      </c>
    </row>
    <row r="305" spans="1:6">
      <c r="A305" s="28" t="s">
        <v>37</v>
      </c>
      <c r="B305" s="28" t="s">
        <v>0</v>
      </c>
      <c r="C305" s="28">
        <v>2017</v>
      </c>
      <c r="D305" s="28" t="s">
        <v>1</v>
      </c>
      <c r="E305" s="28" t="s">
        <v>9</v>
      </c>
      <c r="F305" s="28">
        <v>1743</v>
      </c>
    </row>
    <row r="306" spans="1:6">
      <c r="A306" s="28" t="s">
        <v>37</v>
      </c>
      <c r="B306" s="28" t="s">
        <v>0</v>
      </c>
      <c r="C306" s="28">
        <v>2010</v>
      </c>
      <c r="D306" s="28" t="s">
        <v>1</v>
      </c>
      <c r="E306" s="28" t="s">
        <v>10</v>
      </c>
      <c r="F306" s="28">
        <v>11272</v>
      </c>
    </row>
    <row r="307" spans="1:6">
      <c r="A307" s="28" t="s">
        <v>37</v>
      </c>
      <c r="B307" s="28" t="s">
        <v>0</v>
      </c>
      <c r="C307" s="28">
        <v>2011</v>
      </c>
      <c r="D307" s="28" t="s">
        <v>1</v>
      </c>
      <c r="E307" s="28" t="s">
        <v>10</v>
      </c>
      <c r="F307" s="28">
        <v>11272</v>
      </c>
    </row>
    <row r="308" spans="1:6">
      <c r="A308" s="28" t="s">
        <v>37</v>
      </c>
      <c r="B308" s="28" t="s">
        <v>0</v>
      </c>
      <c r="C308" s="28">
        <v>2012</v>
      </c>
      <c r="D308" s="28" t="s">
        <v>1</v>
      </c>
      <c r="E308" s="28" t="s">
        <v>10</v>
      </c>
      <c r="F308" s="28">
        <v>10634</v>
      </c>
    </row>
    <row r="309" spans="1:6">
      <c r="A309" s="28" t="s">
        <v>37</v>
      </c>
      <c r="B309" s="28" t="s">
        <v>0</v>
      </c>
      <c r="C309" s="28">
        <v>2013</v>
      </c>
      <c r="D309" s="28" t="s">
        <v>1</v>
      </c>
      <c r="E309" s="28" t="s">
        <v>10</v>
      </c>
      <c r="F309" s="28">
        <v>9616</v>
      </c>
    </row>
    <row r="310" spans="1:6">
      <c r="A310" s="28" t="s">
        <v>37</v>
      </c>
      <c r="B310" s="28" t="s">
        <v>0</v>
      </c>
      <c r="C310" s="28">
        <v>2014</v>
      </c>
      <c r="D310" s="28" t="s">
        <v>1</v>
      </c>
      <c r="E310" s="28" t="s">
        <v>10</v>
      </c>
      <c r="F310" s="28">
        <v>12571</v>
      </c>
    </row>
    <row r="311" spans="1:6">
      <c r="A311" s="28" t="s">
        <v>37</v>
      </c>
      <c r="B311" s="28" t="s">
        <v>0</v>
      </c>
      <c r="C311" s="28">
        <v>2015</v>
      </c>
      <c r="D311" s="28" t="s">
        <v>1</v>
      </c>
      <c r="E311" s="28" t="s">
        <v>10</v>
      </c>
      <c r="F311" s="28">
        <v>16716</v>
      </c>
    </row>
    <row r="312" spans="1:6">
      <c r="A312" s="28" t="s">
        <v>37</v>
      </c>
      <c r="B312" s="28" t="s">
        <v>0</v>
      </c>
      <c r="C312" s="28">
        <v>2016</v>
      </c>
      <c r="D312" s="28" t="s">
        <v>1</v>
      </c>
      <c r="E312" s="28" t="s">
        <v>10</v>
      </c>
      <c r="F312" s="28">
        <v>18073</v>
      </c>
    </row>
    <row r="313" spans="1:6">
      <c r="A313" s="28" t="s">
        <v>37</v>
      </c>
      <c r="B313" s="28" t="s">
        <v>0</v>
      </c>
      <c r="C313" s="28">
        <v>2017</v>
      </c>
      <c r="D313" s="28" t="s">
        <v>1</v>
      </c>
      <c r="E313" s="28" t="s">
        <v>10</v>
      </c>
      <c r="F313" s="28">
        <v>18338</v>
      </c>
    </row>
    <row r="314" spans="1:6">
      <c r="A314" s="28" t="s">
        <v>37</v>
      </c>
      <c r="B314" s="28" t="s">
        <v>0</v>
      </c>
      <c r="C314" s="28">
        <v>2010</v>
      </c>
      <c r="D314" s="28" t="s">
        <v>1</v>
      </c>
      <c r="E314" s="28" t="s">
        <v>11</v>
      </c>
      <c r="F314" s="28">
        <v>0.24485450674237</v>
      </c>
    </row>
    <row r="315" spans="1:6">
      <c r="A315" s="28" t="s">
        <v>37</v>
      </c>
      <c r="B315" s="28" t="s">
        <v>0</v>
      </c>
      <c r="C315" s="28">
        <v>2011</v>
      </c>
      <c r="D315" s="28" t="s">
        <v>1</v>
      </c>
      <c r="E315" s="28" t="s">
        <v>11</v>
      </c>
      <c r="F315" s="28">
        <v>0.24485450674237</v>
      </c>
    </row>
    <row r="316" spans="1:6">
      <c r="A316" s="28" t="s">
        <v>37</v>
      </c>
      <c r="B316" s="28" t="s">
        <v>0</v>
      </c>
      <c r="C316" s="28">
        <v>2012</v>
      </c>
      <c r="D316" s="28" t="s">
        <v>1</v>
      </c>
      <c r="E316" s="28" t="s">
        <v>11</v>
      </c>
      <c r="F316" s="28">
        <v>0.13851796125634799</v>
      </c>
    </row>
    <row r="317" spans="1:6">
      <c r="A317" s="28" t="s">
        <v>37</v>
      </c>
      <c r="B317" s="28" t="s">
        <v>0</v>
      </c>
      <c r="C317" s="28">
        <v>2013</v>
      </c>
      <c r="D317" s="28" t="s">
        <v>1</v>
      </c>
      <c r="E317" s="28" t="s">
        <v>11</v>
      </c>
      <c r="F317" s="28">
        <v>0.16649334442595701</v>
      </c>
    </row>
    <row r="318" spans="1:6">
      <c r="A318" s="28" t="s">
        <v>37</v>
      </c>
      <c r="B318" s="28" t="s">
        <v>0</v>
      </c>
      <c r="C318" s="28">
        <v>2014</v>
      </c>
      <c r="D318" s="28" t="s">
        <v>1</v>
      </c>
      <c r="E318" s="28" t="s">
        <v>11</v>
      </c>
      <c r="F318" s="28">
        <v>0.13666374990056501</v>
      </c>
    </row>
    <row r="319" spans="1:6">
      <c r="A319" s="28" t="s">
        <v>37</v>
      </c>
      <c r="B319" s="28" t="s">
        <v>0</v>
      </c>
      <c r="C319" s="28">
        <v>2015</v>
      </c>
      <c r="D319" s="28" t="s">
        <v>1</v>
      </c>
      <c r="E319" s="28" t="s">
        <v>11</v>
      </c>
      <c r="F319" s="28">
        <v>0.13083273510409199</v>
      </c>
    </row>
    <row r="320" spans="1:6">
      <c r="A320" s="28" t="s">
        <v>37</v>
      </c>
      <c r="B320" s="28" t="s">
        <v>0</v>
      </c>
      <c r="C320" s="28">
        <v>2016</v>
      </c>
      <c r="D320" s="28" t="s">
        <v>1</v>
      </c>
      <c r="E320" s="28" t="s">
        <v>11</v>
      </c>
      <c r="F320" s="28">
        <v>0.10999834006529099</v>
      </c>
    </row>
    <row r="321" spans="1:6">
      <c r="A321" s="28" t="s">
        <v>37</v>
      </c>
      <c r="B321" s="28" t="s">
        <v>0</v>
      </c>
      <c r="C321" s="28">
        <v>2017</v>
      </c>
      <c r="D321" s="28" t="s">
        <v>1</v>
      </c>
      <c r="E321" s="28" t="s">
        <v>11</v>
      </c>
      <c r="F321" s="28">
        <v>0.18955175046351799</v>
      </c>
    </row>
    <row r="322" spans="1:6">
      <c r="A322" s="28" t="s">
        <v>37</v>
      </c>
      <c r="B322" s="28" t="s">
        <v>0</v>
      </c>
      <c r="C322" s="28">
        <v>2010</v>
      </c>
      <c r="D322" s="28" t="s">
        <v>4</v>
      </c>
      <c r="E322" s="28" t="s">
        <v>12</v>
      </c>
      <c r="F322" s="28">
        <v>10757</v>
      </c>
    </row>
    <row r="323" spans="1:6">
      <c r="A323" s="28" t="s">
        <v>37</v>
      </c>
      <c r="B323" s="28" t="s">
        <v>0</v>
      </c>
      <c r="C323" s="28">
        <v>2011</v>
      </c>
      <c r="D323" s="28" t="s">
        <v>4</v>
      </c>
      <c r="E323" s="28" t="s">
        <v>12</v>
      </c>
      <c r="F323" s="28">
        <v>10757</v>
      </c>
    </row>
    <row r="324" spans="1:6">
      <c r="A324" s="28" t="s">
        <v>37</v>
      </c>
      <c r="B324" s="28" t="s">
        <v>0</v>
      </c>
      <c r="C324" s="28">
        <v>2012</v>
      </c>
      <c r="D324" s="28" t="s">
        <v>4</v>
      </c>
      <c r="E324" s="28" t="s">
        <v>12</v>
      </c>
      <c r="F324" s="28">
        <v>11676</v>
      </c>
    </row>
    <row r="325" spans="1:6">
      <c r="A325" s="28" t="s">
        <v>37</v>
      </c>
      <c r="B325" s="28" t="s">
        <v>0</v>
      </c>
      <c r="C325" s="28">
        <v>2013</v>
      </c>
      <c r="D325" s="28" t="s">
        <v>4</v>
      </c>
      <c r="E325" s="28" t="s">
        <v>12</v>
      </c>
      <c r="F325" s="28">
        <v>9223</v>
      </c>
    </row>
    <row r="326" spans="1:6">
      <c r="A326" s="28" t="s">
        <v>37</v>
      </c>
      <c r="B326" s="28" t="s">
        <v>0</v>
      </c>
      <c r="C326" s="28">
        <v>2014</v>
      </c>
      <c r="D326" s="28" t="s">
        <v>4</v>
      </c>
      <c r="E326" s="28" t="s">
        <v>12</v>
      </c>
      <c r="F326" s="28">
        <v>9370</v>
      </c>
    </row>
    <row r="327" spans="1:6">
      <c r="A327" s="28" t="s">
        <v>37</v>
      </c>
      <c r="B327" s="28" t="s">
        <v>0</v>
      </c>
      <c r="C327" s="28">
        <v>2015</v>
      </c>
      <c r="D327" s="28" t="s">
        <v>4</v>
      </c>
      <c r="E327" s="28" t="s">
        <v>12</v>
      </c>
      <c r="F327" s="28">
        <v>12073</v>
      </c>
    </row>
    <row r="328" spans="1:6">
      <c r="A328" s="28" t="s">
        <v>37</v>
      </c>
      <c r="B328" s="28" t="s">
        <v>0</v>
      </c>
      <c r="C328" s="28">
        <v>2016</v>
      </c>
      <c r="D328" s="28" t="s">
        <v>4</v>
      </c>
      <c r="E328" s="28" t="s">
        <v>12</v>
      </c>
      <c r="F328" s="28">
        <v>14167</v>
      </c>
    </row>
    <row r="329" spans="1:6">
      <c r="A329" s="28" t="s">
        <v>37</v>
      </c>
      <c r="B329" s="28" t="s">
        <v>0</v>
      </c>
      <c r="C329" s="28">
        <v>2017</v>
      </c>
      <c r="D329" s="28" t="s">
        <v>4</v>
      </c>
      <c r="E329" s="28" t="s">
        <v>12</v>
      </c>
      <c r="F329" s="28">
        <v>11194</v>
      </c>
    </row>
    <row r="330" spans="1:6">
      <c r="A330" s="28" t="s">
        <v>37</v>
      </c>
      <c r="B330" s="28" t="s">
        <v>0</v>
      </c>
      <c r="C330" s="28">
        <v>2010</v>
      </c>
      <c r="D330" s="28" t="s">
        <v>4</v>
      </c>
      <c r="E330" s="28" t="s">
        <v>13</v>
      </c>
      <c r="F330" s="28">
        <v>2598</v>
      </c>
    </row>
    <row r="331" spans="1:6">
      <c r="A331" s="28" t="s">
        <v>37</v>
      </c>
      <c r="B331" s="28" t="s">
        <v>0</v>
      </c>
      <c r="C331" s="28">
        <v>2011</v>
      </c>
      <c r="D331" s="28" t="s">
        <v>4</v>
      </c>
      <c r="E331" s="28" t="s">
        <v>13</v>
      </c>
      <c r="F331" s="28">
        <v>2598</v>
      </c>
    </row>
    <row r="332" spans="1:6">
      <c r="A332" s="28" t="s">
        <v>37</v>
      </c>
      <c r="B332" s="28" t="s">
        <v>0</v>
      </c>
      <c r="C332" s="28">
        <v>2012</v>
      </c>
      <c r="D332" s="28" t="s">
        <v>4</v>
      </c>
      <c r="E332" s="28" t="s">
        <v>13</v>
      </c>
      <c r="F332" s="28">
        <v>2188</v>
      </c>
    </row>
    <row r="333" spans="1:6">
      <c r="A333" s="28" t="s">
        <v>37</v>
      </c>
      <c r="B333" s="28" t="s">
        <v>0</v>
      </c>
      <c r="C333" s="28">
        <v>2013</v>
      </c>
      <c r="D333" s="28" t="s">
        <v>4</v>
      </c>
      <c r="E333" s="28" t="s">
        <v>13</v>
      </c>
      <c r="F333" s="28">
        <v>1184</v>
      </c>
    </row>
    <row r="334" spans="1:6">
      <c r="A334" s="28" t="s">
        <v>37</v>
      </c>
      <c r="B334" s="28" t="s">
        <v>0</v>
      </c>
      <c r="C334" s="28">
        <v>2014</v>
      </c>
      <c r="D334" s="28" t="s">
        <v>4</v>
      </c>
      <c r="E334" s="28" t="s">
        <v>13</v>
      </c>
      <c r="F334" s="28">
        <v>2808</v>
      </c>
    </row>
    <row r="335" spans="1:6">
      <c r="A335" s="28" t="s">
        <v>37</v>
      </c>
      <c r="B335" s="28" t="s">
        <v>0</v>
      </c>
      <c r="C335" s="28">
        <v>2015</v>
      </c>
      <c r="D335" s="28" t="s">
        <v>4</v>
      </c>
      <c r="E335" s="28" t="s">
        <v>13</v>
      </c>
      <c r="F335" s="28">
        <v>3572</v>
      </c>
    </row>
    <row r="336" spans="1:6">
      <c r="A336" s="28" t="s">
        <v>37</v>
      </c>
      <c r="B336" s="28" t="s">
        <v>0</v>
      </c>
      <c r="C336" s="28">
        <v>2016</v>
      </c>
      <c r="D336" s="28" t="s">
        <v>4</v>
      </c>
      <c r="E336" s="28" t="s">
        <v>13</v>
      </c>
      <c r="F336" s="28">
        <v>1567</v>
      </c>
    </row>
    <row r="337" spans="1:6">
      <c r="A337" s="28" t="s">
        <v>37</v>
      </c>
      <c r="B337" s="28" t="s">
        <v>0</v>
      </c>
      <c r="C337" s="28">
        <v>2017</v>
      </c>
      <c r="D337" s="28" t="s">
        <v>4</v>
      </c>
      <c r="E337" s="28" t="s">
        <v>13</v>
      </c>
      <c r="F337" s="28">
        <v>-916</v>
      </c>
    </row>
    <row r="338" spans="1:6">
      <c r="A338" s="28" t="s">
        <v>37</v>
      </c>
      <c r="B338" s="28" t="s">
        <v>0</v>
      </c>
      <c r="C338" s="28">
        <v>2010</v>
      </c>
      <c r="D338" s="28" t="s">
        <v>4</v>
      </c>
      <c r="E338" s="28" t="s">
        <v>14</v>
      </c>
      <c r="F338" s="28">
        <v>352.95584524672802</v>
      </c>
    </row>
    <row r="339" spans="1:6">
      <c r="A339" s="28" t="s">
        <v>37</v>
      </c>
      <c r="B339" s="28" t="s">
        <v>0</v>
      </c>
      <c r="C339" s="28">
        <v>2011</v>
      </c>
      <c r="D339" s="28" t="s">
        <v>4</v>
      </c>
      <c r="E339" s="28" t="s">
        <v>14</v>
      </c>
      <c r="F339" s="28">
        <v>334.10878957389201</v>
      </c>
    </row>
    <row r="340" spans="1:6">
      <c r="A340" s="28" t="s">
        <v>37</v>
      </c>
      <c r="B340" s="28" t="s">
        <v>0</v>
      </c>
      <c r="C340" s="28">
        <v>2012</v>
      </c>
      <c r="D340" s="28" t="s">
        <v>4</v>
      </c>
      <c r="E340" s="28" t="s">
        <v>14</v>
      </c>
      <c r="F340" s="28">
        <v>384.42417038985701</v>
      </c>
    </row>
    <row r="341" spans="1:6">
      <c r="A341" s="28" t="s">
        <v>37</v>
      </c>
      <c r="B341" s="28" t="s">
        <v>0</v>
      </c>
      <c r="C341" s="28">
        <v>2013</v>
      </c>
      <c r="D341" s="28" t="s">
        <v>4</v>
      </c>
      <c r="E341" s="28" t="s">
        <v>14</v>
      </c>
      <c r="F341" s="28">
        <v>281.79729415934401</v>
      </c>
    </row>
    <row r="342" spans="1:6">
      <c r="A342" s="28" t="s">
        <v>37</v>
      </c>
      <c r="B342" s="28" t="s">
        <v>0</v>
      </c>
      <c r="C342" s="28">
        <v>2014</v>
      </c>
      <c r="D342" s="28" t="s">
        <v>4</v>
      </c>
      <c r="E342" s="28" t="s">
        <v>14</v>
      </c>
      <c r="F342" s="28">
        <v>166.55290587716701</v>
      </c>
    </row>
    <row r="343" spans="1:6">
      <c r="A343" s="28" t="s">
        <v>37</v>
      </c>
      <c r="B343" s="28" t="s">
        <v>0</v>
      </c>
      <c r="C343" s="28">
        <v>2015</v>
      </c>
      <c r="D343" s="28" t="s">
        <v>4</v>
      </c>
      <c r="E343" s="28" t="s">
        <v>14</v>
      </c>
      <c r="F343" s="28">
        <v>165.64973580836099</v>
      </c>
    </row>
    <row r="344" spans="1:6">
      <c r="A344" s="28" t="s">
        <v>37</v>
      </c>
      <c r="B344" s="28" t="s">
        <v>0</v>
      </c>
      <c r="C344" s="28">
        <v>2016</v>
      </c>
      <c r="D344" s="28" t="s">
        <v>4</v>
      </c>
      <c r="E344" s="28" t="s">
        <v>14</v>
      </c>
      <c r="F344" s="28">
        <v>233.55957854753501</v>
      </c>
    </row>
    <row r="345" spans="1:6">
      <c r="A345" s="28" t="s">
        <v>37</v>
      </c>
      <c r="B345" s="28" t="s">
        <v>0</v>
      </c>
      <c r="C345" s="28">
        <v>2017</v>
      </c>
      <c r="D345" s="28" t="s">
        <v>4</v>
      </c>
      <c r="E345" s="28" t="s">
        <v>14</v>
      </c>
      <c r="F345" s="28">
        <v>194.33960298749</v>
      </c>
    </row>
    <row r="346" spans="1:6">
      <c r="A346" s="28" t="s">
        <v>37</v>
      </c>
      <c r="B346" s="28" t="s">
        <v>0</v>
      </c>
      <c r="C346" s="28">
        <v>2010</v>
      </c>
      <c r="D346" s="28" t="s">
        <v>4</v>
      </c>
      <c r="E346" s="28" t="s">
        <v>15</v>
      </c>
      <c r="F346" s="28">
        <v>85.244890392395504</v>
      </c>
    </row>
    <row r="347" spans="1:6">
      <c r="A347" s="28" t="s">
        <v>37</v>
      </c>
      <c r="B347" s="28" t="s">
        <v>0</v>
      </c>
      <c r="C347" s="28">
        <v>2011</v>
      </c>
      <c r="D347" s="28" t="s">
        <v>4</v>
      </c>
      <c r="E347" s="28" t="s">
        <v>15</v>
      </c>
      <c r="F347" s="28">
        <v>80.693003189827294</v>
      </c>
    </row>
    <row r="348" spans="1:6">
      <c r="A348" s="28" t="s">
        <v>37</v>
      </c>
      <c r="B348" s="28" t="s">
        <v>0</v>
      </c>
      <c r="C348" s="28">
        <v>2012</v>
      </c>
      <c r="D348" s="28" t="s">
        <v>4</v>
      </c>
      <c r="E348" s="28" t="s">
        <v>15</v>
      </c>
      <c r="F348" s="28">
        <v>72.038376568431502</v>
      </c>
    </row>
    <row r="349" spans="1:6">
      <c r="A349" s="28" t="s">
        <v>37</v>
      </c>
      <c r="B349" s="28" t="s">
        <v>0</v>
      </c>
      <c r="C349" s="28">
        <v>2013</v>
      </c>
      <c r="D349" s="28" t="s">
        <v>4</v>
      </c>
      <c r="E349" s="28" t="s">
        <v>15</v>
      </c>
      <c r="F349" s="28">
        <v>36.175647434095602</v>
      </c>
    </row>
    <row r="350" spans="1:6">
      <c r="A350" s="28" t="s">
        <v>37</v>
      </c>
      <c r="B350" s="28" t="s">
        <v>0</v>
      </c>
      <c r="C350" s="28">
        <v>2014</v>
      </c>
      <c r="D350" s="28" t="s">
        <v>4</v>
      </c>
      <c r="E350" s="28" t="s">
        <v>15</v>
      </c>
      <c r="F350" s="28">
        <v>49.912546393071999</v>
      </c>
    </row>
    <row r="351" spans="1:6">
      <c r="A351" s="28" t="s">
        <v>37</v>
      </c>
      <c r="B351" s="28" t="s">
        <v>0</v>
      </c>
      <c r="C351" s="28">
        <v>2015</v>
      </c>
      <c r="D351" s="28" t="s">
        <v>4</v>
      </c>
      <c r="E351" s="28" t="s">
        <v>15</v>
      </c>
      <c r="F351" s="28">
        <v>49.010258950340798</v>
      </c>
    </row>
    <row r="352" spans="1:6">
      <c r="A352" s="28" t="s">
        <v>37</v>
      </c>
      <c r="B352" s="28" t="s">
        <v>0</v>
      </c>
      <c r="C352" s="28">
        <v>2016</v>
      </c>
      <c r="D352" s="28" t="s">
        <v>4</v>
      </c>
      <c r="E352" s="28" t="s">
        <v>15</v>
      </c>
      <c r="F352" s="28">
        <v>25.833829292298201</v>
      </c>
    </row>
    <row r="353" spans="1:6">
      <c r="A353" s="28" t="s">
        <v>37</v>
      </c>
      <c r="B353" s="28" t="s">
        <v>0</v>
      </c>
      <c r="C353" s="28">
        <v>2017</v>
      </c>
      <c r="D353" s="28" t="s">
        <v>4</v>
      </c>
      <c r="E353" s="28" t="s">
        <v>15</v>
      </c>
      <c r="F353" s="28">
        <v>-15.9027225599911</v>
      </c>
    </row>
    <row r="354" spans="1:6">
      <c r="A354" s="28" t="s">
        <v>37</v>
      </c>
      <c r="B354" s="28" t="s">
        <v>0</v>
      </c>
      <c r="C354" s="28">
        <v>2010</v>
      </c>
      <c r="D354" s="28" t="s">
        <v>7</v>
      </c>
      <c r="E354" s="28" t="s">
        <v>16</v>
      </c>
      <c r="F354" s="28">
        <v>4087</v>
      </c>
    </row>
    <row r="355" spans="1:6">
      <c r="A355" s="28" t="s">
        <v>37</v>
      </c>
      <c r="B355" s="28" t="s">
        <v>0</v>
      </c>
      <c r="C355" s="28">
        <v>2011</v>
      </c>
      <c r="D355" s="28" t="s">
        <v>7</v>
      </c>
      <c r="E355" s="28" t="s">
        <v>16</v>
      </c>
      <c r="F355" s="28">
        <v>4087</v>
      </c>
    </row>
    <row r="356" spans="1:6">
      <c r="A356" s="28" t="s">
        <v>37</v>
      </c>
      <c r="B356" s="28" t="s">
        <v>0</v>
      </c>
      <c r="C356" s="28">
        <v>2012</v>
      </c>
      <c r="D356" s="28" t="s">
        <v>7</v>
      </c>
      <c r="E356" s="28" t="s">
        <v>16</v>
      </c>
      <c r="F356" s="28">
        <v>3675</v>
      </c>
    </row>
    <row r="357" spans="1:6">
      <c r="A357" s="28" t="s">
        <v>37</v>
      </c>
      <c r="B357" s="28" t="s">
        <v>0</v>
      </c>
      <c r="C357" s="28">
        <v>2013</v>
      </c>
      <c r="D357" s="28" t="s">
        <v>7</v>
      </c>
      <c r="E357" s="28" t="s">
        <v>16</v>
      </c>
      <c r="F357" s="28">
        <v>2342</v>
      </c>
    </row>
    <row r="358" spans="1:6">
      <c r="A358" s="28" t="s">
        <v>37</v>
      </c>
      <c r="B358" s="28" t="s">
        <v>0</v>
      </c>
      <c r="C358" s="28">
        <v>2014</v>
      </c>
      <c r="D358" s="28" t="s">
        <v>7</v>
      </c>
      <c r="E358" s="28" t="s">
        <v>16</v>
      </c>
      <c r="F358" s="28">
        <v>2181</v>
      </c>
    </row>
    <row r="359" spans="1:6">
      <c r="A359" s="28" t="s">
        <v>37</v>
      </c>
      <c r="B359" s="28" t="s">
        <v>0</v>
      </c>
      <c r="C359" s="28">
        <v>2015</v>
      </c>
      <c r="D359" s="28" t="s">
        <v>7</v>
      </c>
      <c r="E359" s="28" t="s">
        <v>16</v>
      </c>
      <c r="F359" s="28">
        <v>3819</v>
      </c>
    </row>
    <row r="360" spans="1:6">
      <c r="A360" s="28" t="s">
        <v>37</v>
      </c>
      <c r="B360" s="28" t="s">
        <v>0</v>
      </c>
      <c r="C360" s="28">
        <v>2016</v>
      </c>
      <c r="D360" s="28" t="s">
        <v>7</v>
      </c>
      <c r="E360" s="28" t="s">
        <v>16</v>
      </c>
      <c r="F360" s="28">
        <v>4628</v>
      </c>
    </row>
    <row r="361" spans="1:6">
      <c r="A361" s="28" t="s">
        <v>37</v>
      </c>
      <c r="B361" s="28" t="s">
        <v>0</v>
      </c>
      <c r="C361" s="28">
        <v>2017</v>
      </c>
      <c r="D361" s="28" t="s">
        <v>7</v>
      </c>
      <c r="E361" s="28" t="s">
        <v>16</v>
      </c>
      <c r="F361" s="28">
        <v>1224</v>
      </c>
    </row>
    <row r="362" spans="1:6">
      <c r="A362" s="28" t="s">
        <v>37</v>
      </c>
      <c r="B362" s="28" t="s">
        <v>0</v>
      </c>
      <c r="C362" s="28">
        <v>2010</v>
      </c>
      <c r="D362" s="28" t="s">
        <v>7</v>
      </c>
      <c r="E362" s="28" t="s">
        <v>17</v>
      </c>
      <c r="F362" s="28">
        <v>134.101565447929</v>
      </c>
    </row>
    <row r="363" spans="1:6">
      <c r="A363" s="28" t="s">
        <v>37</v>
      </c>
      <c r="B363" s="28" t="s">
        <v>0</v>
      </c>
      <c r="C363" s="28">
        <v>2011</v>
      </c>
      <c r="D363" s="28" t="s">
        <v>7</v>
      </c>
      <c r="E363" s="28" t="s">
        <v>17</v>
      </c>
      <c r="F363" s="28">
        <v>126.940840660825</v>
      </c>
    </row>
    <row r="364" spans="1:6">
      <c r="A364" s="28" t="s">
        <v>37</v>
      </c>
      <c r="B364" s="28" t="s">
        <v>0</v>
      </c>
      <c r="C364" s="28">
        <v>2012</v>
      </c>
      <c r="D364" s="28" t="s">
        <v>7</v>
      </c>
      <c r="E364" s="28" t="s">
        <v>17</v>
      </c>
      <c r="F364" s="28">
        <v>120.996816219829</v>
      </c>
    </row>
    <row r="365" spans="1:6">
      <c r="A365" s="28" t="s">
        <v>37</v>
      </c>
      <c r="B365" s="28" t="s">
        <v>0</v>
      </c>
      <c r="C365" s="28">
        <v>2013</v>
      </c>
      <c r="D365" s="28" t="s">
        <v>7</v>
      </c>
      <c r="E365" s="28" t="s">
        <v>17</v>
      </c>
      <c r="F365" s="28">
        <v>71.556897204942402</v>
      </c>
    </row>
    <row r="366" spans="1:6">
      <c r="A366" s="28" t="s">
        <v>37</v>
      </c>
      <c r="B366" s="28" t="s">
        <v>0</v>
      </c>
      <c r="C366" s="28">
        <v>2014</v>
      </c>
      <c r="D366" s="28" t="s">
        <v>7</v>
      </c>
      <c r="E366" s="28" t="s">
        <v>17</v>
      </c>
      <c r="F366" s="28">
        <v>38.767544046755702</v>
      </c>
    </row>
    <row r="367" spans="1:6">
      <c r="A367" s="28" t="s">
        <v>37</v>
      </c>
      <c r="B367" s="28" t="s">
        <v>0</v>
      </c>
      <c r="C367" s="28">
        <v>2015</v>
      </c>
      <c r="D367" s="28" t="s">
        <v>7</v>
      </c>
      <c r="E367" s="28" t="s">
        <v>17</v>
      </c>
      <c r="F367" s="28">
        <v>52.399266218183499</v>
      </c>
    </row>
    <row r="368" spans="1:6">
      <c r="A368" s="28" t="s">
        <v>37</v>
      </c>
      <c r="B368" s="28" t="s">
        <v>0</v>
      </c>
      <c r="C368" s="28">
        <v>2016</v>
      </c>
      <c r="D368" s="28" t="s">
        <v>7</v>
      </c>
      <c r="E368" s="28" t="s">
        <v>17</v>
      </c>
      <c r="F368" s="28">
        <v>76.297997424860199</v>
      </c>
    </row>
    <row r="369" spans="1:6">
      <c r="A369" s="28" t="s">
        <v>37</v>
      </c>
      <c r="B369" s="28" t="s">
        <v>0</v>
      </c>
      <c r="C369" s="28">
        <v>2017</v>
      </c>
      <c r="D369" s="28" t="s">
        <v>7</v>
      </c>
      <c r="E369" s="28" t="s">
        <v>17</v>
      </c>
      <c r="F369" s="28">
        <v>21.249926215534</v>
      </c>
    </row>
    <row r="370" spans="1:6">
      <c r="A370" s="28" t="s">
        <v>37</v>
      </c>
      <c r="B370" s="28" t="s">
        <v>0</v>
      </c>
      <c r="C370" s="28">
        <v>2010</v>
      </c>
      <c r="D370" s="28" t="s">
        <v>20</v>
      </c>
      <c r="E370" s="28" t="s">
        <v>18</v>
      </c>
      <c r="F370" s="28">
        <v>1.488</v>
      </c>
    </row>
    <row r="371" spans="1:6">
      <c r="A371" s="28" t="s">
        <v>37</v>
      </c>
      <c r="B371" s="28" t="s">
        <v>0</v>
      </c>
      <c r="C371" s="28">
        <v>2011</v>
      </c>
      <c r="D371" s="28" t="s">
        <v>20</v>
      </c>
      <c r="E371" s="28" t="s">
        <v>18</v>
      </c>
      <c r="F371" s="28">
        <v>1.488</v>
      </c>
    </row>
    <row r="372" spans="1:6">
      <c r="A372" s="28" t="s">
        <v>37</v>
      </c>
      <c r="B372" s="28" t="s">
        <v>0</v>
      </c>
      <c r="C372" s="28">
        <v>2012</v>
      </c>
      <c r="D372" s="28" t="s">
        <v>20</v>
      </c>
      <c r="E372" s="28" t="s">
        <v>18</v>
      </c>
      <c r="F372" s="28">
        <v>1.488</v>
      </c>
    </row>
    <row r="373" spans="1:6">
      <c r="A373" s="28" t="s">
        <v>37</v>
      </c>
      <c r="B373" s="28" t="s">
        <v>0</v>
      </c>
      <c r="C373" s="28">
        <v>2013</v>
      </c>
      <c r="D373" s="28" t="s">
        <v>20</v>
      </c>
      <c r="E373" s="28" t="s">
        <v>18</v>
      </c>
      <c r="F373" s="28">
        <v>1.488</v>
      </c>
    </row>
    <row r="374" spans="1:6">
      <c r="A374" s="28" t="s">
        <v>37</v>
      </c>
      <c r="B374" s="28" t="s">
        <v>0</v>
      </c>
      <c r="C374" s="28">
        <v>2014</v>
      </c>
      <c r="D374" s="28" t="s">
        <v>20</v>
      </c>
      <c r="E374" s="28" t="s">
        <v>18</v>
      </c>
      <c r="F374" s="28">
        <v>1.488</v>
      </c>
    </row>
    <row r="375" spans="1:6">
      <c r="A375" s="28" t="s">
        <v>37</v>
      </c>
      <c r="B375" s="28" t="s">
        <v>0</v>
      </c>
      <c r="C375" s="28">
        <v>2015</v>
      </c>
      <c r="D375" s="28" t="s">
        <v>20</v>
      </c>
      <c r="E375" s="28" t="s">
        <v>18</v>
      </c>
      <c r="F375" s="28">
        <v>1.488</v>
      </c>
    </row>
    <row r="376" spans="1:6">
      <c r="A376" s="28" t="s">
        <v>37</v>
      </c>
      <c r="B376" s="28" t="s">
        <v>0</v>
      </c>
      <c r="C376" s="28">
        <v>2016</v>
      </c>
      <c r="D376" s="28" t="s">
        <v>20</v>
      </c>
      <c r="E376" s="28" t="s">
        <v>18</v>
      </c>
      <c r="F376" s="28">
        <v>1.488</v>
      </c>
    </row>
    <row r="377" spans="1:6">
      <c r="A377" s="28" t="s">
        <v>37</v>
      </c>
      <c r="B377" s="28" t="s">
        <v>0</v>
      </c>
      <c r="C377" s="28">
        <v>2017</v>
      </c>
      <c r="D377" s="28" t="s">
        <v>20</v>
      </c>
      <c r="E377" s="28" t="s">
        <v>18</v>
      </c>
      <c r="F377" s="28">
        <v>1.488</v>
      </c>
    </row>
    <row r="378" spans="1:6">
      <c r="A378" s="28" t="s">
        <v>37</v>
      </c>
      <c r="B378" s="28" t="s">
        <v>0</v>
      </c>
      <c r="C378" s="28">
        <v>2010</v>
      </c>
      <c r="D378" s="28" t="s">
        <v>20</v>
      </c>
      <c r="E378" s="28" t="s">
        <v>19</v>
      </c>
      <c r="F378" s="28">
        <v>1885</v>
      </c>
    </row>
    <row r="379" spans="1:6">
      <c r="A379" s="28" t="s">
        <v>37</v>
      </c>
      <c r="B379" s="28" t="s">
        <v>0</v>
      </c>
      <c r="C379" s="28">
        <v>2011</v>
      </c>
      <c r="D379" s="28" t="s">
        <v>20</v>
      </c>
      <c r="E379" s="28" t="s">
        <v>19</v>
      </c>
      <c r="F379" s="28">
        <v>4355</v>
      </c>
    </row>
    <row r="380" spans="1:6">
      <c r="A380" s="28" t="s">
        <v>37</v>
      </c>
      <c r="B380" s="28" t="s">
        <v>0</v>
      </c>
      <c r="C380" s="28">
        <v>2012</v>
      </c>
      <c r="D380" s="28" t="s">
        <v>20</v>
      </c>
      <c r="E380" s="28" t="s">
        <v>19</v>
      </c>
      <c r="F380" s="28">
        <v>5991</v>
      </c>
    </row>
    <row r="381" spans="1:6">
      <c r="A381" s="28" t="s">
        <v>37</v>
      </c>
      <c r="B381" s="28" t="s">
        <v>0</v>
      </c>
      <c r="C381" s="28">
        <v>2013</v>
      </c>
      <c r="D381" s="28" t="s">
        <v>20</v>
      </c>
      <c r="E381" s="28" t="s">
        <v>19</v>
      </c>
      <c r="F381" s="28">
        <v>5591.2</v>
      </c>
    </row>
    <row r="382" spans="1:6">
      <c r="A382" s="28" t="s">
        <v>37</v>
      </c>
      <c r="B382" s="28" t="s">
        <v>0</v>
      </c>
      <c r="C382" s="28">
        <v>2014</v>
      </c>
      <c r="D382" s="28" t="s">
        <v>20</v>
      </c>
      <c r="E382" s="28" t="s">
        <v>19</v>
      </c>
      <c r="F382" s="28">
        <v>4040</v>
      </c>
    </row>
    <row r="383" spans="1:6">
      <c r="A383" s="28" t="s">
        <v>37</v>
      </c>
      <c r="B383" s="28" t="s">
        <v>0</v>
      </c>
      <c r="C383" s="28">
        <v>2015</v>
      </c>
      <c r="D383" s="28" t="s">
        <v>20</v>
      </c>
      <c r="E383" s="28" t="s">
        <v>19</v>
      </c>
      <c r="F383" s="28">
        <v>7311.2</v>
      </c>
    </row>
    <row r="384" spans="1:6">
      <c r="A384" s="28" t="s">
        <v>37</v>
      </c>
      <c r="B384" s="28" t="s">
        <v>0</v>
      </c>
      <c r="C384" s="28">
        <v>2016</v>
      </c>
      <c r="D384" s="28" t="s">
        <v>20</v>
      </c>
      <c r="E384" s="28" t="s">
        <v>19</v>
      </c>
      <c r="F384" s="28">
        <v>8640</v>
      </c>
    </row>
    <row r="385" spans="1:6">
      <c r="A385" s="28" t="s">
        <v>37</v>
      </c>
      <c r="B385" s="28" t="s">
        <v>0</v>
      </c>
      <c r="C385" s="28">
        <v>2017</v>
      </c>
      <c r="D385" s="28" t="s">
        <v>20</v>
      </c>
      <c r="E385" s="28" t="s">
        <v>19</v>
      </c>
      <c r="F385" s="28">
        <v>7300</v>
      </c>
    </row>
    <row r="386" spans="1:6">
      <c r="A386" s="28" t="s">
        <v>38</v>
      </c>
      <c r="B386" s="28" t="s">
        <v>0</v>
      </c>
      <c r="C386" s="28">
        <v>2010</v>
      </c>
      <c r="D386" s="28" t="s">
        <v>1</v>
      </c>
      <c r="E386" s="28" t="s">
        <v>2</v>
      </c>
      <c r="F386" s="28">
        <v>52561.985585000002</v>
      </c>
    </row>
    <row r="387" spans="1:6">
      <c r="A387" s="28" t="s">
        <v>38</v>
      </c>
      <c r="B387" s="28" t="s">
        <v>0</v>
      </c>
      <c r="C387" s="28">
        <v>2011</v>
      </c>
      <c r="D387" s="28" t="s">
        <v>1</v>
      </c>
      <c r="E387" s="28" t="s">
        <v>2</v>
      </c>
      <c r="F387" s="28">
        <v>69206.064283700005</v>
      </c>
    </row>
    <row r="388" spans="1:6">
      <c r="A388" s="28" t="s">
        <v>38</v>
      </c>
      <c r="B388" s="28" t="s">
        <v>0</v>
      </c>
      <c r="C388" s="28">
        <v>2012</v>
      </c>
      <c r="D388" s="28" t="s">
        <v>1</v>
      </c>
      <c r="E388" s="28" t="s">
        <v>2</v>
      </c>
      <c r="F388" s="28">
        <v>74963.923914500003</v>
      </c>
    </row>
    <row r="389" spans="1:6">
      <c r="A389" s="28" t="s">
        <v>38</v>
      </c>
      <c r="B389" s="28" t="s">
        <v>0</v>
      </c>
      <c r="C389" s="28">
        <v>2013</v>
      </c>
      <c r="D389" s="28" t="s">
        <v>1</v>
      </c>
      <c r="E389" s="28" t="s">
        <v>2</v>
      </c>
      <c r="F389" s="28">
        <v>75465.7129212</v>
      </c>
    </row>
    <row r="390" spans="1:6">
      <c r="A390" s="28" t="s">
        <v>38</v>
      </c>
      <c r="B390" s="28" t="s">
        <v>0</v>
      </c>
      <c r="C390" s="28">
        <v>2014</v>
      </c>
      <c r="D390" s="28" t="s">
        <v>1</v>
      </c>
      <c r="E390" s="28" t="s">
        <v>2</v>
      </c>
      <c r="F390" s="28">
        <v>125450.887452</v>
      </c>
    </row>
    <row r="391" spans="1:6">
      <c r="A391" s="28" t="s">
        <v>38</v>
      </c>
      <c r="B391" s="28" t="s">
        <v>0</v>
      </c>
      <c r="C391" s="28">
        <v>2015</v>
      </c>
      <c r="D391" s="28" t="s">
        <v>1</v>
      </c>
      <c r="E391" s="28" t="s">
        <v>2</v>
      </c>
      <c r="F391" s="28">
        <v>112544.29921680001</v>
      </c>
    </row>
    <row r="392" spans="1:6">
      <c r="A392" s="28" t="s">
        <v>38</v>
      </c>
      <c r="B392" s="28" t="s">
        <v>0</v>
      </c>
      <c r="C392" s="28">
        <v>2016</v>
      </c>
      <c r="D392" s="28" t="s">
        <v>1</v>
      </c>
      <c r="E392" s="28" t="s">
        <v>2</v>
      </c>
      <c r="F392" s="28">
        <v>121799.0552</v>
      </c>
    </row>
    <row r="393" spans="1:6">
      <c r="A393" s="28" t="s">
        <v>38</v>
      </c>
      <c r="B393" s="28" t="s">
        <v>0</v>
      </c>
      <c r="C393" s="28">
        <v>2017</v>
      </c>
      <c r="D393" s="28" t="s">
        <v>1</v>
      </c>
      <c r="E393" s="28" t="s">
        <v>2</v>
      </c>
      <c r="F393" s="28">
        <v>136339.6734</v>
      </c>
    </row>
    <row r="394" spans="1:6">
      <c r="A394" s="28" t="s">
        <v>38</v>
      </c>
      <c r="B394" s="28" t="s">
        <v>0</v>
      </c>
      <c r="C394" s="28">
        <v>2010</v>
      </c>
      <c r="D394" s="28" t="s">
        <v>1</v>
      </c>
      <c r="E394" s="28" t="s">
        <v>3</v>
      </c>
      <c r="F394" s="28">
        <v>17373.356844999998</v>
      </c>
    </row>
    <row r="395" spans="1:6">
      <c r="A395" s="28" t="s">
        <v>38</v>
      </c>
      <c r="B395" s="28" t="s">
        <v>0</v>
      </c>
      <c r="C395" s="28">
        <v>2011</v>
      </c>
      <c r="D395" s="28" t="s">
        <v>1</v>
      </c>
      <c r="E395" s="28" t="s">
        <v>3</v>
      </c>
      <c r="F395" s="28">
        <v>48377.473506800001</v>
      </c>
    </row>
    <row r="396" spans="1:6">
      <c r="A396" s="28" t="s">
        <v>38</v>
      </c>
      <c r="B396" s="28" t="s">
        <v>0</v>
      </c>
      <c r="C396" s="28">
        <v>2012</v>
      </c>
      <c r="D396" s="28" t="s">
        <v>1</v>
      </c>
      <c r="E396" s="28" t="s">
        <v>3</v>
      </c>
      <c r="F396" s="28">
        <v>34466.666605699997</v>
      </c>
    </row>
    <row r="397" spans="1:6">
      <c r="A397" s="28" t="s">
        <v>38</v>
      </c>
      <c r="B397" s="28" t="s">
        <v>0</v>
      </c>
      <c r="C397" s="28">
        <v>2013</v>
      </c>
      <c r="D397" s="28" t="s">
        <v>1</v>
      </c>
      <c r="E397" s="28" t="s">
        <v>3</v>
      </c>
      <c r="F397" s="28">
        <v>31059.192569999999</v>
      </c>
    </row>
    <row r="398" spans="1:6">
      <c r="A398" s="28" t="s">
        <v>38</v>
      </c>
      <c r="B398" s="28" t="s">
        <v>0</v>
      </c>
      <c r="C398" s="28">
        <v>2014</v>
      </c>
      <c r="D398" s="28" t="s">
        <v>1</v>
      </c>
      <c r="E398" s="28" t="s">
        <v>3</v>
      </c>
      <c r="F398" s="28">
        <v>43165.551343200001</v>
      </c>
    </row>
    <row r="399" spans="1:6">
      <c r="A399" s="28" t="s">
        <v>38</v>
      </c>
      <c r="B399" s="28" t="s">
        <v>0</v>
      </c>
      <c r="C399" s="28">
        <v>2015</v>
      </c>
      <c r="D399" s="28" t="s">
        <v>1</v>
      </c>
      <c r="E399" s="28" t="s">
        <v>3</v>
      </c>
      <c r="F399" s="28">
        <v>39160.239123500003</v>
      </c>
    </row>
    <row r="400" spans="1:6">
      <c r="A400" s="28" t="s">
        <v>38</v>
      </c>
      <c r="B400" s="28" t="s">
        <v>0</v>
      </c>
      <c r="C400" s="28">
        <v>2016</v>
      </c>
      <c r="D400" s="28" t="s">
        <v>1</v>
      </c>
      <c r="E400" s="28" t="s">
        <v>3</v>
      </c>
      <c r="F400" s="28">
        <v>43733.624900000003</v>
      </c>
    </row>
    <row r="401" spans="1:6">
      <c r="A401" s="28" t="s">
        <v>38</v>
      </c>
      <c r="B401" s="28" t="s">
        <v>0</v>
      </c>
      <c r="C401" s="28">
        <v>2017</v>
      </c>
      <c r="D401" s="28" t="s">
        <v>1</v>
      </c>
      <c r="E401" s="28" t="s">
        <v>3</v>
      </c>
      <c r="F401" s="28">
        <v>43833.752200000003</v>
      </c>
    </row>
    <row r="402" spans="1:6">
      <c r="A402" s="28" t="s">
        <v>38</v>
      </c>
      <c r="B402" s="28" t="s">
        <v>0</v>
      </c>
      <c r="C402" s="28">
        <v>2010</v>
      </c>
      <c r="D402" s="28" t="s">
        <v>1</v>
      </c>
      <c r="E402" s="28" t="s">
        <v>5</v>
      </c>
      <c r="F402" s="28">
        <v>69935.342430000004</v>
      </c>
    </row>
    <row r="403" spans="1:6">
      <c r="A403" s="28" t="s">
        <v>38</v>
      </c>
      <c r="B403" s="28" t="s">
        <v>0</v>
      </c>
      <c r="C403" s="28">
        <v>2011</v>
      </c>
      <c r="D403" s="28" t="s">
        <v>1</v>
      </c>
      <c r="E403" s="28" t="s">
        <v>5</v>
      </c>
      <c r="F403" s="28">
        <v>117583.53779050001</v>
      </c>
    </row>
    <row r="404" spans="1:6">
      <c r="A404" s="28" t="s">
        <v>38</v>
      </c>
      <c r="B404" s="28" t="s">
        <v>0</v>
      </c>
      <c r="C404" s="28">
        <v>2012</v>
      </c>
      <c r="D404" s="28" t="s">
        <v>1</v>
      </c>
      <c r="E404" s="28" t="s">
        <v>5</v>
      </c>
      <c r="F404" s="28">
        <v>109430.5905202</v>
      </c>
    </row>
    <row r="405" spans="1:6">
      <c r="A405" s="28" t="s">
        <v>38</v>
      </c>
      <c r="B405" s="28" t="s">
        <v>0</v>
      </c>
      <c r="C405" s="28">
        <v>2013</v>
      </c>
      <c r="D405" s="28" t="s">
        <v>1</v>
      </c>
      <c r="E405" s="28" t="s">
        <v>5</v>
      </c>
      <c r="F405" s="28">
        <v>106524.9054912</v>
      </c>
    </row>
    <row r="406" spans="1:6">
      <c r="A406" s="28" t="s">
        <v>38</v>
      </c>
      <c r="B406" s="28" t="s">
        <v>0</v>
      </c>
      <c r="C406" s="28">
        <v>2014</v>
      </c>
      <c r="D406" s="28" t="s">
        <v>1</v>
      </c>
      <c r="E406" s="28" t="s">
        <v>5</v>
      </c>
      <c r="F406" s="28">
        <v>168616.4387952</v>
      </c>
    </row>
    <row r="407" spans="1:6">
      <c r="A407" s="28" t="s">
        <v>38</v>
      </c>
      <c r="B407" s="28" t="s">
        <v>0</v>
      </c>
      <c r="C407" s="28">
        <v>2015</v>
      </c>
      <c r="D407" s="28" t="s">
        <v>1</v>
      </c>
      <c r="E407" s="28" t="s">
        <v>5</v>
      </c>
      <c r="F407" s="28">
        <v>151704.5383403</v>
      </c>
    </row>
    <row r="408" spans="1:6">
      <c r="A408" s="28" t="s">
        <v>38</v>
      </c>
      <c r="B408" s="28" t="s">
        <v>0</v>
      </c>
      <c r="C408" s="28">
        <v>2016</v>
      </c>
      <c r="D408" s="28" t="s">
        <v>1</v>
      </c>
      <c r="E408" s="28" t="s">
        <v>5</v>
      </c>
      <c r="F408" s="28">
        <v>165532.6801</v>
      </c>
    </row>
    <row r="409" spans="1:6">
      <c r="A409" s="28" t="s">
        <v>38</v>
      </c>
      <c r="B409" s="28" t="s">
        <v>0</v>
      </c>
      <c r="C409" s="28">
        <v>2017</v>
      </c>
      <c r="D409" s="28" t="s">
        <v>1</v>
      </c>
      <c r="E409" s="28" t="s">
        <v>5</v>
      </c>
      <c r="F409" s="28">
        <v>180173.42559999999</v>
      </c>
    </row>
    <row r="410" spans="1:6">
      <c r="A410" s="28" t="s">
        <v>38</v>
      </c>
      <c r="B410" s="28" t="s">
        <v>0</v>
      </c>
      <c r="C410" s="28">
        <v>2010</v>
      </c>
      <c r="D410" s="28" t="s">
        <v>1</v>
      </c>
      <c r="E410" s="28" t="s">
        <v>6</v>
      </c>
      <c r="F410" s="28">
        <v>37223.327537800003</v>
      </c>
    </row>
    <row r="411" spans="1:6">
      <c r="A411" s="28" t="s">
        <v>38</v>
      </c>
      <c r="B411" s="28" t="s">
        <v>0</v>
      </c>
      <c r="C411" s="28">
        <v>2011</v>
      </c>
      <c r="D411" s="28" t="s">
        <v>1</v>
      </c>
      <c r="E411" s="28" t="s">
        <v>6</v>
      </c>
      <c r="F411" s="28">
        <v>58422.978667800002</v>
      </c>
    </row>
    <row r="412" spans="1:6">
      <c r="A412" s="28" t="s">
        <v>38</v>
      </c>
      <c r="B412" s="28" t="s">
        <v>0</v>
      </c>
      <c r="C412" s="28">
        <v>2012</v>
      </c>
      <c r="D412" s="28" t="s">
        <v>1</v>
      </c>
      <c r="E412" s="28" t="s">
        <v>6</v>
      </c>
      <c r="F412" s="28">
        <v>64502.624480799997</v>
      </c>
    </row>
    <row r="413" spans="1:6">
      <c r="A413" s="28" t="s">
        <v>38</v>
      </c>
      <c r="B413" s="28" t="s">
        <v>0</v>
      </c>
      <c r="C413" s="28">
        <v>2013</v>
      </c>
      <c r="D413" s="28" t="s">
        <v>1</v>
      </c>
      <c r="E413" s="28" t="s">
        <v>6</v>
      </c>
      <c r="F413" s="28">
        <v>58503.117707999998</v>
      </c>
    </row>
    <row r="414" spans="1:6">
      <c r="A414" s="28" t="s">
        <v>38</v>
      </c>
      <c r="B414" s="28" t="s">
        <v>0</v>
      </c>
      <c r="C414" s="28">
        <v>2014</v>
      </c>
      <c r="D414" s="28" t="s">
        <v>1</v>
      </c>
      <c r="E414" s="28" t="s">
        <v>6</v>
      </c>
      <c r="F414" s="28">
        <v>48915.778665600003</v>
      </c>
    </row>
    <row r="415" spans="1:6">
      <c r="A415" s="28" t="s">
        <v>38</v>
      </c>
      <c r="B415" s="28" t="s">
        <v>0</v>
      </c>
      <c r="C415" s="28">
        <v>2015</v>
      </c>
      <c r="D415" s="28" t="s">
        <v>1</v>
      </c>
      <c r="E415" s="28" t="s">
        <v>6</v>
      </c>
      <c r="F415" s="28">
        <v>35461.077684999997</v>
      </c>
    </row>
    <row r="416" spans="1:6">
      <c r="A416" s="28" t="s">
        <v>38</v>
      </c>
      <c r="B416" s="28" t="s">
        <v>0</v>
      </c>
      <c r="C416" s="28">
        <v>2016</v>
      </c>
      <c r="D416" s="28" t="s">
        <v>1</v>
      </c>
      <c r="E416" s="28" t="s">
        <v>6</v>
      </c>
      <c r="F416" s="28">
        <v>59504.418899999997</v>
      </c>
    </row>
    <row r="417" spans="1:6">
      <c r="A417" s="28" t="s">
        <v>38</v>
      </c>
      <c r="B417" s="28" t="s">
        <v>0</v>
      </c>
      <c r="C417" s="28">
        <v>2017</v>
      </c>
      <c r="D417" s="28" t="s">
        <v>1</v>
      </c>
      <c r="E417" s="28" t="s">
        <v>6</v>
      </c>
      <c r="F417" s="28">
        <v>75283.4614</v>
      </c>
    </row>
    <row r="418" spans="1:6">
      <c r="A418" s="28" t="s">
        <v>38</v>
      </c>
      <c r="B418" s="28" t="s">
        <v>0</v>
      </c>
      <c r="C418" s="28">
        <v>2010</v>
      </c>
      <c r="D418" s="28" t="s">
        <v>1</v>
      </c>
      <c r="E418" s="28" t="s">
        <v>8</v>
      </c>
      <c r="F418" s="28">
        <v>26345.6038205</v>
      </c>
    </row>
    <row r="419" spans="1:6">
      <c r="A419" s="28" t="s">
        <v>38</v>
      </c>
      <c r="B419" s="28" t="s">
        <v>0</v>
      </c>
      <c r="C419" s="28">
        <v>2011</v>
      </c>
      <c r="D419" s="28" t="s">
        <v>1</v>
      </c>
      <c r="E419" s="28" t="s">
        <v>8</v>
      </c>
      <c r="F419" s="28">
        <v>26155.5965024</v>
      </c>
    </row>
    <row r="420" spans="1:6">
      <c r="A420" s="28" t="s">
        <v>38</v>
      </c>
      <c r="B420" s="28" t="s">
        <v>0</v>
      </c>
      <c r="C420" s="28">
        <v>2012</v>
      </c>
      <c r="D420" s="28" t="s">
        <v>1</v>
      </c>
      <c r="E420" s="28" t="s">
        <v>8</v>
      </c>
      <c r="F420" s="28">
        <v>23875.614997600002</v>
      </c>
    </row>
    <row r="421" spans="1:6">
      <c r="A421" s="28" t="s">
        <v>38</v>
      </c>
      <c r="B421" s="28" t="s">
        <v>0</v>
      </c>
      <c r="C421" s="28">
        <v>2013</v>
      </c>
      <c r="D421" s="28" t="s">
        <v>1</v>
      </c>
      <c r="E421" s="28" t="s">
        <v>8</v>
      </c>
      <c r="F421" s="28">
        <v>38413.280164000003</v>
      </c>
    </row>
    <row r="422" spans="1:6">
      <c r="A422" s="28" t="s">
        <v>38</v>
      </c>
      <c r="B422" s="28" t="s">
        <v>0</v>
      </c>
      <c r="C422" s="28">
        <v>2014</v>
      </c>
      <c r="D422" s="28" t="s">
        <v>1</v>
      </c>
      <c r="E422" s="28" t="s">
        <v>8</v>
      </c>
      <c r="F422" s="28">
        <v>61608.067514399903</v>
      </c>
    </row>
    <row r="423" spans="1:6">
      <c r="A423" s="28" t="s">
        <v>38</v>
      </c>
      <c r="B423" s="28" t="s">
        <v>0</v>
      </c>
      <c r="C423" s="28">
        <v>2015</v>
      </c>
      <c r="D423" s="28" t="s">
        <v>1</v>
      </c>
      <c r="E423" s="28" t="s">
        <v>8</v>
      </c>
      <c r="F423" s="28">
        <v>85558.021887800001</v>
      </c>
    </row>
    <row r="424" spans="1:6">
      <c r="A424" s="28" t="s">
        <v>38</v>
      </c>
      <c r="B424" s="28" t="s">
        <v>0</v>
      </c>
      <c r="C424" s="28">
        <v>2016</v>
      </c>
      <c r="D424" s="28" t="s">
        <v>1</v>
      </c>
      <c r="E424" s="28" t="s">
        <v>8</v>
      </c>
      <c r="F424" s="28">
        <v>88619.730899999995</v>
      </c>
    </row>
    <row r="425" spans="1:6">
      <c r="A425" s="28" t="s">
        <v>38</v>
      </c>
      <c r="B425" s="28" t="s">
        <v>0</v>
      </c>
      <c r="C425" s="28">
        <v>2017</v>
      </c>
      <c r="D425" s="28" t="s">
        <v>1</v>
      </c>
      <c r="E425" s="28" t="s">
        <v>8</v>
      </c>
      <c r="F425" s="28">
        <v>92563.521399999998</v>
      </c>
    </row>
    <row r="426" spans="1:6">
      <c r="A426" s="28" t="s">
        <v>38</v>
      </c>
      <c r="B426" s="28" t="s">
        <v>0</v>
      </c>
      <c r="C426" s="28">
        <v>2010</v>
      </c>
      <c r="D426" s="28" t="s">
        <v>1</v>
      </c>
      <c r="E426" s="28" t="s">
        <v>9</v>
      </c>
      <c r="F426" s="28">
        <v>6366.4110717000003</v>
      </c>
    </row>
    <row r="427" spans="1:6">
      <c r="A427" s="28" t="s">
        <v>38</v>
      </c>
      <c r="B427" s="28" t="s">
        <v>0</v>
      </c>
      <c r="C427" s="28">
        <v>2011</v>
      </c>
      <c r="D427" s="28" t="s">
        <v>1</v>
      </c>
      <c r="E427" s="28" t="s">
        <v>9</v>
      </c>
      <c r="F427" s="28">
        <v>33004.962620300001</v>
      </c>
    </row>
    <row r="428" spans="1:6">
      <c r="A428" s="28" t="s">
        <v>38</v>
      </c>
      <c r="B428" s="28" t="s">
        <v>0</v>
      </c>
      <c r="C428" s="28">
        <v>2012</v>
      </c>
      <c r="D428" s="28" t="s">
        <v>1</v>
      </c>
      <c r="E428" s="28" t="s">
        <v>9</v>
      </c>
      <c r="F428" s="28">
        <v>21052.351041800001</v>
      </c>
    </row>
    <row r="429" spans="1:6">
      <c r="A429" s="28" t="s">
        <v>38</v>
      </c>
      <c r="B429" s="28" t="s">
        <v>0</v>
      </c>
      <c r="C429" s="28">
        <v>2013</v>
      </c>
      <c r="D429" s="28" t="s">
        <v>1</v>
      </c>
      <c r="E429" s="28" t="s">
        <v>9</v>
      </c>
      <c r="F429" s="28">
        <v>9608.5076191999997</v>
      </c>
    </row>
    <row r="430" spans="1:6">
      <c r="A430" s="28" t="s">
        <v>38</v>
      </c>
      <c r="B430" s="28" t="s">
        <v>0</v>
      </c>
      <c r="C430" s="28">
        <v>2014</v>
      </c>
      <c r="D430" s="28" t="s">
        <v>1</v>
      </c>
      <c r="E430" s="28" t="s">
        <v>9</v>
      </c>
      <c r="F430" s="28">
        <v>58092.592615200003</v>
      </c>
    </row>
    <row r="431" spans="1:6">
      <c r="A431" s="28" t="s">
        <v>38</v>
      </c>
      <c r="B431" s="28" t="s">
        <v>0</v>
      </c>
      <c r="C431" s="28">
        <v>2015</v>
      </c>
      <c r="D431" s="28" t="s">
        <v>1</v>
      </c>
      <c r="E431" s="28" t="s">
        <v>9</v>
      </c>
      <c r="F431" s="28">
        <v>30685.4387675</v>
      </c>
    </row>
    <row r="432" spans="1:6">
      <c r="A432" s="28" t="s">
        <v>38</v>
      </c>
      <c r="B432" s="28" t="s">
        <v>0</v>
      </c>
      <c r="C432" s="28">
        <v>2016</v>
      </c>
      <c r="D432" s="28" t="s">
        <v>1</v>
      </c>
      <c r="E432" s="28" t="s">
        <v>9</v>
      </c>
      <c r="F432" s="28">
        <v>17408.530299999999</v>
      </c>
    </row>
    <row r="433" spans="1:6">
      <c r="A433" s="28" t="s">
        <v>38</v>
      </c>
      <c r="B433" s="28" t="s">
        <v>0</v>
      </c>
      <c r="C433" s="28">
        <v>2017</v>
      </c>
      <c r="D433" s="28" t="s">
        <v>1</v>
      </c>
      <c r="E433" s="28" t="s">
        <v>9</v>
      </c>
      <c r="F433" s="28">
        <v>12326.442800000001</v>
      </c>
    </row>
    <row r="434" spans="1:6">
      <c r="A434" s="28" t="s">
        <v>38</v>
      </c>
      <c r="B434" s="28" t="s">
        <v>0</v>
      </c>
      <c r="C434" s="28">
        <v>2010</v>
      </c>
      <c r="D434" s="28" t="s">
        <v>1</v>
      </c>
      <c r="E434" s="28" t="s">
        <v>10</v>
      </c>
      <c r="F434" s="28">
        <v>69935.342430000004</v>
      </c>
    </row>
    <row r="435" spans="1:6">
      <c r="A435" s="28" t="s">
        <v>38</v>
      </c>
      <c r="B435" s="28" t="s">
        <v>0</v>
      </c>
      <c r="C435" s="28">
        <v>2011</v>
      </c>
      <c r="D435" s="28" t="s">
        <v>1</v>
      </c>
      <c r="E435" s="28" t="s">
        <v>10</v>
      </c>
      <c r="F435" s="28">
        <v>117583.53779050001</v>
      </c>
    </row>
    <row r="436" spans="1:6">
      <c r="A436" s="28" t="s">
        <v>38</v>
      </c>
      <c r="B436" s="28" t="s">
        <v>0</v>
      </c>
      <c r="C436" s="28">
        <v>2012</v>
      </c>
      <c r="D436" s="28" t="s">
        <v>1</v>
      </c>
      <c r="E436" s="28" t="s">
        <v>10</v>
      </c>
      <c r="F436" s="28">
        <v>109430.5905202</v>
      </c>
    </row>
    <row r="437" spans="1:6">
      <c r="A437" s="28" t="s">
        <v>38</v>
      </c>
      <c r="B437" s="28" t="s">
        <v>0</v>
      </c>
      <c r="C437" s="28">
        <v>2013</v>
      </c>
      <c r="D437" s="28" t="s">
        <v>1</v>
      </c>
      <c r="E437" s="28" t="s">
        <v>10</v>
      </c>
      <c r="F437" s="28">
        <v>106524.9054912</v>
      </c>
    </row>
    <row r="438" spans="1:6">
      <c r="A438" s="28" t="s">
        <v>38</v>
      </c>
      <c r="B438" s="28" t="s">
        <v>0</v>
      </c>
      <c r="C438" s="28">
        <v>2014</v>
      </c>
      <c r="D438" s="28" t="s">
        <v>1</v>
      </c>
      <c r="E438" s="28" t="s">
        <v>10</v>
      </c>
      <c r="F438" s="28">
        <v>168616.4387952</v>
      </c>
    </row>
    <row r="439" spans="1:6">
      <c r="A439" s="28" t="s">
        <v>38</v>
      </c>
      <c r="B439" s="28" t="s">
        <v>0</v>
      </c>
      <c r="C439" s="28">
        <v>2015</v>
      </c>
      <c r="D439" s="28" t="s">
        <v>1</v>
      </c>
      <c r="E439" s="28" t="s">
        <v>10</v>
      </c>
      <c r="F439" s="28">
        <v>151704.5383403</v>
      </c>
    </row>
    <row r="440" spans="1:6">
      <c r="A440" s="28" t="s">
        <v>38</v>
      </c>
      <c r="B440" s="28" t="s">
        <v>0</v>
      </c>
      <c r="C440" s="28">
        <v>2016</v>
      </c>
      <c r="D440" s="28" t="s">
        <v>1</v>
      </c>
      <c r="E440" s="28" t="s">
        <v>10</v>
      </c>
      <c r="F440" s="28">
        <v>165532.6801</v>
      </c>
    </row>
    <row r="441" spans="1:6">
      <c r="A441" s="28" t="s">
        <v>38</v>
      </c>
      <c r="B441" s="28" t="s">
        <v>0</v>
      </c>
      <c r="C441" s="28">
        <v>2017</v>
      </c>
      <c r="D441" s="28" t="s">
        <v>1</v>
      </c>
      <c r="E441" s="28" t="s">
        <v>10</v>
      </c>
      <c r="F441" s="28">
        <v>180173.42559999999</v>
      </c>
    </row>
    <row r="442" spans="1:6">
      <c r="A442" s="28" t="s">
        <v>38</v>
      </c>
      <c r="B442" s="28" t="s">
        <v>0</v>
      </c>
      <c r="C442" s="28">
        <v>2010</v>
      </c>
      <c r="D442" s="28" t="s">
        <v>1</v>
      </c>
      <c r="E442" s="28" t="s">
        <v>11</v>
      </c>
      <c r="F442" s="28">
        <v>0.46774654638950602</v>
      </c>
    </row>
    <row r="443" spans="1:6">
      <c r="A443" s="28" t="s">
        <v>38</v>
      </c>
      <c r="B443" s="28" t="s">
        <v>0</v>
      </c>
      <c r="C443" s="28">
        <v>2011</v>
      </c>
      <c r="D443" s="28" t="s">
        <v>1</v>
      </c>
      <c r="E443" s="28" t="s">
        <v>11</v>
      </c>
      <c r="F443" s="28">
        <v>0.50313641037155299</v>
      </c>
    </row>
    <row r="444" spans="1:6">
      <c r="A444" s="28" t="s">
        <v>38</v>
      </c>
      <c r="B444" s="28" t="s">
        <v>0</v>
      </c>
      <c r="C444" s="28">
        <v>2012</v>
      </c>
      <c r="D444" s="28" t="s">
        <v>1</v>
      </c>
      <c r="E444" s="28" t="s">
        <v>11</v>
      </c>
      <c r="F444" s="28">
        <v>0.41056130489496601</v>
      </c>
    </row>
    <row r="445" spans="1:6">
      <c r="A445" s="28" t="s">
        <v>38</v>
      </c>
      <c r="B445" s="28" t="s">
        <v>0</v>
      </c>
      <c r="C445" s="28">
        <v>2013</v>
      </c>
      <c r="D445" s="28" t="s">
        <v>1</v>
      </c>
      <c r="E445" s="28" t="s">
        <v>11</v>
      </c>
      <c r="F445" s="28">
        <v>0.45080338313153501</v>
      </c>
    </row>
    <row r="446" spans="1:6">
      <c r="A446" s="28" t="s">
        <v>38</v>
      </c>
      <c r="B446" s="28" t="s">
        <v>0</v>
      </c>
      <c r="C446" s="28">
        <v>2014</v>
      </c>
      <c r="D446" s="28" t="s">
        <v>1</v>
      </c>
      <c r="E446" s="28" t="s">
        <v>11</v>
      </c>
      <c r="F446" s="28">
        <v>0.70989911176446696</v>
      </c>
    </row>
    <row r="447" spans="1:6">
      <c r="A447" s="28" t="s">
        <v>38</v>
      </c>
      <c r="B447" s="28" t="s">
        <v>0</v>
      </c>
      <c r="C447" s="28">
        <v>2015</v>
      </c>
      <c r="D447" s="28" t="s">
        <v>1</v>
      </c>
      <c r="E447" s="28" t="s">
        <v>11</v>
      </c>
      <c r="F447" s="28">
        <v>0.76624906497223899</v>
      </c>
    </row>
    <row r="448" spans="1:6">
      <c r="A448" s="28" t="s">
        <v>38</v>
      </c>
      <c r="B448" s="28" t="s">
        <v>0</v>
      </c>
      <c r="C448" s="28">
        <v>2016</v>
      </c>
      <c r="D448" s="28" t="s">
        <v>1</v>
      </c>
      <c r="E448" s="28" t="s">
        <v>11</v>
      </c>
      <c r="F448" s="28">
        <v>0.64052766581165299</v>
      </c>
    </row>
    <row r="449" spans="1:6">
      <c r="A449" s="28" t="s">
        <v>38</v>
      </c>
      <c r="B449" s="28" t="s">
        <v>0</v>
      </c>
      <c r="C449" s="28">
        <v>2017</v>
      </c>
      <c r="D449" s="28" t="s">
        <v>1</v>
      </c>
      <c r="E449" s="28" t="s">
        <v>11</v>
      </c>
      <c r="F449" s="28">
        <v>0.582161125319693</v>
      </c>
    </row>
    <row r="450" spans="1:6">
      <c r="A450" s="28" t="s">
        <v>38</v>
      </c>
      <c r="B450" s="28" t="s">
        <v>0</v>
      </c>
      <c r="C450" s="28">
        <v>2010</v>
      </c>
      <c r="D450" s="28" t="s">
        <v>4</v>
      </c>
      <c r="E450" s="28" t="s">
        <v>12</v>
      </c>
      <c r="F450" s="28">
        <v>28202.591814399999</v>
      </c>
    </row>
    <row r="451" spans="1:6">
      <c r="A451" s="28" t="s">
        <v>38</v>
      </c>
      <c r="B451" s="28" t="s">
        <v>0</v>
      </c>
      <c r="C451" s="28">
        <v>2011</v>
      </c>
      <c r="D451" s="28" t="s">
        <v>4</v>
      </c>
      <c r="E451" s="28" t="s">
        <v>12</v>
      </c>
      <c r="F451" s="28">
        <v>42705.872923000003</v>
      </c>
    </row>
    <row r="452" spans="1:6">
      <c r="A452" s="28" t="s">
        <v>38</v>
      </c>
      <c r="B452" s="28" t="s">
        <v>0</v>
      </c>
      <c r="C452" s="28">
        <v>2012</v>
      </c>
      <c r="D452" s="28" t="s">
        <v>4</v>
      </c>
      <c r="E452" s="28" t="s">
        <v>12</v>
      </c>
      <c r="F452" s="28">
        <v>56312.960025499997</v>
      </c>
    </row>
    <row r="453" spans="1:6">
      <c r="A453" s="28" t="s">
        <v>38</v>
      </c>
      <c r="B453" s="28" t="s">
        <v>0</v>
      </c>
      <c r="C453" s="28">
        <v>2013</v>
      </c>
      <c r="D453" s="28" t="s">
        <v>4</v>
      </c>
      <c r="E453" s="28" t="s">
        <v>12</v>
      </c>
      <c r="F453" s="28">
        <v>55855.554532399998</v>
      </c>
    </row>
    <row r="454" spans="1:6">
      <c r="A454" s="28" t="s">
        <v>38</v>
      </c>
      <c r="B454" s="28" t="s">
        <v>0</v>
      </c>
      <c r="C454" s="28">
        <v>2014</v>
      </c>
      <c r="D454" s="28" t="s">
        <v>4</v>
      </c>
      <c r="E454" s="28" t="s">
        <v>12</v>
      </c>
      <c r="F454" s="28">
        <v>95098.693034399999</v>
      </c>
    </row>
    <row r="455" spans="1:6">
      <c r="A455" s="28" t="s">
        <v>38</v>
      </c>
      <c r="B455" s="28" t="s">
        <v>0</v>
      </c>
      <c r="C455" s="28">
        <v>2015</v>
      </c>
      <c r="D455" s="28" t="s">
        <v>4</v>
      </c>
      <c r="E455" s="28" t="s">
        <v>12</v>
      </c>
      <c r="F455" s="28">
        <v>105030.74879110001</v>
      </c>
    </row>
    <row r="456" spans="1:6">
      <c r="A456" s="28" t="s">
        <v>38</v>
      </c>
      <c r="B456" s="28" t="s">
        <v>0</v>
      </c>
      <c r="C456" s="28">
        <v>2016</v>
      </c>
      <c r="D456" s="28" t="s">
        <v>4</v>
      </c>
      <c r="E456" s="28" t="s">
        <v>12</v>
      </c>
      <c r="F456" s="28">
        <v>96019.872700000007</v>
      </c>
    </row>
    <row r="457" spans="1:6">
      <c r="A457" s="28" t="s">
        <v>38</v>
      </c>
      <c r="B457" s="28" t="s">
        <v>0</v>
      </c>
      <c r="C457" s="28">
        <v>2017</v>
      </c>
      <c r="D457" s="28" t="s">
        <v>4</v>
      </c>
      <c r="E457" s="28" t="s">
        <v>12</v>
      </c>
      <c r="F457" s="28">
        <v>104544.363</v>
      </c>
    </row>
    <row r="458" spans="1:6">
      <c r="A458" s="28" t="s">
        <v>38</v>
      </c>
      <c r="B458" s="28" t="s">
        <v>0</v>
      </c>
      <c r="C458" s="28">
        <v>2010</v>
      </c>
      <c r="D458" s="28" t="s">
        <v>4</v>
      </c>
      <c r="E458" s="28" t="s">
        <v>13</v>
      </c>
      <c r="F458" s="28">
        <v>7613.3429582999997</v>
      </c>
    </row>
    <row r="459" spans="1:6">
      <c r="A459" s="28" t="s">
        <v>38</v>
      </c>
      <c r="B459" s="28" t="s">
        <v>0</v>
      </c>
      <c r="C459" s="28">
        <v>2011</v>
      </c>
      <c r="D459" s="28" t="s">
        <v>4</v>
      </c>
      <c r="E459" s="28" t="s">
        <v>13</v>
      </c>
      <c r="F459" s="28">
        <v>9315.0722403</v>
      </c>
    </row>
    <row r="460" spans="1:6">
      <c r="A460" s="28" t="s">
        <v>38</v>
      </c>
      <c r="B460" s="28" t="s">
        <v>0</v>
      </c>
      <c r="C460" s="28">
        <v>2012</v>
      </c>
      <c r="D460" s="28" t="s">
        <v>4</v>
      </c>
      <c r="E460" s="28" t="s">
        <v>13</v>
      </c>
      <c r="F460" s="28">
        <v>11977.413499599999</v>
      </c>
    </row>
    <row r="461" spans="1:6">
      <c r="A461" s="28" t="s">
        <v>38</v>
      </c>
      <c r="B461" s="28" t="s">
        <v>0</v>
      </c>
      <c r="C461" s="28">
        <v>2013</v>
      </c>
      <c r="D461" s="28" t="s">
        <v>4</v>
      </c>
      <c r="E461" s="28" t="s">
        <v>13</v>
      </c>
      <c r="F461" s="28">
        <v>-6448.8633804000001</v>
      </c>
    </row>
    <row r="462" spans="1:6">
      <c r="A462" s="28" t="s">
        <v>38</v>
      </c>
      <c r="B462" s="28" t="s">
        <v>0</v>
      </c>
      <c r="C462" s="28">
        <v>2014</v>
      </c>
      <c r="D462" s="28" t="s">
        <v>4</v>
      </c>
      <c r="E462" s="28" t="s">
        <v>13</v>
      </c>
      <c r="F462" s="28">
        <v>-11805.262656000001</v>
      </c>
    </row>
    <row r="463" spans="1:6">
      <c r="A463" s="28" t="s">
        <v>38</v>
      </c>
      <c r="B463" s="28" t="s">
        <v>0</v>
      </c>
      <c r="C463" s="28">
        <v>2015</v>
      </c>
      <c r="D463" s="28" t="s">
        <v>4</v>
      </c>
      <c r="E463" s="28" t="s">
        <v>13</v>
      </c>
      <c r="F463" s="28">
        <v>16106.7122865</v>
      </c>
    </row>
    <row r="464" spans="1:6">
      <c r="A464" s="28" t="s">
        <v>38</v>
      </c>
      <c r="B464" s="28" t="s">
        <v>0</v>
      </c>
      <c r="C464" s="28">
        <v>2016</v>
      </c>
      <c r="D464" s="28" t="s">
        <v>4</v>
      </c>
      <c r="E464" s="28" t="s">
        <v>13</v>
      </c>
      <c r="F464" s="28">
        <v>23959.4755</v>
      </c>
    </row>
    <row r="465" spans="1:6">
      <c r="A465" s="28" t="s">
        <v>38</v>
      </c>
      <c r="B465" s="28" t="s">
        <v>0</v>
      </c>
      <c r="C465" s="28">
        <v>2017</v>
      </c>
      <c r="D465" s="28" t="s">
        <v>4</v>
      </c>
      <c r="E465" s="28" t="s">
        <v>13</v>
      </c>
      <c r="F465" s="28">
        <v>20390.470799999999</v>
      </c>
    </row>
    <row r="466" spans="1:6">
      <c r="A466" s="28" t="s">
        <v>38</v>
      </c>
      <c r="B466" s="28" t="s">
        <v>0</v>
      </c>
      <c r="C466" s="28">
        <v>2010</v>
      </c>
      <c r="D466" s="28" t="s">
        <v>4</v>
      </c>
      <c r="E466" s="28" t="s">
        <v>14</v>
      </c>
      <c r="F466" s="28">
        <v>925.37599999999998</v>
      </c>
    </row>
    <row r="467" spans="1:6">
      <c r="A467" s="28" t="s">
        <v>38</v>
      </c>
      <c r="B467" s="28" t="s">
        <v>0</v>
      </c>
      <c r="C467" s="28">
        <v>2011</v>
      </c>
      <c r="D467" s="28" t="s">
        <v>4</v>
      </c>
      <c r="E467" s="28" t="s">
        <v>14</v>
      </c>
      <c r="F467" s="28">
        <v>1326.43</v>
      </c>
    </row>
    <row r="468" spans="1:6">
      <c r="A468" s="28" t="s">
        <v>38</v>
      </c>
      <c r="B468" s="28" t="s">
        <v>0</v>
      </c>
      <c r="C468" s="28">
        <v>2012</v>
      </c>
      <c r="D468" s="28" t="s">
        <v>4</v>
      </c>
      <c r="E468" s="28" t="s">
        <v>14</v>
      </c>
      <c r="F468" s="28">
        <v>1854.0650000000001</v>
      </c>
    </row>
    <row r="469" spans="1:6">
      <c r="A469" s="28" t="s">
        <v>38</v>
      </c>
      <c r="B469" s="28" t="s">
        <v>0</v>
      </c>
      <c r="C469" s="28">
        <v>2013</v>
      </c>
      <c r="D469" s="28" t="s">
        <v>4</v>
      </c>
      <c r="E469" s="28" t="s">
        <v>14</v>
      </c>
      <c r="F469" s="28">
        <v>1706.597</v>
      </c>
    </row>
    <row r="470" spans="1:6">
      <c r="A470" s="28" t="s">
        <v>38</v>
      </c>
      <c r="B470" s="28" t="s">
        <v>0</v>
      </c>
      <c r="C470" s="28">
        <v>2014</v>
      </c>
      <c r="D470" s="28" t="s">
        <v>4</v>
      </c>
      <c r="E470" s="28" t="s">
        <v>14</v>
      </c>
      <c r="F470" s="28">
        <v>1690.3910000000001</v>
      </c>
    </row>
    <row r="471" spans="1:6">
      <c r="A471" s="28" t="s">
        <v>38</v>
      </c>
      <c r="B471" s="28" t="s">
        <v>0</v>
      </c>
      <c r="C471" s="28">
        <v>2015</v>
      </c>
      <c r="D471" s="28" t="s">
        <v>4</v>
      </c>
      <c r="E471" s="28" t="s">
        <v>14</v>
      </c>
      <c r="F471" s="28">
        <v>1441.0930000000001</v>
      </c>
    </row>
    <row r="472" spans="1:6">
      <c r="A472" s="28" t="s">
        <v>38</v>
      </c>
      <c r="B472" s="28" t="s">
        <v>0</v>
      </c>
      <c r="C472" s="28">
        <v>2016</v>
      </c>
      <c r="D472" s="28" t="s">
        <v>4</v>
      </c>
      <c r="E472" s="28" t="s">
        <v>14</v>
      </c>
      <c r="F472" s="28">
        <v>1583</v>
      </c>
    </row>
    <row r="473" spans="1:6">
      <c r="A473" s="28" t="s">
        <v>38</v>
      </c>
      <c r="B473" s="28" t="s">
        <v>0</v>
      </c>
      <c r="C473" s="28">
        <v>2017</v>
      </c>
      <c r="D473" s="28" t="s">
        <v>4</v>
      </c>
      <c r="E473" s="28" t="s">
        <v>14</v>
      </c>
      <c r="F473" s="28">
        <v>1815</v>
      </c>
    </row>
    <row r="474" spans="1:6">
      <c r="A474" s="28" t="s">
        <v>38</v>
      </c>
      <c r="B474" s="28" t="s">
        <v>0</v>
      </c>
      <c r="C474" s="28">
        <v>2010</v>
      </c>
      <c r="D474" s="28" t="s">
        <v>4</v>
      </c>
      <c r="E474" s="28" t="s">
        <v>15</v>
      </c>
      <c r="F474" s="28">
        <v>249.80699999999999</v>
      </c>
    </row>
    <row r="475" spans="1:6">
      <c r="A475" s="28" t="s">
        <v>38</v>
      </c>
      <c r="B475" s="28" t="s">
        <v>0</v>
      </c>
      <c r="C475" s="28">
        <v>2011</v>
      </c>
      <c r="D475" s="28" t="s">
        <v>4</v>
      </c>
      <c r="E475" s="28" t="s">
        <v>15</v>
      </c>
      <c r="F475" s="28">
        <v>289.32299999999998</v>
      </c>
    </row>
    <row r="476" spans="1:6">
      <c r="A476" s="28" t="s">
        <v>38</v>
      </c>
      <c r="B476" s="28" t="s">
        <v>0</v>
      </c>
      <c r="C476" s="28">
        <v>2012</v>
      </c>
      <c r="D476" s="28" t="s">
        <v>4</v>
      </c>
      <c r="E476" s="28" t="s">
        <v>15</v>
      </c>
      <c r="F476" s="28">
        <v>394.34800000000001</v>
      </c>
    </row>
    <row r="477" spans="1:6">
      <c r="A477" s="28" t="s">
        <v>38</v>
      </c>
      <c r="B477" s="28" t="s">
        <v>0</v>
      </c>
      <c r="C477" s="28">
        <v>2013</v>
      </c>
      <c r="D477" s="28" t="s">
        <v>4</v>
      </c>
      <c r="E477" s="28" t="s">
        <v>15</v>
      </c>
      <c r="F477" s="28">
        <v>-197.03700000000001</v>
      </c>
    </row>
    <row r="478" spans="1:6">
      <c r="A478" s="28" t="s">
        <v>38</v>
      </c>
      <c r="B478" s="28" t="s">
        <v>0</v>
      </c>
      <c r="C478" s="28">
        <v>2014</v>
      </c>
      <c r="D478" s="28" t="s">
        <v>4</v>
      </c>
      <c r="E478" s="28" t="s">
        <v>15</v>
      </c>
      <c r="F478" s="28">
        <v>-209.84</v>
      </c>
    </row>
    <row r="479" spans="1:6">
      <c r="A479" s="28" t="s">
        <v>38</v>
      </c>
      <c r="B479" s="28" t="s">
        <v>0</v>
      </c>
      <c r="C479" s="28">
        <v>2015</v>
      </c>
      <c r="D479" s="28" t="s">
        <v>4</v>
      </c>
      <c r="E479" s="28" t="s">
        <v>15</v>
      </c>
      <c r="F479" s="28">
        <v>220.995</v>
      </c>
    </row>
    <row r="480" spans="1:6">
      <c r="A480" s="28" t="s">
        <v>38</v>
      </c>
      <c r="B480" s="28" t="s">
        <v>0</v>
      </c>
      <c r="C480" s="28">
        <v>2016</v>
      </c>
      <c r="D480" s="28" t="s">
        <v>4</v>
      </c>
      <c r="E480" s="28" t="s">
        <v>15</v>
      </c>
      <c r="F480" s="28">
        <v>395</v>
      </c>
    </row>
    <row r="481" spans="1:6">
      <c r="A481" s="28" t="s">
        <v>38</v>
      </c>
      <c r="B481" s="28" t="s">
        <v>0</v>
      </c>
      <c r="C481" s="28">
        <v>2017</v>
      </c>
      <c r="D481" s="28" t="s">
        <v>4</v>
      </c>
      <c r="E481" s="28" t="s">
        <v>15</v>
      </c>
      <c r="F481" s="28">
        <v>354</v>
      </c>
    </row>
    <row r="482" spans="1:6">
      <c r="A482" s="28" t="s">
        <v>38</v>
      </c>
      <c r="B482" s="28" t="s">
        <v>0</v>
      </c>
      <c r="C482" s="28">
        <v>2010</v>
      </c>
      <c r="D482" s="28" t="s">
        <v>7</v>
      </c>
      <c r="E482" s="28" t="s">
        <v>16</v>
      </c>
      <c r="F482" s="28">
        <v>10140.4570294</v>
      </c>
    </row>
    <row r="483" spans="1:6">
      <c r="A483" s="28" t="s">
        <v>38</v>
      </c>
      <c r="B483" s="28" t="s">
        <v>0</v>
      </c>
      <c r="C483" s="28">
        <v>2011</v>
      </c>
      <c r="D483" s="28" t="s">
        <v>7</v>
      </c>
      <c r="E483" s="28" t="s">
        <v>16</v>
      </c>
      <c r="F483" s="28">
        <v>15256.025396700001</v>
      </c>
    </row>
    <row r="484" spans="1:6">
      <c r="A484" s="28" t="s">
        <v>38</v>
      </c>
      <c r="B484" s="28" t="s">
        <v>0</v>
      </c>
      <c r="C484" s="28">
        <v>2012</v>
      </c>
      <c r="D484" s="28" t="s">
        <v>7</v>
      </c>
      <c r="E484" s="28" t="s">
        <v>16</v>
      </c>
      <c r="F484" s="28">
        <v>21750.771278299999</v>
      </c>
    </row>
    <row r="485" spans="1:6">
      <c r="A485" s="28" t="s">
        <v>38</v>
      </c>
      <c r="B485" s="28" t="s">
        <v>0</v>
      </c>
      <c r="C485" s="28">
        <v>2013</v>
      </c>
      <c r="D485" s="28" t="s">
        <v>7</v>
      </c>
      <c r="E485" s="28" t="s">
        <v>16</v>
      </c>
      <c r="F485" s="28">
        <v>14770.4261264</v>
      </c>
    </row>
    <row r="486" spans="1:6">
      <c r="A486" s="28" t="s">
        <v>38</v>
      </c>
      <c r="B486" s="28" t="s">
        <v>0</v>
      </c>
      <c r="C486" s="28">
        <v>2014</v>
      </c>
      <c r="D486" s="28" t="s">
        <v>7</v>
      </c>
      <c r="E486" s="28" t="s">
        <v>16</v>
      </c>
      <c r="F486" s="28">
        <v>34728.591611999997</v>
      </c>
    </row>
    <row r="487" spans="1:6">
      <c r="A487" s="28" t="s">
        <v>38</v>
      </c>
      <c r="B487" s="28" t="s">
        <v>0</v>
      </c>
      <c r="C487" s="28">
        <v>2015</v>
      </c>
      <c r="D487" s="28" t="s">
        <v>7</v>
      </c>
      <c r="E487" s="28" t="s">
        <v>16</v>
      </c>
      <c r="F487" s="28">
        <v>36738.857181400002</v>
      </c>
    </row>
    <row r="488" spans="1:6">
      <c r="A488" s="28" t="s">
        <v>38</v>
      </c>
      <c r="B488" s="28" t="s">
        <v>0</v>
      </c>
      <c r="C488" s="28">
        <v>2016</v>
      </c>
      <c r="D488" s="28" t="s">
        <v>7</v>
      </c>
      <c r="E488" s="28" t="s">
        <v>16</v>
      </c>
      <c r="F488" s="28">
        <v>33664.5795</v>
      </c>
    </row>
    <row r="489" spans="1:6">
      <c r="A489" s="28" t="s">
        <v>38</v>
      </c>
      <c r="B489" s="28" t="s">
        <v>0</v>
      </c>
      <c r="C489" s="28">
        <v>2017</v>
      </c>
      <c r="D489" s="28" t="s">
        <v>7</v>
      </c>
      <c r="E489" s="28" t="s">
        <v>16</v>
      </c>
      <c r="F489" s="28">
        <v>34617.720200000003</v>
      </c>
    </row>
    <row r="490" spans="1:6">
      <c r="A490" s="28" t="s">
        <v>38</v>
      </c>
      <c r="B490" s="28" t="s">
        <v>0</v>
      </c>
      <c r="C490" s="28">
        <v>2010</v>
      </c>
      <c r="D490" s="28" t="s">
        <v>7</v>
      </c>
      <c r="E490" s="28" t="s">
        <v>17</v>
      </c>
      <c r="F490" s="28">
        <v>332.726</v>
      </c>
    </row>
    <row r="491" spans="1:6">
      <c r="A491" s="28" t="s">
        <v>38</v>
      </c>
      <c r="B491" s="28" t="s">
        <v>0</v>
      </c>
      <c r="C491" s="28">
        <v>2011</v>
      </c>
      <c r="D491" s="28" t="s">
        <v>7</v>
      </c>
      <c r="E491" s="28" t="s">
        <v>17</v>
      </c>
      <c r="F491" s="28">
        <v>473.84699999999998</v>
      </c>
    </row>
    <row r="492" spans="1:6">
      <c r="A492" s="28" t="s">
        <v>38</v>
      </c>
      <c r="B492" s="28" t="s">
        <v>0</v>
      </c>
      <c r="C492" s="28">
        <v>2012</v>
      </c>
      <c r="D492" s="28" t="s">
        <v>7</v>
      </c>
      <c r="E492" s="28" t="s">
        <v>17</v>
      </c>
      <c r="F492" s="28">
        <v>716.12900000000002</v>
      </c>
    </row>
    <row r="493" spans="1:6">
      <c r="A493" s="28" t="s">
        <v>38</v>
      </c>
      <c r="B493" s="28" t="s">
        <v>0</v>
      </c>
      <c r="C493" s="28">
        <v>2013</v>
      </c>
      <c r="D493" s="28" t="s">
        <v>7</v>
      </c>
      <c r="E493" s="28" t="s">
        <v>17</v>
      </c>
      <c r="F493" s="28">
        <v>451.29199999999997</v>
      </c>
    </row>
    <row r="494" spans="1:6">
      <c r="A494" s="28" t="s">
        <v>38</v>
      </c>
      <c r="B494" s="28" t="s">
        <v>0</v>
      </c>
      <c r="C494" s="28">
        <v>2014</v>
      </c>
      <c r="D494" s="28" t="s">
        <v>7</v>
      </c>
      <c r="E494" s="28" t="s">
        <v>17</v>
      </c>
      <c r="F494" s="28">
        <v>617.30499999999995</v>
      </c>
    </row>
    <row r="495" spans="1:6">
      <c r="A495" s="28" t="s">
        <v>38</v>
      </c>
      <c r="B495" s="28" t="s">
        <v>0</v>
      </c>
      <c r="C495" s="28">
        <v>2015</v>
      </c>
      <c r="D495" s="28" t="s">
        <v>7</v>
      </c>
      <c r="E495" s="28" t="s">
        <v>17</v>
      </c>
      <c r="F495" s="28">
        <v>504.08199999999999</v>
      </c>
    </row>
    <row r="496" spans="1:6">
      <c r="A496" s="28" t="s">
        <v>38</v>
      </c>
      <c r="B496" s="28" t="s">
        <v>0</v>
      </c>
      <c r="C496" s="28">
        <v>2016</v>
      </c>
      <c r="D496" s="28" t="s">
        <v>7</v>
      </c>
      <c r="E496" s="28" t="s">
        <v>17</v>
      </c>
      <c r="F496" s="28">
        <v>555</v>
      </c>
    </row>
    <row r="497" spans="1:6">
      <c r="A497" s="28" t="s">
        <v>38</v>
      </c>
      <c r="B497" s="28" t="s">
        <v>0</v>
      </c>
      <c r="C497" s="28">
        <v>2017</v>
      </c>
      <c r="D497" s="28" t="s">
        <v>7</v>
      </c>
      <c r="E497" s="28" t="s">
        <v>17</v>
      </c>
      <c r="F497" s="28">
        <v>601</v>
      </c>
    </row>
    <row r="498" spans="1:6">
      <c r="A498" s="28" t="s">
        <v>38</v>
      </c>
      <c r="B498" s="28" t="s">
        <v>0</v>
      </c>
      <c r="C498" s="28">
        <v>2010</v>
      </c>
      <c r="D498" s="28" t="s">
        <v>20</v>
      </c>
      <c r="E498" s="28" t="s">
        <v>18</v>
      </c>
      <c r="F498" s="28">
        <v>358.73233499999998</v>
      </c>
    </row>
    <row r="499" spans="1:6">
      <c r="A499" s="28" t="s">
        <v>38</v>
      </c>
      <c r="B499" s="28" t="s">
        <v>0</v>
      </c>
      <c r="C499" s="28">
        <v>2011</v>
      </c>
      <c r="D499" s="28" t="s">
        <v>20</v>
      </c>
      <c r="E499" s="28" t="s">
        <v>18</v>
      </c>
      <c r="F499" s="28">
        <v>382.68578500000001</v>
      </c>
    </row>
    <row r="500" spans="1:6">
      <c r="A500" s="28" t="s">
        <v>38</v>
      </c>
      <c r="B500" s="28" t="s">
        <v>0</v>
      </c>
      <c r="C500" s="28">
        <v>2012</v>
      </c>
      <c r="D500" s="28" t="s">
        <v>20</v>
      </c>
      <c r="E500" s="28" t="s">
        <v>18</v>
      </c>
      <c r="F500" s="28">
        <v>382.705692</v>
      </c>
    </row>
    <row r="501" spans="1:6">
      <c r="A501" s="28" t="s">
        <v>38</v>
      </c>
      <c r="B501" s="28" t="s">
        <v>0</v>
      </c>
      <c r="C501" s="28">
        <v>2013</v>
      </c>
      <c r="D501" s="28" t="s">
        <v>20</v>
      </c>
      <c r="E501" s="28" t="s">
        <v>18</v>
      </c>
      <c r="F501" s="28">
        <v>387.93238700000001</v>
      </c>
    </row>
    <row r="502" spans="1:6">
      <c r="A502" s="28" t="s">
        <v>38</v>
      </c>
      <c r="B502" s="28" t="s">
        <v>0</v>
      </c>
      <c r="C502" s="28">
        <v>2014</v>
      </c>
      <c r="D502" s="28" t="s">
        <v>20</v>
      </c>
      <c r="E502" s="28" t="s">
        <v>18</v>
      </c>
      <c r="F502" s="28">
        <v>399.69013799999999</v>
      </c>
    </row>
    <row r="503" spans="1:6">
      <c r="A503" s="28" t="s">
        <v>38</v>
      </c>
      <c r="B503" s="28" t="s">
        <v>0</v>
      </c>
      <c r="C503" s="28">
        <v>2015</v>
      </c>
      <c r="D503" s="28" t="s">
        <v>20</v>
      </c>
      <c r="E503" s="28" t="s">
        <v>18</v>
      </c>
      <c r="F503" s="28">
        <v>423.24920200000003</v>
      </c>
    </row>
    <row r="504" spans="1:6">
      <c r="A504" s="28" t="s">
        <v>38</v>
      </c>
      <c r="B504" s="28" t="s">
        <v>0</v>
      </c>
      <c r="C504" s="28">
        <v>2016</v>
      </c>
      <c r="D504" s="28" t="s">
        <v>20</v>
      </c>
      <c r="E504" s="28" t="s">
        <v>18</v>
      </c>
      <c r="F504" s="28">
        <v>426.394634</v>
      </c>
    </row>
    <row r="505" spans="1:6">
      <c r="A505" s="28" t="s">
        <v>38</v>
      </c>
      <c r="B505" s="28" t="s">
        <v>0</v>
      </c>
      <c r="C505" s="28">
        <v>2017</v>
      </c>
      <c r="D505" s="28" t="s">
        <v>20</v>
      </c>
      <c r="E505" s="28" t="s">
        <v>18</v>
      </c>
      <c r="F505" s="28">
        <v>430.11547999999999</v>
      </c>
    </row>
    <row r="506" spans="1:6">
      <c r="A506" s="28" t="s">
        <v>38</v>
      </c>
      <c r="B506" s="28" t="s">
        <v>0</v>
      </c>
      <c r="C506" s="28">
        <v>2010</v>
      </c>
      <c r="D506" s="28" t="s">
        <v>20</v>
      </c>
      <c r="E506" s="28" t="s">
        <v>19</v>
      </c>
      <c r="F506" s="28">
        <v>300</v>
      </c>
    </row>
    <row r="507" spans="1:6">
      <c r="A507" s="28" t="s">
        <v>38</v>
      </c>
      <c r="B507" s="28" t="s">
        <v>0</v>
      </c>
      <c r="C507" s="28">
        <v>2011</v>
      </c>
      <c r="D507" s="28" t="s">
        <v>20</v>
      </c>
      <c r="E507" s="28" t="s">
        <v>19</v>
      </c>
      <c r="F507" s="28">
        <v>300</v>
      </c>
    </row>
    <row r="508" spans="1:6">
      <c r="A508" s="28" t="s">
        <v>38</v>
      </c>
      <c r="B508" s="28" t="s">
        <v>0</v>
      </c>
      <c r="C508" s="28">
        <v>2012</v>
      </c>
      <c r="D508" s="28" t="s">
        <v>20</v>
      </c>
      <c r="E508" s="28" t="s">
        <v>19</v>
      </c>
      <c r="F508" s="28">
        <v>300</v>
      </c>
    </row>
    <row r="509" spans="1:6">
      <c r="A509" s="28" t="s">
        <v>38</v>
      </c>
      <c r="B509" s="28" t="s">
        <v>0</v>
      </c>
      <c r="C509" s="28">
        <v>2013</v>
      </c>
      <c r="D509" s="28" t="s">
        <v>20</v>
      </c>
      <c r="E509" s="28" t="s">
        <v>19</v>
      </c>
      <c r="F509" s="28">
        <v>309.8</v>
      </c>
    </row>
    <row r="510" spans="1:6">
      <c r="A510" s="28" t="s">
        <v>38</v>
      </c>
      <c r="B510" s="28" t="s">
        <v>0</v>
      </c>
      <c r="C510" s="28">
        <v>2014</v>
      </c>
      <c r="D510" s="28" t="s">
        <v>20</v>
      </c>
      <c r="E510" s="28" t="s">
        <v>19</v>
      </c>
      <c r="F510" s="28">
        <v>510</v>
      </c>
    </row>
    <row r="511" spans="1:6">
      <c r="A511" s="28" t="s">
        <v>38</v>
      </c>
      <c r="B511" s="28" t="s">
        <v>0</v>
      </c>
      <c r="C511" s="28">
        <v>2015</v>
      </c>
      <c r="D511" s="28" t="s">
        <v>20</v>
      </c>
      <c r="E511" s="28" t="s">
        <v>19</v>
      </c>
      <c r="F511" s="28">
        <v>622</v>
      </c>
    </row>
    <row r="512" spans="1:6">
      <c r="A512" s="28" t="s">
        <v>38</v>
      </c>
      <c r="B512" s="28" t="s">
        <v>0</v>
      </c>
      <c r="C512" s="28">
        <v>2016</v>
      </c>
      <c r="D512" s="28" t="s">
        <v>20</v>
      </c>
      <c r="E512" s="28" t="s">
        <v>19</v>
      </c>
      <c r="F512" s="28">
        <v>638.5</v>
      </c>
    </row>
    <row r="513" spans="1:6">
      <c r="A513" s="28" t="s">
        <v>38</v>
      </c>
      <c r="B513" s="28" t="s">
        <v>0</v>
      </c>
      <c r="C513" s="28">
        <v>2017</v>
      </c>
      <c r="D513" s="28" t="s">
        <v>20</v>
      </c>
      <c r="E513" s="28" t="s">
        <v>19</v>
      </c>
      <c r="F513" s="28">
        <v>706.6</v>
      </c>
    </row>
    <row r="514" spans="1:6">
      <c r="A514" s="28" t="s">
        <v>39</v>
      </c>
      <c r="B514" s="28" t="s">
        <v>32</v>
      </c>
      <c r="C514" s="28">
        <v>2010</v>
      </c>
      <c r="D514" s="28" t="s">
        <v>1</v>
      </c>
      <c r="E514" s="28" t="s">
        <v>2</v>
      </c>
      <c r="F514" s="28">
        <v>299821.1971926</v>
      </c>
    </row>
    <row r="515" spans="1:6">
      <c r="A515" s="28" t="s">
        <v>39</v>
      </c>
      <c r="B515" s="28" t="s">
        <v>32</v>
      </c>
      <c r="C515" s="28">
        <v>2011</v>
      </c>
      <c r="D515" s="28" t="s">
        <v>1</v>
      </c>
      <c r="E515" s="28" t="s">
        <v>2</v>
      </c>
      <c r="F515" s="28">
        <v>289121.46094149997</v>
      </c>
    </row>
    <row r="516" spans="1:6">
      <c r="A516" s="28" t="s">
        <v>39</v>
      </c>
      <c r="B516" s="28" t="s">
        <v>32</v>
      </c>
      <c r="C516" s="28">
        <v>2012</v>
      </c>
      <c r="D516" s="28" t="s">
        <v>1</v>
      </c>
      <c r="E516" s="28" t="s">
        <v>2</v>
      </c>
      <c r="F516" s="28">
        <v>304046.55099999998</v>
      </c>
    </row>
    <row r="517" spans="1:6">
      <c r="A517" s="28" t="s">
        <v>39</v>
      </c>
      <c r="B517" s="28" t="s">
        <v>32</v>
      </c>
      <c r="C517" s="28">
        <v>2013</v>
      </c>
      <c r="D517" s="28" t="s">
        <v>1</v>
      </c>
      <c r="E517" s="28" t="s">
        <v>2</v>
      </c>
      <c r="F517" s="28">
        <v>315093.53200000001</v>
      </c>
    </row>
    <row r="518" spans="1:6">
      <c r="A518" s="28" t="s">
        <v>39</v>
      </c>
      <c r="B518" s="28" t="s">
        <v>32</v>
      </c>
      <c r="C518" s="28">
        <v>2014</v>
      </c>
      <c r="D518" s="28" t="s">
        <v>1</v>
      </c>
      <c r="E518" s="28" t="s">
        <v>2</v>
      </c>
      <c r="F518" s="28">
        <v>221694</v>
      </c>
    </row>
    <row r="519" spans="1:6">
      <c r="A519" s="28" t="s">
        <v>39</v>
      </c>
      <c r="B519" s="28" t="s">
        <v>32</v>
      </c>
      <c r="C519" s="28">
        <v>2015</v>
      </c>
      <c r="D519" s="28" t="s">
        <v>1</v>
      </c>
      <c r="E519" s="28" t="s">
        <v>2</v>
      </c>
      <c r="F519" s="28">
        <v>213533</v>
      </c>
    </row>
    <row r="520" spans="1:6">
      <c r="A520" s="28" t="s">
        <v>39</v>
      </c>
      <c r="B520" s="28" t="s">
        <v>32</v>
      </c>
      <c r="C520" s="28">
        <v>2016</v>
      </c>
      <c r="D520" s="28" t="s">
        <v>1</v>
      </c>
      <c r="E520" s="28" t="s">
        <v>2</v>
      </c>
      <c r="F520" s="28">
        <v>222838</v>
      </c>
    </row>
    <row r="521" spans="1:6">
      <c r="A521" s="28" t="s">
        <v>39</v>
      </c>
      <c r="B521" s="28" t="s">
        <v>32</v>
      </c>
      <c r="C521" s="28">
        <v>2017</v>
      </c>
      <c r="D521" s="28" t="s">
        <v>1</v>
      </c>
      <c r="E521" s="28" t="s">
        <v>2</v>
      </c>
      <c r="F521" s="28">
        <v>245217</v>
      </c>
    </row>
    <row r="522" spans="1:6">
      <c r="A522" s="28" t="s">
        <v>39</v>
      </c>
      <c r="B522" s="28" t="s">
        <v>32</v>
      </c>
      <c r="C522" s="28">
        <v>2010</v>
      </c>
      <c r="D522" s="28" t="s">
        <v>1</v>
      </c>
      <c r="E522" s="28" t="s">
        <v>3</v>
      </c>
      <c r="F522" s="28">
        <v>291686.0897063</v>
      </c>
    </row>
    <row r="523" spans="1:6">
      <c r="A523" s="28" t="s">
        <v>39</v>
      </c>
      <c r="B523" s="28" t="s">
        <v>32</v>
      </c>
      <c r="C523" s="28">
        <v>2011</v>
      </c>
      <c r="D523" s="28" t="s">
        <v>1</v>
      </c>
      <c r="E523" s="28" t="s">
        <v>3</v>
      </c>
      <c r="F523" s="28">
        <v>287503.96107359999</v>
      </c>
    </row>
    <row r="524" spans="1:6">
      <c r="A524" s="28" t="s">
        <v>39</v>
      </c>
      <c r="B524" s="28" t="s">
        <v>32</v>
      </c>
      <c r="C524" s="28">
        <v>2012</v>
      </c>
      <c r="D524" s="28" t="s">
        <v>1</v>
      </c>
      <c r="E524" s="28" t="s">
        <v>3</v>
      </c>
      <c r="F524" s="28">
        <v>173023.978</v>
      </c>
    </row>
    <row r="525" spans="1:6">
      <c r="A525" s="28" t="s">
        <v>39</v>
      </c>
      <c r="B525" s="28" t="s">
        <v>32</v>
      </c>
      <c r="C525" s="28">
        <v>2013</v>
      </c>
      <c r="D525" s="28" t="s">
        <v>1</v>
      </c>
      <c r="E525" s="28" t="s">
        <v>3</v>
      </c>
      <c r="F525" s="28">
        <v>160583.72500000001</v>
      </c>
    </row>
    <row r="526" spans="1:6">
      <c r="A526" s="28" t="s">
        <v>39</v>
      </c>
      <c r="B526" s="28" t="s">
        <v>32</v>
      </c>
      <c r="C526" s="28">
        <v>2014</v>
      </c>
      <c r="D526" s="28" t="s">
        <v>1</v>
      </c>
      <c r="E526" s="28" t="s">
        <v>3</v>
      </c>
      <c r="F526" s="28">
        <v>203200</v>
      </c>
    </row>
    <row r="527" spans="1:6">
      <c r="A527" s="28" t="s">
        <v>39</v>
      </c>
      <c r="B527" s="28" t="s">
        <v>32</v>
      </c>
      <c r="C527" s="28">
        <v>2015</v>
      </c>
      <c r="D527" s="28" t="s">
        <v>1</v>
      </c>
      <c r="E527" s="28" t="s">
        <v>3</v>
      </c>
      <c r="F527" s="28">
        <v>214056</v>
      </c>
    </row>
    <row r="528" spans="1:6">
      <c r="A528" s="28" t="s">
        <v>39</v>
      </c>
      <c r="B528" s="28" t="s">
        <v>32</v>
      </c>
      <c r="C528" s="28">
        <v>2016</v>
      </c>
      <c r="D528" s="28" t="s">
        <v>1</v>
      </c>
      <c r="E528" s="28" t="s">
        <v>3</v>
      </c>
      <c r="F528" s="28">
        <v>170318</v>
      </c>
    </row>
    <row r="529" spans="1:6">
      <c r="A529" s="28" t="s">
        <v>39</v>
      </c>
      <c r="B529" s="28" t="s">
        <v>32</v>
      </c>
      <c r="C529" s="28">
        <v>2017</v>
      </c>
      <c r="D529" s="28" t="s">
        <v>1</v>
      </c>
      <c r="E529" s="28" t="s">
        <v>3</v>
      </c>
      <c r="F529" s="28">
        <v>170024</v>
      </c>
    </row>
    <row r="530" spans="1:6">
      <c r="A530" s="28" t="s">
        <v>39</v>
      </c>
      <c r="B530" s="28" t="s">
        <v>32</v>
      </c>
      <c r="C530" s="28">
        <v>2010</v>
      </c>
      <c r="D530" s="28" t="s">
        <v>1</v>
      </c>
      <c r="E530" s="28" t="s">
        <v>5</v>
      </c>
      <c r="F530" s="28">
        <v>591507.28689890006</v>
      </c>
    </row>
    <row r="531" spans="1:6">
      <c r="A531" s="28" t="s">
        <v>39</v>
      </c>
      <c r="B531" s="28" t="s">
        <v>32</v>
      </c>
      <c r="C531" s="28">
        <v>2011</v>
      </c>
      <c r="D531" s="28" t="s">
        <v>1</v>
      </c>
      <c r="E531" s="28" t="s">
        <v>5</v>
      </c>
      <c r="F531" s="28">
        <v>576625.42201510002</v>
      </c>
    </row>
    <row r="532" spans="1:6">
      <c r="A532" s="28" t="s">
        <v>39</v>
      </c>
      <c r="B532" s="28" t="s">
        <v>32</v>
      </c>
      <c r="C532" s="28">
        <v>2012</v>
      </c>
      <c r="D532" s="28" t="s">
        <v>1</v>
      </c>
      <c r="E532" s="28" t="s">
        <v>5</v>
      </c>
      <c r="F532" s="28">
        <v>477070.52899999998</v>
      </c>
    </row>
    <row r="533" spans="1:6">
      <c r="A533" s="28" t="s">
        <v>39</v>
      </c>
      <c r="B533" s="28" t="s">
        <v>32</v>
      </c>
      <c r="C533" s="28">
        <v>2013</v>
      </c>
      <c r="D533" s="28" t="s">
        <v>1</v>
      </c>
      <c r="E533" s="28" t="s">
        <v>5</v>
      </c>
      <c r="F533" s="28">
        <v>475677.25699999998</v>
      </c>
    </row>
    <row r="534" spans="1:6">
      <c r="A534" s="28" t="s">
        <v>39</v>
      </c>
      <c r="B534" s="28" t="s">
        <v>32</v>
      </c>
      <c r="C534" s="28">
        <v>2014</v>
      </c>
      <c r="D534" s="28" t="s">
        <v>1</v>
      </c>
      <c r="E534" s="28" t="s">
        <v>5</v>
      </c>
      <c r="F534" s="28">
        <v>424894</v>
      </c>
    </row>
    <row r="535" spans="1:6">
      <c r="A535" s="28" t="s">
        <v>39</v>
      </c>
      <c r="B535" s="28" t="s">
        <v>32</v>
      </c>
      <c r="C535" s="28">
        <v>2015</v>
      </c>
      <c r="D535" s="28" t="s">
        <v>1</v>
      </c>
      <c r="E535" s="28" t="s">
        <v>5</v>
      </c>
      <c r="F535" s="28">
        <v>427589</v>
      </c>
    </row>
    <row r="536" spans="1:6">
      <c r="A536" s="28" t="s">
        <v>39</v>
      </c>
      <c r="B536" s="28" t="s">
        <v>32</v>
      </c>
      <c r="C536" s="28">
        <v>2016</v>
      </c>
      <c r="D536" s="28" t="s">
        <v>1</v>
      </c>
      <c r="E536" s="28" t="s">
        <v>5</v>
      </c>
      <c r="F536" s="28">
        <v>393156</v>
      </c>
    </row>
    <row r="537" spans="1:6">
      <c r="A537" s="28" t="s">
        <v>39</v>
      </c>
      <c r="B537" s="28" t="s">
        <v>32</v>
      </c>
      <c r="C537" s="28">
        <v>2017</v>
      </c>
      <c r="D537" s="28" t="s">
        <v>1</v>
      </c>
      <c r="E537" s="28" t="s">
        <v>5</v>
      </c>
      <c r="F537" s="28">
        <v>415241</v>
      </c>
    </row>
    <row r="538" spans="1:6">
      <c r="A538" s="28" t="s">
        <v>39</v>
      </c>
      <c r="B538" s="28" t="s">
        <v>32</v>
      </c>
      <c r="C538" s="28">
        <v>2010</v>
      </c>
      <c r="D538" s="28" t="s">
        <v>1</v>
      </c>
      <c r="E538" s="28" t="s">
        <v>6</v>
      </c>
      <c r="F538" s="28">
        <v>223994.63951569999</v>
      </c>
    </row>
    <row r="539" spans="1:6">
      <c r="A539" s="28" t="s">
        <v>39</v>
      </c>
      <c r="B539" s="28" t="s">
        <v>32</v>
      </c>
      <c r="C539" s="28">
        <v>2011</v>
      </c>
      <c r="D539" s="28" t="s">
        <v>1</v>
      </c>
      <c r="E539" s="28" t="s">
        <v>6</v>
      </c>
      <c r="F539" s="28">
        <v>227540.2380403</v>
      </c>
    </row>
    <row r="540" spans="1:6">
      <c r="A540" s="28" t="s">
        <v>39</v>
      </c>
      <c r="B540" s="28" t="s">
        <v>32</v>
      </c>
      <c r="C540" s="28">
        <v>2012</v>
      </c>
      <c r="D540" s="28" t="s">
        <v>1</v>
      </c>
      <c r="E540" s="28" t="s">
        <v>6</v>
      </c>
      <c r="F540" s="28">
        <v>219146.413</v>
      </c>
    </row>
    <row r="541" spans="1:6">
      <c r="A541" s="28" t="s">
        <v>39</v>
      </c>
      <c r="B541" s="28" t="s">
        <v>32</v>
      </c>
      <c r="C541" s="28">
        <v>2013</v>
      </c>
      <c r="D541" s="28" t="s">
        <v>1</v>
      </c>
      <c r="E541" s="28" t="s">
        <v>6</v>
      </c>
      <c r="F541" s="28">
        <v>229112.81099999999</v>
      </c>
    </row>
    <row r="542" spans="1:6">
      <c r="A542" s="28" t="s">
        <v>39</v>
      </c>
      <c r="B542" s="28" t="s">
        <v>32</v>
      </c>
      <c r="C542" s="28">
        <v>2014</v>
      </c>
      <c r="D542" s="28" t="s">
        <v>1</v>
      </c>
      <c r="E542" s="28" t="s">
        <v>6</v>
      </c>
      <c r="F542" s="28">
        <v>159066</v>
      </c>
    </row>
    <row r="543" spans="1:6">
      <c r="A543" s="28" t="s">
        <v>39</v>
      </c>
      <c r="B543" s="28" t="s">
        <v>32</v>
      </c>
      <c r="C543" s="28">
        <v>2015</v>
      </c>
      <c r="D543" s="28" t="s">
        <v>1</v>
      </c>
      <c r="E543" s="28" t="s">
        <v>6</v>
      </c>
      <c r="F543" s="28">
        <v>165283</v>
      </c>
    </row>
    <row r="544" spans="1:6">
      <c r="A544" s="28" t="s">
        <v>39</v>
      </c>
      <c r="B544" s="28" t="s">
        <v>32</v>
      </c>
      <c r="C544" s="28">
        <v>2016</v>
      </c>
      <c r="D544" s="28" t="s">
        <v>1</v>
      </c>
      <c r="E544" s="28" t="s">
        <v>6</v>
      </c>
      <c r="F544" s="28">
        <v>184313</v>
      </c>
    </row>
    <row r="545" spans="1:6">
      <c r="A545" s="28" t="s">
        <v>39</v>
      </c>
      <c r="B545" s="28" t="s">
        <v>32</v>
      </c>
      <c r="C545" s="28">
        <v>2017</v>
      </c>
      <c r="D545" s="28" t="s">
        <v>1</v>
      </c>
      <c r="E545" s="28" t="s">
        <v>6</v>
      </c>
      <c r="F545" s="28">
        <v>195713</v>
      </c>
    </row>
    <row r="546" spans="1:6">
      <c r="A546" s="28" t="s">
        <v>39</v>
      </c>
      <c r="B546" s="28" t="s">
        <v>32</v>
      </c>
      <c r="C546" s="28">
        <v>2010</v>
      </c>
      <c r="D546" s="28" t="s">
        <v>1</v>
      </c>
      <c r="E546" s="28" t="s">
        <v>8</v>
      </c>
      <c r="F546" s="28">
        <v>173099.67940689999</v>
      </c>
    </row>
    <row r="547" spans="1:6">
      <c r="A547" s="28" t="s">
        <v>39</v>
      </c>
      <c r="B547" s="28" t="s">
        <v>32</v>
      </c>
      <c r="C547" s="28">
        <v>2011</v>
      </c>
      <c r="D547" s="28" t="s">
        <v>1</v>
      </c>
      <c r="E547" s="28" t="s">
        <v>8</v>
      </c>
      <c r="F547" s="28">
        <v>176198.63058699999</v>
      </c>
    </row>
    <row r="548" spans="1:6">
      <c r="A548" s="28" t="s">
        <v>39</v>
      </c>
      <c r="B548" s="28" t="s">
        <v>32</v>
      </c>
      <c r="C548" s="28">
        <v>2012</v>
      </c>
      <c r="D548" s="28" t="s">
        <v>1</v>
      </c>
      <c r="E548" s="28" t="s">
        <v>8</v>
      </c>
      <c r="F548" s="28">
        <v>155578.38399999999</v>
      </c>
    </row>
    <row r="549" spans="1:6">
      <c r="A549" s="28" t="s">
        <v>39</v>
      </c>
      <c r="B549" s="28" t="s">
        <v>32</v>
      </c>
      <c r="C549" s="28">
        <v>2013</v>
      </c>
      <c r="D549" s="28" t="s">
        <v>1</v>
      </c>
      <c r="E549" s="28" t="s">
        <v>8</v>
      </c>
      <c r="F549" s="28">
        <v>163132.05300000001</v>
      </c>
    </row>
    <row r="550" spans="1:6">
      <c r="A550" s="28" t="s">
        <v>39</v>
      </c>
      <c r="B550" s="28" t="s">
        <v>32</v>
      </c>
      <c r="C550" s="28">
        <v>2014</v>
      </c>
      <c r="D550" s="28" t="s">
        <v>1</v>
      </c>
      <c r="E550" s="28" t="s">
        <v>8</v>
      </c>
      <c r="F550" s="28">
        <v>168255</v>
      </c>
    </row>
    <row r="551" spans="1:6">
      <c r="A551" s="28" t="s">
        <v>39</v>
      </c>
      <c r="B551" s="28" t="s">
        <v>32</v>
      </c>
      <c r="C551" s="28">
        <v>2015</v>
      </c>
      <c r="D551" s="28" t="s">
        <v>1</v>
      </c>
      <c r="E551" s="28" t="s">
        <v>8</v>
      </c>
      <c r="F551" s="28">
        <v>167778</v>
      </c>
    </row>
    <row r="552" spans="1:6">
      <c r="A552" s="28" t="s">
        <v>39</v>
      </c>
      <c r="B552" s="28" t="s">
        <v>32</v>
      </c>
      <c r="C552" s="28">
        <v>2016</v>
      </c>
      <c r="D552" s="28" t="s">
        <v>1</v>
      </c>
      <c r="E552" s="28" t="s">
        <v>8</v>
      </c>
      <c r="F552" s="28">
        <v>99857</v>
      </c>
    </row>
    <row r="553" spans="1:6">
      <c r="A553" s="28" t="s">
        <v>39</v>
      </c>
      <c r="B553" s="28" t="s">
        <v>32</v>
      </c>
      <c r="C553" s="28">
        <v>2017</v>
      </c>
      <c r="D553" s="28" t="s">
        <v>1</v>
      </c>
      <c r="E553" s="28" t="s">
        <v>8</v>
      </c>
      <c r="F553" s="28">
        <v>123332</v>
      </c>
    </row>
    <row r="554" spans="1:6">
      <c r="A554" s="28" t="s">
        <v>39</v>
      </c>
      <c r="B554" s="28" t="s">
        <v>32</v>
      </c>
      <c r="C554" s="28">
        <v>2010</v>
      </c>
      <c r="D554" s="28" t="s">
        <v>1</v>
      </c>
      <c r="E554" s="28" t="s">
        <v>9</v>
      </c>
      <c r="F554" s="28">
        <v>194412.96797629999</v>
      </c>
    </row>
    <row r="555" spans="1:6">
      <c r="A555" s="28" t="s">
        <v>39</v>
      </c>
      <c r="B555" s="28" t="s">
        <v>32</v>
      </c>
      <c r="C555" s="28">
        <v>2011</v>
      </c>
      <c r="D555" s="28" t="s">
        <v>1</v>
      </c>
      <c r="E555" s="28" t="s">
        <v>9</v>
      </c>
      <c r="F555" s="28">
        <v>172886.5533878</v>
      </c>
    </row>
    <row r="556" spans="1:6">
      <c r="A556" s="28" t="s">
        <v>39</v>
      </c>
      <c r="B556" s="28" t="s">
        <v>32</v>
      </c>
      <c r="C556" s="28">
        <v>2012</v>
      </c>
      <c r="D556" s="28" t="s">
        <v>1</v>
      </c>
      <c r="E556" s="28" t="s">
        <v>9</v>
      </c>
      <c r="F556" s="28">
        <v>102345.732</v>
      </c>
    </row>
    <row r="557" spans="1:6">
      <c r="A557" s="28" t="s">
        <v>39</v>
      </c>
      <c r="B557" s="28" t="s">
        <v>32</v>
      </c>
      <c r="C557" s="28">
        <v>2013</v>
      </c>
      <c r="D557" s="28" t="s">
        <v>1</v>
      </c>
      <c r="E557" s="28" t="s">
        <v>9</v>
      </c>
      <c r="F557" s="28">
        <v>83432.392999999996</v>
      </c>
    </row>
    <row r="558" spans="1:6">
      <c r="A558" s="28" t="s">
        <v>39</v>
      </c>
      <c r="B558" s="28" t="s">
        <v>32</v>
      </c>
      <c r="C558" s="28">
        <v>2014</v>
      </c>
      <c r="D558" s="28" t="s">
        <v>1</v>
      </c>
      <c r="E558" s="28" t="s">
        <v>9</v>
      </c>
      <c r="F558" s="28">
        <v>97573</v>
      </c>
    </row>
    <row r="559" spans="1:6">
      <c r="A559" s="28" t="s">
        <v>39</v>
      </c>
      <c r="B559" s="28" t="s">
        <v>32</v>
      </c>
      <c r="C559" s="28">
        <v>2015</v>
      </c>
      <c r="D559" s="28" t="s">
        <v>1</v>
      </c>
      <c r="E559" s="28" t="s">
        <v>9</v>
      </c>
      <c r="F559" s="28">
        <v>94528</v>
      </c>
    </row>
    <row r="560" spans="1:6">
      <c r="A560" s="28" t="s">
        <v>39</v>
      </c>
      <c r="B560" s="28" t="s">
        <v>32</v>
      </c>
      <c r="C560" s="28">
        <v>2016</v>
      </c>
      <c r="D560" s="28" t="s">
        <v>1</v>
      </c>
      <c r="E560" s="28" t="s">
        <v>9</v>
      </c>
      <c r="F560" s="28">
        <v>108986</v>
      </c>
    </row>
    <row r="561" spans="1:6">
      <c r="A561" s="28" t="s">
        <v>39</v>
      </c>
      <c r="B561" s="28" t="s">
        <v>32</v>
      </c>
      <c r="C561" s="28">
        <v>2017</v>
      </c>
      <c r="D561" s="28" t="s">
        <v>1</v>
      </c>
      <c r="E561" s="28" t="s">
        <v>9</v>
      </c>
      <c r="F561" s="28">
        <v>96196</v>
      </c>
    </row>
    <row r="562" spans="1:6">
      <c r="A562" s="28" t="s">
        <v>39</v>
      </c>
      <c r="B562" s="28" t="s">
        <v>32</v>
      </c>
      <c r="C562" s="28">
        <v>2010</v>
      </c>
      <c r="D562" s="28" t="s">
        <v>1</v>
      </c>
      <c r="E562" s="28" t="s">
        <v>10</v>
      </c>
      <c r="F562" s="28">
        <v>591507.28689890006</v>
      </c>
    </row>
    <row r="563" spans="1:6">
      <c r="A563" s="28" t="s">
        <v>39</v>
      </c>
      <c r="B563" s="28" t="s">
        <v>32</v>
      </c>
      <c r="C563" s="28">
        <v>2011</v>
      </c>
      <c r="D563" s="28" t="s">
        <v>1</v>
      </c>
      <c r="E563" s="28" t="s">
        <v>10</v>
      </c>
      <c r="F563" s="28">
        <v>576625.42201510002</v>
      </c>
    </row>
    <row r="564" spans="1:6">
      <c r="A564" s="28" t="s">
        <v>39</v>
      </c>
      <c r="B564" s="28" t="s">
        <v>32</v>
      </c>
      <c r="C564" s="28">
        <v>2012</v>
      </c>
      <c r="D564" s="28" t="s">
        <v>1</v>
      </c>
      <c r="E564" s="28" t="s">
        <v>10</v>
      </c>
      <c r="F564" s="28">
        <v>477070.52899999998</v>
      </c>
    </row>
    <row r="565" spans="1:6">
      <c r="A565" s="28" t="s">
        <v>39</v>
      </c>
      <c r="B565" s="28" t="s">
        <v>32</v>
      </c>
      <c r="C565" s="28">
        <v>2013</v>
      </c>
      <c r="D565" s="28" t="s">
        <v>1</v>
      </c>
      <c r="E565" s="28" t="s">
        <v>10</v>
      </c>
      <c r="F565" s="28">
        <v>475677.25699999998</v>
      </c>
    </row>
    <row r="566" spans="1:6">
      <c r="A566" s="28" t="s">
        <v>39</v>
      </c>
      <c r="B566" s="28" t="s">
        <v>32</v>
      </c>
      <c r="C566" s="28">
        <v>2014</v>
      </c>
      <c r="D566" s="28" t="s">
        <v>1</v>
      </c>
      <c r="E566" s="28" t="s">
        <v>10</v>
      </c>
      <c r="F566" s="28">
        <v>424894</v>
      </c>
    </row>
    <row r="567" spans="1:6">
      <c r="A567" s="28" t="s">
        <v>39</v>
      </c>
      <c r="B567" s="28" t="s">
        <v>32</v>
      </c>
      <c r="C567" s="28">
        <v>2015</v>
      </c>
      <c r="D567" s="28" t="s">
        <v>1</v>
      </c>
      <c r="E567" s="28" t="s">
        <v>10</v>
      </c>
      <c r="F567" s="28">
        <v>427589</v>
      </c>
    </row>
    <row r="568" spans="1:6">
      <c r="A568" s="28" t="s">
        <v>39</v>
      </c>
      <c r="B568" s="28" t="s">
        <v>32</v>
      </c>
      <c r="C568" s="28">
        <v>2016</v>
      </c>
      <c r="D568" s="28" t="s">
        <v>1</v>
      </c>
      <c r="E568" s="28" t="s">
        <v>10</v>
      </c>
      <c r="F568" s="28">
        <v>393156</v>
      </c>
    </row>
    <row r="569" spans="1:6">
      <c r="A569" s="28" t="s">
        <v>39</v>
      </c>
      <c r="B569" s="28" t="s">
        <v>32</v>
      </c>
      <c r="C569" s="28">
        <v>2017</v>
      </c>
      <c r="D569" s="28" t="s">
        <v>1</v>
      </c>
      <c r="E569" s="28" t="s">
        <v>10</v>
      </c>
      <c r="F569" s="28">
        <v>415241</v>
      </c>
    </row>
    <row r="570" spans="1:6">
      <c r="A570" s="28" t="s">
        <v>39</v>
      </c>
      <c r="B570" s="28" t="s">
        <v>32</v>
      </c>
      <c r="C570" s="28">
        <v>2010</v>
      </c>
      <c r="D570" s="28" t="s">
        <v>1</v>
      </c>
      <c r="E570" s="28" t="s">
        <v>11</v>
      </c>
      <c r="F570" s="28">
        <v>0.621315502823239</v>
      </c>
    </row>
    <row r="571" spans="1:6">
      <c r="A571" s="28" t="s">
        <v>39</v>
      </c>
      <c r="B571" s="28" t="s">
        <v>32</v>
      </c>
      <c r="C571" s="28">
        <v>2011</v>
      </c>
      <c r="D571" s="28" t="s">
        <v>1</v>
      </c>
      <c r="E571" s="28" t="s">
        <v>11</v>
      </c>
      <c r="F571" s="28">
        <v>0.60539332926889</v>
      </c>
    </row>
    <row r="572" spans="1:6">
      <c r="A572" s="28" t="s">
        <v>39</v>
      </c>
      <c r="B572" s="28" t="s">
        <v>32</v>
      </c>
      <c r="C572" s="28">
        <v>2012</v>
      </c>
      <c r="D572" s="28" t="s">
        <v>1</v>
      </c>
      <c r="E572" s="28" t="s">
        <v>11</v>
      </c>
      <c r="F572" s="28">
        <v>0.54064147819116304</v>
      </c>
    </row>
    <row r="573" spans="1:6">
      <c r="A573" s="28" t="s">
        <v>39</v>
      </c>
      <c r="B573" s="28" t="s">
        <v>32</v>
      </c>
      <c r="C573" s="28">
        <v>2013</v>
      </c>
      <c r="D573" s="28" t="s">
        <v>1</v>
      </c>
      <c r="E573" s="28" t="s">
        <v>11</v>
      </c>
      <c r="F573" s="28">
        <v>0.51834398717111696</v>
      </c>
    </row>
    <row r="574" spans="1:6">
      <c r="A574" s="28" t="s">
        <v>39</v>
      </c>
      <c r="B574" s="28" t="s">
        <v>32</v>
      </c>
      <c r="C574" s="28">
        <v>2014</v>
      </c>
      <c r="D574" s="28" t="s">
        <v>1</v>
      </c>
      <c r="E574" s="28" t="s">
        <v>11</v>
      </c>
      <c r="F574" s="28">
        <v>0.625633687460873</v>
      </c>
    </row>
    <row r="575" spans="1:6">
      <c r="A575" s="28" t="s">
        <v>39</v>
      </c>
      <c r="B575" s="28" t="s">
        <v>32</v>
      </c>
      <c r="C575" s="28">
        <v>2015</v>
      </c>
      <c r="D575" s="28" t="s">
        <v>1</v>
      </c>
      <c r="E575" s="28" t="s">
        <v>11</v>
      </c>
      <c r="F575" s="28">
        <v>0.61345357340810902</v>
      </c>
    </row>
    <row r="576" spans="1:6">
      <c r="A576" s="28" t="s">
        <v>39</v>
      </c>
      <c r="B576" s="28" t="s">
        <v>32</v>
      </c>
      <c r="C576" s="28">
        <v>2016</v>
      </c>
      <c r="D576" s="28" t="s">
        <v>1</v>
      </c>
      <c r="E576" s="28" t="s">
        <v>11</v>
      </c>
      <c r="F576" s="28">
        <v>0.53119626814801202</v>
      </c>
    </row>
    <row r="577" spans="1:6">
      <c r="A577" s="28" t="s">
        <v>39</v>
      </c>
      <c r="B577" s="28" t="s">
        <v>32</v>
      </c>
      <c r="C577" s="28">
        <v>2017</v>
      </c>
      <c r="D577" s="28" t="s">
        <v>1</v>
      </c>
      <c r="E577" s="28" t="s">
        <v>11</v>
      </c>
      <c r="F577" s="28">
        <v>0.52867611820605398</v>
      </c>
    </row>
    <row r="578" spans="1:6">
      <c r="A578" s="28" t="s">
        <v>39</v>
      </c>
      <c r="B578" s="28" t="s">
        <v>32</v>
      </c>
      <c r="C578" s="28">
        <v>2010</v>
      </c>
      <c r="D578" s="28" t="s">
        <v>4</v>
      </c>
      <c r="E578" s="28" t="s">
        <v>12</v>
      </c>
      <c r="F578" s="28">
        <v>390686.97737420001</v>
      </c>
    </row>
    <row r="579" spans="1:6">
      <c r="A579" s="28" t="s">
        <v>39</v>
      </c>
      <c r="B579" s="28" t="s">
        <v>32</v>
      </c>
      <c r="C579" s="28">
        <v>2011</v>
      </c>
      <c r="D579" s="28" t="s">
        <v>4</v>
      </c>
      <c r="E579" s="28" t="s">
        <v>12</v>
      </c>
      <c r="F579" s="28">
        <v>509097.61164000002</v>
      </c>
    </row>
    <row r="580" spans="1:6">
      <c r="A580" s="28" t="s">
        <v>39</v>
      </c>
      <c r="B580" s="28" t="s">
        <v>32</v>
      </c>
      <c r="C580" s="28">
        <v>2012</v>
      </c>
      <c r="D580" s="28" t="s">
        <v>4</v>
      </c>
      <c r="E580" s="28" t="s">
        <v>12</v>
      </c>
      <c r="F580" s="28">
        <v>438062.652</v>
      </c>
    </row>
    <row r="581" spans="1:6">
      <c r="A581" s="28" t="s">
        <v>39</v>
      </c>
      <c r="B581" s="28" t="s">
        <v>32</v>
      </c>
      <c r="C581" s="28">
        <v>2013</v>
      </c>
      <c r="D581" s="28" t="s">
        <v>4</v>
      </c>
      <c r="E581" s="28" t="s">
        <v>12</v>
      </c>
      <c r="F581" s="28">
        <v>423817.43400000001</v>
      </c>
    </row>
    <row r="582" spans="1:6">
      <c r="A582" s="28" t="s">
        <v>39</v>
      </c>
      <c r="B582" s="28" t="s">
        <v>32</v>
      </c>
      <c r="C582" s="28">
        <v>2014</v>
      </c>
      <c r="D582" s="28" t="s">
        <v>4</v>
      </c>
      <c r="E582" s="28" t="s">
        <v>12</v>
      </c>
      <c r="F582" s="28">
        <v>315838</v>
      </c>
    </row>
    <row r="583" spans="1:6">
      <c r="A583" s="28" t="s">
        <v>39</v>
      </c>
      <c r="B583" s="28" t="s">
        <v>32</v>
      </c>
      <c r="C583" s="28">
        <v>2015</v>
      </c>
      <c r="D583" s="28" t="s">
        <v>4</v>
      </c>
      <c r="E583" s="28" t="s">
        <v>12</v>
      </c>
      <c r="F583" s="28">
        <v>386673</v>
      </c>
    </row>
    <row r="584" spans="1:6">
      <c r="A584" s="28" t="s">
        <v>39</v>
      </c>
      <c r="B584" s="28" t="s">
        <v>32</v>
      </c>
      <c r="C584" s="28">
        <v>2016</v>
      </c>
      <c r="D584" s="28" t="s">
        <v>4</v>
      </c>
      <c r="E584" s="28" t="s">
        <v>12</v>
      </c>
      <c r="F584" s="28">
        <v>392144</v>
      </c>
    </row>
    <row r="585" spans="1:6">
      <c r="A585" s="28" t="s">
        <v>39</v>
      </c>
      <c r="B585" s="28" t="s">
        <v>32</v>
      </c>
      <c r="C585" s="28">
        <v>2017</v>
      </c>
      <c r="D585" s="28" t="s">
        <v>4</v>
      </c>
      <c r="E585" s="28" t="s">
        <v>12</v>
      </c>
      <c r="F585" s="28">
        <v>457521</v>
      </c>
    </row>
    <row r="586" spans="1:6">
      <c r="A586" s="28" t="s">
        <v>39</v>
      </c>
      <c r="B586" s="28" t="s">
        <v>32</v>
      </c>
      <c r="C586" s="28">
        <v>2010</v>
      </c>
      <c r="D586" s="28" t="s">
        <v>4</v>
      </c>
      <c r="E586" s="28" t="s">
        <v>13</v>
      </c>
      <c r="F586" s="28">
        <v>-17521.596486599999</v>
      </c>
    </row>
    <row r="587" spans="1:6">
      <c r="A587" s="28" t="s">
        <v>39</v>
      </c>
      <c r="B587" s="28" t="s">
        <v>32</v>
      </c>
      <c r="C587" s="28">
        <v>2011</v>
      </c>
      <c r="D587" s="28" t="s">
        <v>4</v>
      </c>
      <c r="E587" s="28" t="s">
        <v>13</v>
      </c>
      <c r="F587" s="28">
        <v>65513.686751300003</v>
      </c>
    </row>
    <row r="588" spans="1:6">
      <c r="A588" s="28" t="s">
        <v>39</v>
      </c>
      <c r="B588" s="28" t="s">
        <v>32</v>
      </c>
      <c r="C588" s="28">
        <v>2012</v>
      </c>
      <c r="D588" s="28" t="s">
        <v>4</v>
      </c>
      <c r="E588" s="28" t="s">
        <v>13</v>
      </c>
      <c r="F588" s="28">
        <v>23539.59</v>
      </c>
    </row>
    <row r="589" spans="1:6">
      <c r="A589" s="28" t="s">
        <v>39</v>
      </c>
      <c r="B589" s="28" t="s">
        <v>32</v>
      </c>
      <c r="C589" s="28">
        <v>2013</v>
      </c>
      <c r="D589" s="28" t="s">
        <v>4</v>
      </c>
      <c r="E589" s="28" t="s">
        <v>13</v>
      </c>
      <c r="F589" s="28">
        <v>2530.473</v>
      </c>
    </row>
    <row r="590" spans="1:6">
      <c r="A590" s="28" t="s">
        <v>39</v>
      </c>
      <c r="B590" s="28" t="s">
        <v>32</v>
      </c>
      <c r="C590" s="28">
        <v>2014</v>
      </c>
      <c r="D590" s="28" t="s">
        <v>4</v>
      </c>
      <c r="E590" s="28" t="s">
        <v>13</v>
      </c>
      <c r="F590" s="28">
        <v>-53082</v>
      </c>
    </row>
    <row r="591" spans="1:6">
      <c r="A591" s="28" t="s">
        <v>39</v>
      </c>
      <c r="B591" s="28" t="s">
        <v>32</v>
      </c>
      <c r="C591" s="28">
        <v>2015</v>
      </c>
      <c r="D591" s="28" t="s">
        <v>4</v>
      </c>
      <c r="E591" s="28" t="s">
        <v>13</v>
      </c>
      <c r="F591" s="28">
        <v>34539</v>
      </c>
    </row>
    <row r="592" spans="1:6">
      <c r="A592" s="28" t="s">
        <v>39</v>
      </c>
      <c r="B592" s="28" t="s">
        <v>32</v>
      </c>
      <c r="C592" s="28">
        <v>2016</v>
      </c>
      <c r="D592" s="28" t="s">
        <v>4</v>
      </c>
      <c r="E592" s="28" t="s">
        <v>13</v>
      </c>
      <c r="F592" s="28">
        <v>102114</v>
      </c>
    </row>
    <row r="593" spans="1:6">
      <c r="A593" s="28" t="s">
        <v>39</v>
      </c>
      <c r="B593" s="28" t="s">
        <v>32</v>
      </c>
      <c r="C593" s="28">
        <v>2017</v>
      </c>
      <c r="D593" s="28" t="s">
        <v>4</v>
      </c>
      <c r="E593" s="28" t="s">
        <v>13</v>
      </c>
      <c r="F593" s="28">
        <v>146029</v>
      </c>
    </row>
    <row r="594" spans="1:6">
      <c r="A594" s="28" t="s">
        <v>39</v>
      </c>
      <c r="B594" s="28" t="s">
        <v>32</v>
      </c>
      <c r="C594" s="28">
        <v>2010</v>
      </c>
      <c r="D594" s="28" t="s">
        <v>4</v>
      </c>
      <c r="E594" s="28" t="s">
        <v>14</v>
      </c>
      <c r="F594" s="28">
        <v>12819.118</v>
      </c>
    </row>
    <row r="595" spans="1:6">
      <c r="A595" s="28" t="s">
        <v>39</v>
      </c>
      <c r="B595" s="28" t="s">
        <v>32</v>
      </c>
      <c r="C595" s="28">
        <v>2011</v>
      </c>
      <c r="D595" s="28" t="s">
        <v>4</v>
      </c>
      <c r="E595" s="28" t="s">
        <v>14</v>
      </c>
      <c r="F595" s="28">
        <v>15812.4</v>
      </c>
    </row>
    <row r="596" spans="1:6">
      <c r="A596" s="28" t="s">
        <v>39</v>
      </c>
      <c r="B596" s="28" t="s">
        <v>32</v>
      </c>
      <c r="C596" s="28">
        <v>2012</v>
      </c>
      <c r="D596" s="28" t="s">
        <v>4</v>
      </c>
      <c r="E596" s="28" t="s">
        <v>14</v>
      </c>
      <c r="F596" s="28">
        <v>14422.907808657101</v>
      </c>
    </row>
    <row r="597" spans="1:6">
      <c r="A597" s="28" t="s">
        <v>39</v>
      </c>
      <c r="B597" s="28" t="s">
        <v>32</v>
      </c>
      <c r="C597" s="28">
        <v>2013</v>
      </c>
      <c r="D597" s="28" t="s">
        <v>4</v>
      </c>
      <c r="E597" s="28" t="s">
        <v>14</v>
      </c>
      <c r="F597" s="28">
        <v>12949.214585141101</v>
      </c>
    </row>
    <row r="598" spans="1:6">
      <c r="A598" s="28" t="s">
        <v>39</v>
      </c>
      <c r="B598" s="28" t="s">
        <v>32</v>
      </c>
      <c r="C598" s="28">
        <v>2014</v>
      </c>
      <c r="D598" s="28" t="s">
        <v>4</v>
      </c>
      <c r="E598" s="28" t="s">
        <v>14</v>
      </c>
      <c r="F598" s="28">
        <v>5614.0594115723197</v>
      </c>
    </row>
    <row r="599" spans="1:6">
      <c r="A599" s="28" t="s">
        <v>39</v>
      </c>
      <c r="B599" s="28" t="s">
        <v>32</v>
      </c>
      <c r="C599" s="28">
        <v>2015</v>
      </c>
      <c r="D599" s="28" t="s">
        <v>4</v>
      </c>
      <c r="E599" s="28" t="s">
        <v>14</v>
      </c>
      <c r="F599" s="28">
        <v>5305.4154140831797</v>
      </c>
    </row>
    <row r="600" spans="1:6">
      <c r="A600" s="28" t="s">
        <v>39</v>
      </c>
      <c r="B600" s="28" t="s">
        <v>32</v>
      </c>
      <c r="C600" s="28">
        <v>2016</v>
      </c>
      <c r="D600" s="28" t="s">
        <v>4</v>
      </c>
      <c r="E600" s="28" t="s">
        <v>14</v>
      </c>
      <c r="F600" s="28">
        <v>6464.95287428141</v>
      </c>
    </row>
    <row r="601" spans="1:6">
      <c r="A601" s="28" t="s">
        <v>39</v>
      </c>
      <c r="B601" s="28" t="s">
        <v>32</v>
      </c>
      <c r="C601" s="28">
        <v>2017</v>
      </c>
      <c r="D601" s="28" t="s">
        <v>4</v>
      </c>
      <c r="E601" s="28" t="s">
        <v>14</v>
      </c>
      <c r="F601" s="28">
        <v>7943.0453366481397</v>
      </c>
    </row>
    <row r="602" spans="1:6">
      <c r="A602" s="28" t="s">
        <v>39</v>
      </c>
      <c r="B602" s="28" t="s">
        <v>32</v>
      </c>
      <c r="C602" s="28">
        <v>2010</v>
      </c>
      <c r="D602" s="28" t="s">
        <v>4</v>
      </c>
      <c r="E602" s="28" t="s">
        <v>15</v>
      </c>
      <c r="F602" s="28">
        <v>-574.91399999999999</v>
      </c>
    </row>
    <row r="603" spans="1:6">
      <c r="A603" s="28" t="s">
        <v>39</v>
      </c>
      <c r="B603" s="28" t="s">
        <v>32</v>
      </c>
      <c r="C603" s="28">
        <v>2011</v>
      </c>
      <c r="D603" s="28" t="s">
        <v>4</v>
      </c>
      <c r="E603" s="28" t="s">
        <v>15</v>
      </c>
      <c r="F603" s="28">
        <v>2034.8330000000001</v>
      </c>
    </row>
    <row r="604" spans="1:6">
      <c r="A604" s="28" t="s">
        <v>39</v>
      </c>
      <c r="B604" s="28" t="s">
        <v>32</v>
      </c>
      <c r="C604" s="28">
        <v>2012</v>
      </c>
      <c r="D604" s="28" t="s">
        <v>4</v>
      </c>
      <c r="E604" s="28" t="s">
        <v>15</v>
      </c>
      <c r="F604" s="28">
        <v>775.02461091704095</v>
      </c>
    </row>
    <row r="605" spans="1:6">
      <c r="A605" s="28" t="s">
        <v>39</v>
      </c>
      <c r="B605" s="28" t="s">
        <v>32</v>
      </c>
      <c r="C605" s="28">
        <v>2013</v>
      </c>
      <c r="D605" s="28" t="s">
        <v>4</v>
      </c>
      <c r="E605" s="28" t="s">
        <v>15</v>
      </c>
      <c r="F605" s="28">
        <v>77.315455312076097</v>
      </c>
    </row>
    <row r="606" spans="1:6">
      <c r="A606" s="28" t="s">
        <v>39</v>
      </c>
      <c r="B606" s="28" t="s">
        <v>32</v>
      </c>
      <c r="C606" s="28">
        <v>2014</v>
      </c>
      <c r="D606" s="28" t="s">
        <v>4</v>
      </c>
      <c r="E606" s="28" t="s">
        <v>15</v>
      </c>
      <c r="F606" s="28">
        <v>-943.53909816134103</v>
      </c>
    </row>
    <row r="607" spans="1:6">
      <c r="A607" s="28" t="s">
        <v>39</v>
      </c>
      <c r="B607" s="28" t="s">
        <v>32</v>
      </c>
      <c r="C607" s="28">
        <v>2015</v>
      </c>
      <c r="D607" s="28" t="s">
        <v>4</v>
      </c>
      <c r="E607" s="28" t="s">
        <v>15</v>
      </c>
      <c r="F607" s="28">
        <v>473.898469732872</v>
      </c>
    </row>
    <row r="608" spans="1:6">
      <c r="A608" s="28" t="s">
        <v>39</v>
      </c>
      <c r="B608" s="28" t="s">
        <v>32</v>
      </c>
      <c r="C608" s="28">
        <v>2016</v>
      </c>
      <c r="D608" s="28" t="s">
        <v>4</v>
      </c>
      <c r="E608" s="28" t="s">
        <v>15</v>
      </c>
      <c r="F608" s="28">
        <v>1683.46882217852</v>
      </c>
    </row>
    <row r="609" spans="1:6">
      <c r="A609" s="28" t="s">
        <v>39</v>
      </c>
      <c r="B609" s="28" t="s">
        <v>32</v>
      </c>
      <c r="C609" s="28">
        <v>2017</v>
      </c>
      <c r="D609" s="28" t="s">
        <v>4</v>
      </c>
      <c r="E609" s="28" t="s">
        <v>15</v>
      </c>
      <c r="F609" s="28">
        <v>2535.21689160802</v>
      </c>
    </row>
    <row r="610" spans="1:6">
      <c r="A610" s="28" t="s">
        <v>39</v>
      </c>
      <c r="B610" s="28" t="s">
        <v>32</v>
      </c>
      <c r="C610" s="28">
        <v>2010</v>
      </c>
      <c r="D610" s="28" t="s">
        <v>7</v>
      </c>
      <c r="E610" s="28" t="s">
        <v>16</v>
      </c>
      <c r="F610" s="28">
        <v>67135.825826700006</v>
      </c>
    </row>
    <row r="611" spans="1:6">
      <c r="A611" s="28" t="s">
        <v>39</v>
      </c>
      <c r="B611" s="28" t="s">
        <v>32</v>
      </c>
      <c r="C611" s="28">
        <v>2011</v>
      </c>
      <c r="D611" s="28" t="s">
        <v>7</v>
      </c>
      <c r="E611" s="28" t="s">
        <v>16</v>
      </c>
      <c r="F611" s="28">
        <v>85997.457297200002</v>
      </c>
    </row>
    <row r="612" spans="1:6">
      <c r="A612" s="28" t="s">
        <v>39</v>
      </c>
      <c r="B612" s="28" t="s">
        <v>32</v>
      </c>
      <c r="C612" s="28">
        <v>2012</v>
      </c>
      <c r="D612" s="28" t="s">
        <v>7</v>
      </c>
      <c r="E612" s="28" t="s">
        <v>16</v>
      </c>
      <c r="F612" s="28">
        <v>52419.491999999998</v>
      </c>
    </row>
    <row r="613" spans="1:6">
      <c r="A613" s="28" t="s">
        <v>39</v>
      </c>
      <c r="B613" s="28" t="s">
        <v>32</v>
      </c>
      <c r="C613" s="28">
        <v>2013</v>
      </c>
      <c r="D613" s="28" t="s">
        <v>7</v>
      </c>
      <c r="E613" s="28" t="s">
        <v>16</v>
      </c>
      <c r="F613" s="28">
        <v>50066.917999999998</v>
      </c>
    </row>
    <row r="614" spans="1:6">
      <c r="A614" s="28" t="s">
        <v>39</v>
      </c>
      <c r="B614" s="28" t="s">
        <v>32</v>
      </c>
      <c r="C614" s="28">
        <v>2014</v>
      </c>
      <c r="D614" s="28" t="s">
        <v>7</v>
      </c>
      <c r="E614" s="28" t="s">
        <v>16</v>
      </c>
      <c r="F614" s="28">
        <v>74045</v>
      </c>
    </row>
    <row r="615" spans="1:6">
      <c r="A615" s="28" t="s">
        <v>39</v>
      </c>
      <c r="B615" s="28" t="s">
        <v>32</v>
      </c>
      <c r="C615" s="28">
        <v>2015</v>
      </c>
      <c r="D615" s="28" t="s">
        <v>7</v>
      </c>
      <c r="E615" s="28" t="s">
        <v>16</v>
      </c>
      <c r="F615" s="28">
        <v>116508</v>
      </c>
    </row>
    <row r="616" spans="1:6">
      <c r="A616" s="28" t="s">
        <v>39</v>
      </c>
      <c r="B616" s="28" t="s">
        <v>32</v>
      </c>
      <c r="C616" s="28">
        <v>2016</v>
      </c>
      <c r="D616" s="28" t="s">
        <v>7</v>
      </c>
      <c r="E616" s="28" t="s">
        <v>16</v>
      </c>
      <c r="F616" s="28">
        <v>111131</v>
      </c>
    </row>
    <row r="617" spans="1:6">
      <c r="A617" s="28" t="s">
        <v>39</v>
      </c>
      <c r="B617" s="28" t="s">
        <v>32</v>
      </c>
      <c r="C617" s="28">
        <v>2017</v>
      </c>
      <c r="D617" s="28" t="s">
        <v>7</v>
      </c>
      <c r="E617" s="28" t="s">
        <v>16</v>
      </c>
      <c r="F617" s="28">
        <v>129633</v>
      </c>
    </row>
    <row r="618" spans="1:6">
      <c r="A618" s="28" t="s">
        <v>39</v>
      </c>
      <c r="B618" s="28" t="s">
        <v>32</v>
      </c>
      <c r="C618" s="28">
        <v>2010</v>
      </c>
      <c r="D618" s="28" t="s">
        <v>7</v>
      </c>
      <c r="E618" s="28" t="s">
        <v>17</v>
      </c>
      <c r="F618" s="28">
        <v>2202.8429999999998</v>
      </c>
    </row>
    <row r="619" spans="1:6">
      <c r="A619" s="28" t="s">
        <v>39</v>
      </c>
      <c r="B619" s="28" t="s">
        <v>32</v>
      </c>
      <c r="C619" s="28">
        <v>2011</v>
      </c>
      <c r="D619" s="28" t="s">
        <v>7</v>
      </c>
      <c r="E619" s="28" t="s">
        <v>17</v>
      </c>
      <c r="F619" s="28">
        <v>2671.0520000000001</v>
      </c>
    </row>
    <row r="620" spans="1:6">
      <c r="A620" s="28" t="s">
        <v>39</v>
      </c>
      <c r="B620" s="28" t="s">
        <v>32</v>
      </c>
      <c r="C620" s="28">
        <v>2012</v>
      </c>
      <c r="D620" s="28" t="s">
        <v>7</v>
      </c>
      <c r="E620" s="28" t="s">
        <v>17</v>
      </c>
      <c r="F620" s="28">
        <v>1725.8752761526</v>
      </c>
    </row>
    <row r="621" spans="1:6">
      <c r="A621" s="28" t="s">
        <v>39</v>
      </c>
      <c r="B621" s="28" t="s">
        <v>32</v>
      </c>
      <c r="C621" s="28">
        <v>2013</v>
      </c>
      <c r="D621" s="28" t="s">
        <v>7</v>
      </c>
      <c r="E621" s="28" t="s">
        <v>17</v>
      </c>
      <c r="F621" s="28">
        <v>1529.73241020251</v>
      </c>
    </row>
    <row r="622" spans="1:6">
      <c r="A622" s="28" t="s">
        <v>39</v>
      </c>
      <c r="B622" s="28" t="s">
        <v>32</v>
      </c>
      <c r="C622" s="28">
        <v>2014</v>
      </c>
      <c r="D622" s="28" t="s">
        <v>7</v>
      </c>
      <c r="E622" s="28" t="s">
        <v>17</v>
      </c>
      <c r="F622" s="28">
        <v>1316.1590091435201</v>
      </c>
    </row>
    <row r="623" spans="1:6">
      <c r="A623" s="28" t="s">
        <v>39</v>
      </c>
      <c r="B623" s="28" t="s">
        <v>32</v>
      </c>
      <c r="C623" s="28">
        <v>2015</v>
      </c>
      <c r="D623" s="28" t="s">
        <v>7</v>
      </c>
      <c r="E623" s="28" t="s">
        <v>17</v>
      </c>
      <c r="F623" s="28">
        <v>1598.5686589547299</v>
      </c>
    </row>
    <row r="624" spans="1:6">
      <c r="A624" s="28" t="s">
        <v>39</v>
      </c>
      <c r="B624" s="28" t="s">
        <v>32</v>
      </c>
      <c r="C624" s="28">
        <v>2016</v>
      </c>
      <c r="D624" s="28" t="s">
        <v>7</v>
      </c>
      <c r="E624" s="28" t="s">
        <v>17</v>
      </c>
      <c r="F624" s="28">
        <v>1832.1246222606201</v>
      </c>
    </row>
    <row r="625" spans="1:6">
      <c r="A625" s="28" t="s">
        <v>39</v>
      </c>
      <c r="B625" s="28" t="s">
        <v>32</v>
      </c>
      <c r="C625" s="28">
        <v>2017</v>
      </c>
      <c r="D625" s="28" t="s">
        <v>7</v>
      </c>
      <c r="E625" s="28" t="s">
        <v>17</v>
      </c>
      <c r="F625" s="28">
        <v>2250.5651022045099</v>
      </c>
    </row>
    <row r="626" spans="1:6">
      <c r="A626" s="28" t="s">
        <v>39</v>
      </c>
      <c r="B626" s="28" t="s">
        <v>32</v>
      </c>
      <c r="C626" s="28">
        <v>2010</v>
      </c>
      <c r="D626" s="28" t="s">
        <v>20</v>
      </c>
      <c r="E626" s="28" t="s">
        <v>18</v>
      </c>
      <c r="F626" s="28">
        <v>1005.2</v>
      </c>
    </row>
    <row r="627" spans="1:6">
      <c r="A627" s="28" t="s">
        <v>39</v>
      </c>
      <c r="B627" s="28" t="s">
        <v>32</v>
      </c>
      <c r="C627" s="28">
        <v>2011</v>
      </c>
      <c r="D627" s="28" t="s">
        <v>20</v>
      </c>
      <c r="E627" s="28" t="s">
        <v>18</v>
      </c>
      <c r="F627" s="28">
        <v>1005.2</v>
      </c>
    </row>
    <row r="628" spans="1:6">
      <c r="A628" s="28" t="s">
        <v>39</v>
      </c>
      <c r="B628" s="28" t="s">
        <v>32</v>
      </c>
      <c r="C628" s="28">
        <v>2012</v>
      </c>
      <c r="D628" s="28" t="s">
        <v>20</v>
      </c>
      <c r="E628" s="28" t="s">
        <v>18</v>
      </c>
      <c r="F628" s="28">
        <v>839.8</v>
      </c>
    </row>
    <row r="629" spans="1:6">
      <c r="A629" s="28" t="s">
        <v>39</v>
      </c>
      <c r="B629" s="28" t="s">
        <v>32</v>
      </c>
      <c r="C629" s="28">
        <v>2013</v>
      </c>
      <c r="D629" s="28" t="s">
        <v>20</v>
      </c>
      <c r="E629" s="28" t="s">
        <v>18</v>
      </c>
      <c r="F629" s="28">
        <v>810.6</v>
      </c>
    </row>
    <row r="630" spans="1:6">
      <c r="A630" s="28" t="s">
        <v>39</v>
      </c>
      <c r="B630" s="28" t="s">
        <v>32</v>
      </c>
      <c r="C630" s="28">
        <v>2014</v>
      </c>
      <c r="D630" s="28" t="s">
        <v>20</v>
      </c>
      <c r="E630" s="28" t="s">
        <v>18</v>
      </c>
      <c r="F630" s="28">
        <v>810.6</v>
      </c>
    </row>
    <row r="631" spans="1:6">
      <c r="A631" s="28" t="s">
        <v>39</v>
      </c>
      <c r="B631" s="28" t="s">
        <v>32</v>
      </c>
      <c r="C631" s="28">
        <v>2015</v>
      </c>
      <c r="D631" s="28" t="s">
        <v>20</v>
      </c>
      <c r="E631" s="28" t="s">
        <v>18</v>
      </c>
      <c r="F631" s="28">
        <v>810.6</v>
      </c>
    </row>
    <row r="632" spans="1:6">
      <c r="A632" s="28" t="s">
        <v>39</v>
      </c>
      <c r="B632" s="28" t="s">
        <v>32</v>
      </c>
      <c r="C632" s="28">
        <v>2016</v>
      </c>
      <c r="D632" s="28" t="s">
        <v>20</v>
      </c>
      <c r="E632" s="28" t="s">
        <v>18</v>
      </c>
      <c r="F632" s="28">
        <v>810.6</v>
      </c>
    </row>
    <row r="633" spans="1:6">
      <c r="A633" s="28" t="s">
        <v>39</v>
      </c>
      <c r="B633" s="28" t="s">
        <v>32</v>
      </c>
      <c r="C633" s="28">
        <v>2017</v>
      </c>
      <c r="D633" s="28" t="s">
        <v>20</v>
      </c>
      <c r="E633" s="28" t="s">
        <v>18</v>
      </c>
      <c r="F633" s="28">
        <v>811.7</v>
      </c>
    </row>
    <row r="634" spans="1:6">
      <c r="A634" s="28" t="s">
        <v>39</v>
      </c>
      <c r="B634" s="28" t="s">
        <v>32</v>
      </c>
      <c r="C634" s="28">
        <v>2010</v>
      </c>
      <c r="D634" s="28" t="s">
        <v>20</v>
      </c>
      <c r="E634" s="28" t="s">
        <v>19</v>
      </c>
      <c r="F634" s="28">
        <v>519.9</v>
      </c>
    </row>
    <row r="635" spans="1:6">
      <c r="A635" s="28" t="s">
        <v>39</v>
      </c>
      <c r="B635" s="28" t="s">
        <v>32</v>
      </c>
      <c r="C635" s="28">
        <v>2011</v>
      </c>
      <c r="D635" s="28" t="s">
        <v>20</v>
      </c>
      <c r="E635" s="28" t="s">
        <v>19</v>
      </c>
      <c r="F635" s="28">
        <v>363.8</v>
      </c>
    </row>
    <row r="636" spans="1:6">
      <c r="A636" s="28" t="s">
        <v>39</v>
      </c>
      <c r="B636" s="28" t="s">
        <v>32</v>
      </c>
      <c r="C636" s="28">
        <v>2012</v>
      </c>
      <c r="D636" s="28" t="s">
        <v>20</v>
      </c>
      <c r="E636" s="28" t="s">
        <v>19</v>
      </c>
      <c r="F636" s="28">
        <v>369.1</v>
      </c>
    </row>
    <row r="637" spans="1:6">
      <c r="A637" s="28" t="s">
        <v>39</v>
      </c>
      <c r="B637" s="28" t="s">
        <v>32</v>
      </c>
      <c r="C637" s="28">
        <v>2013</v>
      </c>
      <c r="D637" s="28" t="s">
        <v>20</v>
      </c>
      <c r="E637" s="28" t="s">
        <v>19</v>
      </c>
      <c r="F637" s="28">
        <v>319.5</v>
      </c>
    </row>
    <row r="638" spans="1:6">
      <c r="A638" s="28" t="s">
        <v>39</v>
      </c>
      <c r="B638" s="28" t="s">
        <v>32</v>
      </c>
      <c r="C638" s="28">
        <v>2014</v>
      </c>
      <c r="D638" s="28" t="s">
        <v>20</v>
      </c>
      <c r="E638" s="28" t="s">
        <v>19</v>
      </c>
      <c r="F638" s="28">
        <v>501.9</v>
      </c>
    </row>
    <row r="639" spans="1:6">
      <c r="A639" s="28" t="s">
        <v>39</v>
      </c>
      <c r="B639" s="28" t="s">
        <v>32</v>
      </c>
      <c r="C639" s="28">
        <v>2015</v>
      </c>
      <c r="D639" s="28" t="s">
        <v>20</v>
      </c>
      <c r="E639" s="28" t="s">
        <v>19</v>
      </c>
      <c r="F639" s="28">
        <v>609.5</v>
      </c>
    </row>
    <row r="640" spans="1:6">
      <c r="A640" s="28" t="s">
        <v>39</v>
      </c>
      <c r="B640" s="28" t="s">
        <v>32</v>
      </c>
      <c r="C640" s="28">
        <v>2016</v>
      </c>
      <c r="D640" s="28" t="s">
        <v>20</v>
      </c>
      <c r="E640" s="28" t="s">
        <v>19</v>
      </c>
      <c r="F640" s="28">
        <v>942.2</v>
      </c>
    </row>
    <row r="641" spans="1:6">
      <c r="A641" s="28" t="s">
        <v>39</v>
      </c>
      <c r="B641" s="28" t="s">
        <v>32</v>
      </c>
      <c r="C641" s="28">
        <v>2017</v>
      </c>
      <c r="D641" s="28" t="s">
        <v>20</v>
      </c>
      <c r="E641" s="28" t="s">
        <v>19</v>
      </c>
      <c r="F641" s="28">
        <v>887.4</v>
      </c>
    </row>
    <row r="642" spans="1:6">
      <c r="A642" s="28" t="s">
        <v>40</v>
      </c>
      <c r="B642" s="28" t="s">
        <v>32</v>
      </c>
      <c r="C642" s="28">
        <v>2010</v>
      </c>
      <c r="D642" s="28" t="s">
        <v>1</v>
      </c>
      <c r="E642" s="28" t="s">
        <v>2</v>
      </c>
      <c r="F642" s="28">
        <v>419148.80570000003</v>
      </c>
    </row>
    <row r="643" spans="1:6">
      <c r="A643" s="28" t="s">
        <v>40</v>
      </c>
      <c r="B643" s="28" t="s">
        <v>32</v>
      </c>
      <c r="C643" s="28">
        <v>2011</v>
      </c>
      <c r="D643" s="28" t="s">
        <v>1</v>
      </c>
      <c r="E643" s="28" t="s">
        <v>2</v>
      </c>
      <c r="F643" s="28">
        <v>419482.98690000002</v>
      </c>
    </row>
    <row r="644" spans="1:6">
      <c r="A644" s="28" t="s">
        <v>40</v>
      </c>
      <c r="B644" s="28" t="s">
        <v>32</v>
      </c>
      <c r="C644" s="28">
        <v>2012</v>
      </c>
      <c r="D644" s="28" t="s">
        <v>1</v>
      </c>
      <c r="E644" s="28" t="s">
        <v>2</v>
      </c>
      <c r="F644" s="28">
        <v>400713</v>
      </c>
    </row>
    <row r="645" spans="1:6">
      <c r="A645" s="28" t="s">
        <v>40</v>
      </c>
      <c r="B645" s="28" t="s">
        <v>32</v>
      </c>
      <c r="C645" s="28">
        <v>2013</v>
      </c>
      <c r="D645" s="28" t="s">
        <v>1</v>
      </c>
      <c r="E645" s="28" t="s">
        <v>2</v>
      </c>
      <c r="F645" s="28">
        <v>316537</v>
      </c>
    </row>
    <row r="646" spans="1:6">
      <c r="A646" s="28" t="s">
        <v>40</v>
      </c>
      <c r="B646" s="28" t="s">
        <v>32</v>
      </c>
      <c r="C646" s="28">
        <v>2014</v>
      </c>
      <c r="D646" s="28" t="s">
        <v>1</v>
      </c>
      <c r="E646" s="28" t="s">
        <v>2</v>
      </c>
      <c r="F646" s="28">
        <v>314851</v>
      </c>
    </row>
    <row r="647" spans="1:6">
      <c r="A647" s="28" t="s">
        <v>40</v>
      </c>
      <c r="B647" s="28" t="s">
        <v>32</v>
      </c>
      <c r="C647" s="28">
        <v>2015</v>
      </c>
      <c r="D647" s="28" t="s">
        <v>1</v>
      </c>
      <c r="E647" s="28" t="s">
        <v>2</v>
      </c>
      <c r="F647" s="28">
        <v>298344</v>
      </c>
    </row>
    <row r="648" spans="1:6">
      <c r="A648" s="28" t="s">
        <v>40</v>
      </c>
      <c r="B648" s="28" t="s">
        <v>32</v>
      </c>
      <c r="C648" s="28">
        <v>2016</v>
      </c>
      <c r="D648" s="28" t="s">
        <v>1</v>
      </c>
      <c r="E648" s="28" t="s">
        <v>2</v>
      </c>
      <c r="F648" s="28">
        <v>270624</v>
      </c>
    </row>
    <row r="649" spans="1:6">
      <c r="A649" s="28" t="s">
        <v>40</v>
      </c>
      <c r="B649" s="28" t="s">
        <v>32</v>
      </c>
      <c r="C649" s="28">
        <v>2017</v>
      </c>
      <c r="D649" s="28" t="s">
        <v>1</v>
      </c>
      <c r="E649" s="28" t="s">
        <v>2</v>
      </c>
      <c r="F649" s="28">
        <v>288376</v>
      </c>
    </row>
    <row r="650" spans="1:6">
      <c r="A650" s="28" t="s">
        <v>40</v>
      </c>
      <c r="B650" s="28" t="s">
        <v>32</v>
      </c>
      <c r="C650" s="28">
        <v>2010</v>
      </c>
      <c r="D650" s="28" t="s">
        <v>1</v>
      </c>
      <c r="E650" s="28" t="s">
        <v>3</v>
      </c>
      <c r="F650" s="28">
        <v>90973.546499999997</v>
      </c>
    </row>
    <row r="651" spans="1:6">
      <c r="A651" s="28" t="s">
        <v>40</v>
      </c>
      <c r="B651" s="28" t="s">
        <v>32</v>
      </c>
      <c r="C651" s="28">
        <v>2011</v>
      </c>
      <c r="D651" s="28" t="s">
        <v>1</v>
      </c>
      <c r="E651" s="28" t="s">
        <v>3</v>
      </c>
      <c r="F651" s="28">
        <v>105152.4626</v>
      </c>
    </row>
    <row r="652" spans="1:6">
      <c r="A652" s="28" t="s">
        <v>40</v>
      </c>
      <c r="B652" s="28" t="s">
        <v>32</v>
      </c>
      <c r="C652" s="28">
        <v>2012</v>
      </c>
      <c r="D652" s="28" t="s">
        <v>1</v>
      </c>
      <c r="E652" s="28" t="s">
        <v>3</v>
      </c>
      <c r="F652" s="28">
        <v>94124</v>
      </c>
    </row>
    <row r="653" spans="1:6">
      <c r="A653" s="28" t="s">
        <v>40</v>
      </c>
      <c r="B653" s="28" t="s">
        <v>32</v>
      </c>
      <c r="C653" s="28">
        <v>2013</v>
      </c>
      <c r="D653" s="28" t="s">
        <v>1</v>
      </c>
      <c r="E653" s="28" t="s">
        <v>3</v>
      </c>
      <c r="F653" s="28">
        <v>81033</v>
      </c>
    </row>
    <row r="654" spans="1:6">
      <c r="A654" s="28" t="s">
        <v>40</v>
      </c>
      <c r="B654" s="28" t="s">
        <v>32</v>
      </c>
      <c r="C654" s="28">
        <v>2014</v>
      </c>
      <c r="D654" s="28" t="s">
        <v>1</v>
      </c>
      <c r="E654" s="28" t="s">
        <v>3</v>
      </c>
      <c r="F654" s="28">
        <v>127144</v>
      </c>
    </row>
    <row r="655" spans="1:6">
      <c r="A655" s="28" t="s">
        <v>40</v>
      </c>
      <c r="B655" s="28" t="s">
        <v>32</v>
      </c>
      <c r="C655" s="28">
        <v>2015</v>
      </c>
      <c r="D655" s="28" t="s">
        <v>1</v>
      </c>
      <c r="E655" s="28" t="s">
        <v>3</v>
      </c>
      <c r="F655" s="28">
        <v>150432</v>
      </c>
    </row>
    <row r="656" spans="1:6">
      <c r="A656" s="28" t="s">
        <v>40</v>
      </c>
      <c r="B656" s="28" t="s">
        <v>32</v>
      </c>
      <c r="C656" s="28">
        <v>2016</v>
      </c>
      <c r="D656" s="28" t="s">
        <v>1</v>
      </c>
      <c r="E656" s="28" t="s">
        <v>3</v>
      </c>
      <c r="F656" s="28">
        <v>123680</v>
      </c>
    </row>
    <row r="657" spans="1:6">
      <c r="A657" s="28" t="s">
        <v>40</v>
      </c>
      <c r="B657" s="28" t="s">
        <v>32</v>
      </c>
      <c r="C657" s="28">
        <v>2017</v>
      </c>
      <c r="D657" s="28" t="s">
        <v>1</v>
      </c>
      <c r="E657" s="28" t="s">
        <v>3</v>
      </c>
      <c r="F657" s="28">
        <v>168026</v>
      </c>
    </row>
    <row r="658" spans="1:6">
      <c r="A658" s="28" t="s">
        <v>40</v>
      </c>
      <c r="B658" s="28" t="s">
        <v>32</v>
      </c>
      <c r="C658" s="28">
        <v>2010</v>
      </c>
      <c r="D658" s="28" t="s">
        <v>1</v>
      </c>
      <c r="E658" s="28" t="s">
        <v>5</v>
      </c>
      <c r="F658" s="28">
        <v>510122.35220000002</v>
      </c>
    </row>
    <row r="659" spans="1:6">
      <c r="A659" s="28" t="s">
        <v>40</v>
      </c>
      <c r="B659" s="28" t="s">
        <v>32</v>
      </c>
      <c r="C659" s="28">
        <v>2011</v>
      </c>
      <c r="D659" s="28" t="s">
        <v>1</v>
      </c>
      <c r="E659" s="28" t="s">
        <v>5</v>
      </c>
      <c r="F659" s="28">
        <v>524635.44949999999</v>
      </c>
    </row>
    <row r="660" spans="1:6">
      <c r="A660" s="28" t="s">
        <v>40</v>
      </c>
      <c r="B660" s="28" t="s">
        <v>32</v>
      </c>
      <c r="C660" s="28">
        <v>2012</v>
      </c>
      <c r="D660" s="28" t="s">
        <v>1</v>
      </c>
      <c r="E660" s="28" t="s">
        <v>5</v>
      </c>
      <c r="F660" s="28">
        <v>494837</v>
      </c>
    </row>
    <row r="661" spans="1:6">
      <c r="A661" s="28" t="s">
        <v>40</v>
      </c>
      <c r="B661" s="28" t="s">
        <v>32</v>
      </c>
      <c r="C661" s="28">
        <v>2013</v>
      </c>
      <c r="D661" s="28" t="s">
        <v>1</v>
      </c>
      <c r="E661" s="28" t="s">
        <v>5</v>
      </c>
      <c r="F661" s="28">
        <v>397570</v>
      </c>
    </row>
    <row r="662" spans="1:6">
      <c r="A662" s="28" t="s">
        <v>40</v>
      </c>
      <c r="B662" s="28" t="s">
        <v>32</v>
      </c>
      <c r="C662" s="28">
        <v>2014</v>
      </c>
      <c r="D662" s="28" t="s">
        <v>1</v>
      </c>
      <c r="E662" s="28" t="s">
        <v>5</v>
      </c>
      <c r="F662" s="28">
        <v>441995</v>
      </c>
    </row>
    <row r="663" spans="1:6">
      <c r="A663" s="28" t="s">
        <v>40</v>
      </c>
      <c r="B663" s="28" t="s">
        <v>32</v>
      </c>
      <c r="C663" s="28">
        <v>2015</v>
      </c>
      <c r="D663" s="28" t="s">
        <v>1</v>
      </c>
      <c r="E663" s="28" t="s">
        <v>5</v>
      </c>
      <c r="F663" s="28">
        <v>448776</v>
      </c>
    </row>
    <row r="664" spans="1:6">
      <c r="A664" s="28" t="s">
        <v>40</v>
      </c>
      <c r="B664" s="28" t="s">
        <v>32</v>
      </c>
      <c r="C664" s="28">
        <v>2016</v>
      </c>
      <c r="D664" s="28" t="s">
        <v>1</v>
      </c>
      <c r="E664" s="28" t="s">
        <v>5</v>
      </c>
      <c r="F664" s="28">
        <v>394304</v>
      </c>
    </row>
    <row r="665" spans="1:6">
      <c r="A665" s="28" t="s">
        <v>40</v>
      </c>
      <c r="B665" s="28" t="s">
        <v>32</v>
      </c>
      <c r="C665" s="28">
        <v>2017</v>
      </c>
      <c r="D665" s="28" t="s">
        <v>1</v>
      </c>
      <c r="E665" s="28" t="s">
        <v>5</v>
      </c>
      <c r="F665" s="28">
        <v>456402</v>
      </c>
    </row>
    <row r="666" spans="1:6">
      <c r="A666" s="28" t="s">
        <v>40</v>
      </c>
      <c r="B666" s="28" t="s">
        <v>32</v>
      </c>
      <c r="C666" s="28">
        <v>2010</v>
      </c>
      <c r="D666" s="28" t="s">
        <v>1</v>
      </c>
      <c r="E666" s="28" t="s">
        <v>6</v>
      </c>
      <c r="F666" s="28">
        <v>325676.15340000001</v>
      </c>
    </row>
    <row r="667" spans="1:6">
      <c r="A667" s="28" t="s">
        <v>40</v>
      </c>
      <c r="B667" s="28" t="s">
        <v>32</v>
      </c>
      <c r="C667" s="28">
        <v>2011</v>
      </c>
      <c r="D667" s="28" t="s">
        <v>1</v>
      </c>
      <c r="E667" s="28" t="s">
        <v>6</v>
      </c>
      <c r="F667" s="28">
        <v>304188.75280000002</v>
      </c>
    </row>
    <row r="668" spans="1:6">
      <c r="A668" s="28" t="s">
        <v>40</v>
      </c>
      <c r="B668" s="28" t="s">
        <v>32</v>
      </c>
      <c r="C668" s="28">
        <v>2012</v>
      </c>
      <c r="D668" s="28" t="s">
        <v>1</v>
      </c>
      <c r="E668" s="28" t="s">
        <v>6</v>
      </c>
      <c r="F668" s="28">
        <v>298248</v>
      </c>
    </row>
    <row r="669" spans="1:6">
      <c r="A669" s="28" t="s">
        <v>40</v>
      </c>
      <c r="B669" s="28" t="s">
        <v>32</v>
      </c>
      <c r="C669" s="28">
        <v>2013</v>
      </c>
      <c r="D669" s="28" t="s">
        <v>1</v>
      </c>
      <c r="E669" s="28" t="s">
        <v>6</v>
      </c>
      <c r="F669" s="28">
        <v>224532</v>
      </c>
    </row>
    <row r="670" spans="1:6">
      <c r="A670" s="28" t="s">
        <v>40</v>
      </c>
      <c r="B670" s="28" t="s">
        <v>32</v>
      </c>
      <c r="C670" s="28">
        <v>2014</v>
      </c>
      <c r="D670" s="28" t="s">
        <v>1</v>
      </c>
      <c r="E670" s="28" t="s">
        <v>6</v>
      </c>
      <c r="F670" s="28">
        <v>221741</v>
      </c>
    </row>
    <row r="671" spans="1:6">
      <c r="A671" s="28" t="s">
        <v>40</v>
      </c>
      <c r="B671" s="28" t="s">
        <v>32</v>
      </c>
      <c r="C671" s="28">
        <v>2015</v>
      </c>
      <c r="D671" s="28" t="s">
        <v>1</v>
      </c>
      <c r="E671" s="28" t="s">
        <v>6</v>
      </c>
      <c r="F671" s="28">
        <v>242007</v>
      </c>
    </row>
    <row r="672" spans="1:6">
      <c r="A672" s="28" t="s">
        <v>40</v>
      </c>
      <c r="B672" s="28" t="s">
        <v>32</v>
      </c>
      <c r="C672" s="28">
        <v>2016</v>
      </c>
      <c r="D672" s="28" t="s">
        <v>1</v>
      </c>
      <c r="E672" s="28" t="s">
        <v>6</v>
      </c>
      <c r="F672" s="28">
        <v>285727</v>
      </c>
    </row>
    <row r="673" spans="1:6">
      <c r="A673" s="28" t="s">
        <v>40</v>
      </c>
      <c r="B673" s="28" t="s">
        <v>32</v>
      </c>
      <c r="C673" s="28">
        <v>2017</v>
      </c>
      <c r="D673" s="28" t="s">
        <v>1</v>
      </c>
      <c r="E673" s="28" t="s">
        <v>6</v>
      </c>
      <c r="F673" s="28">
        <v>316610</v>
      </c>
    </row>
    <row r="674" spans="1:6">
      <c r="A674" s="28" t="s">
        <v>40</v>
      </c>
      <c r="B674" s="28" t="s">
        <v>32</v>
      </c>
      <c r="C674" s="28">
        <v>2010</v>
      </c>
      <c r="D674" s="28" t="s">
        <v>1</v>
      </c>
      <c r="E674" s="28" t="s">
        <v>8</v>
      </c>
      <c r="F674" s="28">
        <v>120932.3392</v>
      </c>
    </row>
    <row r="675" spans="1:6">
      <c r="A675" s="28" t="s">
        <v>40</v>
      </c>
      <c r="B675" s="28" t="s">
        <v>32</v>
      </c>
      <c r="C675" s="28">
        <v>2011</v>
      </c>
      <c r="D675" s="28" t="s">
        <v>1</v>
      </c>
      <c r="E675" s="28" t="s">
        <v>8</v>
      </c>
      <c r="F675" s="28">
        <v>138314.44560000001</v>
      </c>
    </row>
    <row r="676" spans="1:6">
      <c r="A676" s="28" t="s">
        <v>40</v>
      </c>
      <c r="B676" s="28" t="s">
        <v>32</v>
      </c>
      <c r="C676" s="28">
        <v>2012</v>
      </c>
      <c r="D676" s="28" t="s">
        <v>1</v>
      </c>
      <c r="E676" s="28" t="s">
        <v>8</v>
      </c>
      <c r="F676" s="28">
        <v>108521</v>
      </c>
    </row>
    <row r="677" spans="1:6">
      <c r="A677" s="28" t="s">
        <v>40</v>
      </c>
      <c r="B677" s="28" t="s">
        <v>32</v>
      </c>
      <c r="C677" s="28">
        <v>2013</v>
      </c>
      <c r="D677" s="28" t="s">
        <v>1</v>
      </c>
      <c r="E677" s="28" t="s">
        <v>8</v>
      </c>
      <c r="F677" s="28">
        <v>105454</v>
      </c>
    </row>
    <row r="678" spans="1:6">
      <c r="A678" s="28" t="s">
        <v>40</v>
      </c>
      <c r="B678" s="28" t="s">
        <v>32</v>
      </c>
      <c r="C678" s="28">
        <v>2014</v>
      </c>
      <c r="D678" s="28" t="s">
        <v>1</v>
      </c>
      <c r="E678" s="28" t="s">
        <v>8</v>
      </c>
      <c r="F678" s="28">
        <v>129788</v>
      </c>
    </row>
    <row r="679" spans="1:6">
      <c r="A679" s="28" t="s">
        <v>40</v>
      </c>
      <c r="B679" s="28" t="s">
        <v>32</v>
      </c>
      <c r="C679" s="28">
        <v>2015</v>
      </c>
      <c r="D679" s="28" t="s">
        <v>1</v>
      </c>
      <c r="E679" s="28" t="s">
        <v>8</v>
      </c>
      <c r="F679" s="28">
        <v>103202</v>
      </c>
    </row>
    <row r="680" spans="1:6">
      <c r="A680" s="28" t="s">
        <v>40</v>
      </c>
      <c r="B680" s="28" t="s">
        <v>32</v>
      </c>
      <c r="C680" s="28">
        <v>2016</v>
      </c>
      <c r="D680" s="28" t="s">
        <v>1</v>
      </c>
      <c r="E680" s="28" t="s">
        <v>8</v>
      </c>
      <c r="F680" s="28">
        <v>43855</v>
      </c>
    </row>
    <row r="681" spans="1:6">
      <c r="A681" s="28" t="s">
        <v>40</v>
      </c>
      <c r="B681" s="28" t="s">
        <v>32</v>
      </c>
      <c r="C681" s="28">
        <v>2017</v>
      </c>
      <c r="D681" s="28" t="s">
        <v>1</v>
      </c>
      <c r="E681" s="28" t="s">
        <v>8</v>
      </c>
      <c r="F681" s="28">
        <v>48659</v>
      </c>
    </row>
    <row r="682" spans="1:6">
      <c r="A682" s="28" t="s">
        <v>40</v>
      </c>
      <c r="B682" s="28" t="s">
        <v>32</v>
      </c>
      <c r="C682" s="28">
        <v>2010</v>
      </c>
      <c r="D682" s="28" t="s">
        <v>1</v>
      </c>
      <c r="E682" s="28" t="s">
        <v>9</v>
      </c>
      <c r="F682" s="28">
        <v>63513.859600000003</v>
      </c>
    </row>
    <row r="683" spans="1:6">
      <c r="A683" s="28" t="s">
        <v>40</v>
      </c>
      <c r="B683" s="28" t="s">
        <v>32</v>
      </c>
      <c r="C683" s="28">
        <v>2011</v>
      </c>
      <c r="D683" s="28" t="s">
        <v>1</v>
      </c>
      <c r="E683" s="28" t="s">
        <v>9</v>
      </c>
      <c r="F683" s="28">
        <v>82132.251099999994</v>
      </c>
    </row>
    <row r="684" spans="1:6">
      <c r="A684" s="28" t="s">
        <v>40</v>
      </c>
      <c r="B684" s="28" t="s">
        <v>32</v>
      </c>
      <c r="C684" s="28">
        <v>2012</v>
      </c>
      <c r="D684" s="28" t="s">
        <v>1</v>
      </c>
      <c r="E684" s="28" t="s">
        <v>9</v>
      </c>
      <c r="F684" s="28">
        <v>88068</v>
      </c>
    </row>
    <row r="685" spans="1:6">
      <c r="A685" s="28" t="s">
        <v>40</v>
      </c>
      <c r="B685" s="28" t="s">
        <v>32</v>
      </c>
      <c r="C685" s="28">
        <v>2013</v>
      </c>
      <c r="D685" s="28" t="s">
        <v>1</v>
      </c>
      <c r="E685" s="28" t="s">
        <v>9</v>
      </c>
      <c r="F685" s="28">
        <v>67584</v>
      </c>
    </row>
    <row r="686" spans="1:6">
      <c r="A686" s="28" t="s">
        <v>40</v>
      </c>
      <c r="B686" s="28" t="s">
        <v>32</v>
      </c>
      <c r="C686" s="28">
        <v>2014</v>
      </c>
      <c r="D686" s="28" t="s">
        <v>1</v>
      </c>
      <c r="E686" s="28" t="s">
        <v>9</v>
      </c>
      <c r="F686" s="28">
        <v>90466</v>
      </c>
    </row>
    <row r="687" spans="1:6">
      <c r="A687" s="28" t="s">
        <v>40</v>
      </c>
      <c r="B687" s="28" t="s">
        <v>32</v>
      </c>
      <c r="C687" s="28">
        <v>2015</v>
      </c>
      <c r="D687" s="28" t="s">
        <v>1</v>
      </c>
      <c r="E687" s="28" t="s">
        <v>9</v>
      </c>
      <c r="F687" s="28">
        <v>103567</v>
      </c>
    </row>
    <row r="688" spans="1:6">
      <c r="A688" s="28" t="s">
        <v>40</v>
      </c>
      <c r="B688" s="28" t="s">
        <v>32</v>
      </c>
      <c r="C688" s="28">
        <v>2016</v>
      </c>
      <c r="D688" s="28" t="s">
        <v>1</v>
      </c>
      <c r="E688" s="28" t="s">
        <v>9</v>
      </c>
      <c r="F688" s="28">
        <v>64722</v>
      </c>
    </row>
    <row r="689" spans="1:6">
      <c r="A689" s="28" t="s">
        <v>40</v>
      </c>
      <c r="B689" s="28" t="s">
        <v>32</v>
      </c>
      <c r="C689" s="28">
        <v>2017</v>
      </c>
      <c r="D689" s="28" t="s">
        <v>1</v>
      </c>
      <c r="E689" s="28" t="s">
        <v>9</v>
      </c>
      <c r="F689" s="28">
        <v>91133</v>
      </c>
    </row>
    <row r="690" spans="1:6">
      <c r="A690" s="28" t="s">
        <v>40</v>
      </c>
      <c r="B690" s="28" t="s">
        <v>32</v>
      </c>
      <c r="C690" s="28">
        <v>2010</v>
      </c>
      <c r="D690" s="28" t="s">
        <v>1</v>
      </c>
      <c r="E690" s="28" t="s">
        <v>10</v>
      </c>
      <c r="F690" s="28">
        <v>510122.35220000002</v>
      </c>
    </row>
    <row r="691" spans="1:6">
      <c r="A691" s="28" t="s">
        <v>40</v>
      </c>
      <c r="B691" s="28" t="s">
        <v>32</v>
      </c>
      <c r="C691" s="28">
        <v>2011</v>
      </c>
      <c r="D691" s="28" t="s">
        <v>1</v>
      </c>
      <c r="E691" s="28" t="s">
        <v>10</v>
      </c>
      <c r="F691" s="28">
        <v>524635.44949999999</v>
      </c>
    </row>
    <row r="692" spans="1:6">
      <c r="A692" s="28" t="s">
        <v>40</v>
      </c>
      <c r="B692" s="28" t="s">
        <v>32</v>
      </c>
      <c r="C692" s="28">
        <v>2012</v>
      </c>
      <c r="D692" s="28" t="s">
        <v>1</v>
      </c>
      <c r="E692" s="28" t="s">
        <v>10</v>
      </c>
      <c r="F692" s="28">
        <v>494837</v>
      </c>
    </row>
    <row r="693" spans="1:6">
      <c r="A693" s="28" t="s">
        <v>40</v>
      </c>
      <c r="B693" s="28" t="s">
        <v>32</v>
      </c>
      <c r="C693" s="28">
        <v>2013</v>
      </c>
      <c r="D693" s="28" t="s">
        <v>1</v>
      </c>
      <c r="E693" s="28" t="s">
        <v>10</v>
      </c>
      <c r="F693" s="28">
        <v>397570</v>
      </c>
    </row>
    <row r="694" spans="1:6">
      <c r="A694" s="28" t="s">
        <v>40</v>
      </c>
      <c r="B694" s="28" t="s">
        <v>32</v>
      </c>
      <c r="C694" s="28">
        <v>2014</v>
      </c>
      <c r="D694" s="28" t="s">
        <v>1</v>
      </c>
      <c r="E694" s="28" t="s">
        <v>10</v>
      </c>
      <c r="F694" s="28">
        <v>441995</v>
      </c>
    </row>
    <row r="695" spans="1:6">
      <c r="A695" s="28" t="s">
        <v>40</v>
      </c>
      <c r="B695" s="28" t="s">
        <v>32</v>
      </c>
      <c r="C695" s="28">
        <v>2015</v>
      </c>
      <c r="D695" s="28" t="s">
        <v>1</v>
      </c>
      <c r="E695" s="28" t="s">
        <v>10</v>
      </c>
      <c r="F695" s="28">
        <v>448776</v>
      </c>
    </row>
    <row r="696" spans="1:6">
      <c r="A696" s="28" t="s">
        <v>40</v>
      </c>
      <c r="B696" s="28" t="s">
        <v>32</v>
      </c>
      <c r="C696" s="28">
        <v>2016</v>
      </c>
      <c r="D696" s="28" t="s">
        <v>1</v>
      </c>
      <c r="E696" s="28" t="s">
        <v>10</v>
      </c>
      <c r="F696" s="28">
        <v>394304</v>
      </c>
    </row>
    <row r="697" spans="1:6">
      <c r="A697" s="28" t="s">
        <v>40</v>
      </c>
      <c r="B697" s="28" t="s">
        <v>32</v>
      </c>
      <c r="C697" s="28">
        <v>2017</v>
      </c>
      <c r="D697" s="28" t="s">
        <v>1</v>
      </c>
      <c r="E697" s="28" t="s">
        <v>10</v>
      </c>
      <c r="F697" s="28">
        <v>456402</v>
      </c>
    </row>
    <row r="698" spans="1:6">
      <c r="A698" s="28" t="s">
        <v>40</v>
      </c>
      <c r="B698" s="28" t="s">
        <v>32</v>
      </c>
      <c r="C698" s="28">
        <v>2010</v>
      </c>
      <c r="D698" s="28" t="s">
        <v>1</v>
      </c>
      <c r="E698" s="28" t="s">
        <v>11</v>
      </c>
      <c r="F698" s="28">
        <v>0.36157246982913099</v>
      </c>
    </row>
    <row r="699" spans="1:6">
      <c r="A699" s="28" t="s">
        <v>40</v>
      </c>
      <c r="B699" s="28" t="s">
        <v>32</v>
      </c>
      <c r="C699" s="28">
        <v>2011</v>
      </c>
      <c r="D699" s="28" t="s">
        <v>1</v>
      </c>
      <c r="E699" s="28" t="s">
        <v>11</v>
      </c>
      <c r="F699" s="28">
        <v>0.42019024240564601</v>
      </c>
    </row>
    <row r="700" spans="1:6">
      <c r="A700" s="28" t="s">
        <v>40</v>
      </c>
      <c r="B700" s="28" t="s">
        <v>32</v>
      </c>
      <c r="C700" s="28">
        <v>2012</v>
      </c>
      <c r="D700" s="28" t="s">
        <v>1</v>
      </c>
      <c r="E700" s="28" t="s">
        <v>11</v>
      </c>
      <c r="F700" s="28">
        <v>0.39728031654868201</v>
      </c>
    </row>
    <row r="701" spans="1:6">
      <c r="A701" s="28" t="s">
        <v>40</v>
      </c>
      <c r="B701" s="28" t="s">
        <v>32</v>
      </c>
      <c r="C701" s="28">
        <v>2013</v>
      </c>
      <c r="D701" s="28" t="s">
        <v>1</v>
      </c>
      <c r="E701" s="28" t="s">
        <v>11</v>
      </c>
      <c r="F701" s="28">
        <v>0.43523907739517598</v>
      </c>
    </row>
    <row r="702" spans="1:6">
      <c r="A702" s="28" t="s">
        <v>40</v>
      </c>
      <c r="B702" s="28" t="s">
        <v>32</v>
      </c>
      <c r="C702" s="28">
        <v>2014</v>
      </c>
      <c r="D702" s="28" t="s">
        <v>1</v>
      </c>
      <c r="E702" s="28" t="s">
        <v>11</v>
      </c>
      <c r="F702" s="28">
        <v>0.49831785427436998</v>
      </c>
    </row>
    <row r="703" spans="1:6">
      <c r="A703" s="28" t="s">
        <v>40</v>
      </c>
      <c r="B703" s="28" t="s">
        <v>32</v>
      </c>
      <c r="C703" s="28">
        <v>2015</v>
      </c>
      <c r="D703" s="28" t="s">
        <v>1</v>
      </c>
      <c r="E703" s="28" t="s">
        <v>11</v>
      </c>
      <c r="F703" s="28">
        <v>0.46073987913792203</v>
      </c>
    </row>
    <row r="704" spans="1:6">
      <c r="A704" s="28" t="s">
        <v>40</v>
      </c>
      <c r="B704" s="28" t="s">
        <v>32</v>
      </c>
      <c r="C704" s="28">
        <v>2016</v>
      </c>
      <c r="D704" s="28" t="s">
        <v>1</v>
      </c>
      <c r="E704" s="28" t="s">
        <v>11</v>
      </c>
      <c r="F704" s="28">
        <v>0.275363678785911</v>
      </c>
    </row>
    <row r="705" spans="1:6">
      <c r="A705" s="28" t="s">
        <v>40</v>
      </c>
      <c r="B705" s="28" t="s">
        <v>32</v>
      </c>
      <c r="C705" s="28">
        <v>2017</v>
      </c>
      <c r="D705" s="28" t="s">
        <v>1</v>
      </c>
      <c r="E705" s="28" t="s">
        <v>11</v>
      </c>
      <c r="F705" s="28">
        <v>0.306291383473342</v>
      </c>
    </row>
    <row r="706" spans="1:6">
      <c r="A706" s="28" t="s">
        <v>40</v>
      </c>
      <c r="B706" s="28" t="s">
        <v>32</v>
      </c>
      <c r="C706" s="28">
        <v>2010</v>
      </c>
      <c r="D706" s="28" t="s">
        <v>4</v>
      </c>
      <c r="E706" s="28" t="s">
        <v>12</v>
      </c>
      <c r="F706" s="28">
        <v>235251.1911</v>
      </c>
    </row>
    <row r="707" spans="1:6">
      <c r="A707" s="28" t="s">
        <v>40</v>
      </c>
      <c r="B707" s="28" t="s">
        <v>32</v>
      </c>
      <c r="C707" s="28">
        <v>2011</v>
      </c>
      <c r="D707" s="28" t="s">
        <v>4</v>
      </c>
      <c r="E707" s="28" t="s">
        <v>12</v>
      </c>
      <c r="F707" s="28">
        <v>273310</v>
      </c>
    </row>
    <row r="708" spans="1:6">
      <c r="A708" s="28" t="s">
        <v>40</v>
      </c>
      <c r="B708" s="28" t="s">
        <v>32</v>
      </c>
      <c r="C708" s="28">
        <v>2012</v>
      </c>
      <c r="D708" s="28" t="s">
        <v>4</v>
      </c>
      <c r="E708" s="28" t="s">
        <v>12</v>
      </c>
      <c r="F708" s="28">
        <v>289885</v>
      </c>
    </row>
    <row r="709" spans="1:6">
      <c r="A709" s="28" t="s">
        <v>40</v>
      </c>
      <c r="B709" s="28" t="s">
        <v>32</v>
      </c>
      <c r="C709" s="28">
        <v>2013</v>
      </c>
      <c r="D709" s="28" t="s">
        <v>4</v>
      </c>
      <c r="E709" s="28" t="s">
        <v>12</v>
      </c>
      <c r="F709" s="28">
        <v>260485</v>
      </c>
    </row>
    <row r="710" spans="1:6">
      <c r="A710" s="28" t="s">
        <v>40</v>
      </c>
      <c r="B710" s="28" t="s">
        <v>32</v>
      </c>
      <c r="C710" s="28">
        <v>2014</v>
      </c>
      <c r="D710" s="28" t="s">
        <v>4</v>
      </c>
      <c r="E710" s="28" t="s">
        <v>12</v>
      </c>
      <c r="F710" s="28">
        <v>302767</v>
      </c>
    </row>
    <row r="711" spans="1:6">
      <c r="A711" s="28" t="s">
        <v>40</v>
      </c>
      <c r="B711" s="28" t="s">
        <v>32</v>
      </c>
      <c r="C711" s="28">
        <v>2015</v>
      </c>
      <c r="D711" s="28" t="s">
        <v>4</v>
      </c>
      <c r="E711" s="28" t="s">
        <v>12</v>
      </c>
      <c r="F711" s="28">
        <v>354144</v>
      </c>
    </row>
    <row r="712" spans="1:6">
      <c r="A712" s="28" t="s">
        <v>40</v>
      </c>
      <c r="B712" s="28" t="s">
        <v>32</v>
      </c>
      <c r="C712" s="28">
        <v>2016</v>
      </c>
      <c r="D712" s="28" t="s">
        <v>4</v>
      </c>
      <c r="E712" s="28" t="s">
        <v>12</v>
      </c>
      <c r="F712" s="28">
        <v>373699</v>
      </c>
    </row>
    <row r="713" spans="1:6">
      <c r="A713" s="28" t="s">
        <v>40</v>
      </c>
      <c r="B713" s="28" t="s">
        <v>32</v>
      </c>
      <c r="C713" s="28">
        <v>2017</v>
      </c>
      <c r="D713" s="28" t="s">
        <v>4</v>
      </c>
      <c r="E713" s="28" t="s">
        <v>12</v>
      </c>
      <c r="F713" s="28">
        <v>439972</v>
      </c>
    </row>
    <row r="714" spans="1:6">
      <c r="A714" s="28" t="s">
        <v>40</v>
      </c>
      <c r="B714" s="28" t="s">
        <v>32</v>
      </c>
      <c r="C714" s="28">
        <v>2010</v>
      </c>
      <c r="D714" s="28" t="s">
        <v>4</v>
      </c>
      <c r="E714" s="28" t="s">
        <v>13</v>
      </c>
      <c r="F714" s="28">
        <v>7741.1325999999999</v>
      </c>
    </row>
    <row r="715" spans="1:6">
      <c r="A715" s="28" t="s">
        <v>40</v>
      </c>
      <c r="B715" s="28" t="s">
        <v>32</v>
      </c>
      <c r="C715" s="28">
        <v>2011</v>
      </c>
      <c r="D715" s="28" t="s">
        <v>4</v>
      </c>
      <c r="E715" s="28" t="s">
        <v>13</v>
      </c>
      <c r="F715" s="28">
        <v>-3500</v>
      </c>
    </row>
    <row r="716" spans="1:6">
      <c r="A716" s="28" t="s">
        <v>40</v>
      </c>
      <c r="B716" s="28" t="s">
        <v>32</v>
      </c>
      <c r="C716" s="28">
        <v>2012</v>
      </c>
      <c r="D716" s="28" t="s">
        <v>4</v>
      </c>
      <c r="E716" s="28" t="s">
        <v>13</v>
      </c>
      <c r="F716" s="28">
        <v>-2852</v>
      </c>
    </row>
    <row r="717" spans="1:6">
      <c r="A717" s="28" t="s">
        <v>40</v>
      </c>
      <c r="B717" s="28" t="s">
        <v>32</v>
      </c>
      <c r="C717" s="28">
        <v>2013</v>
      </c>
      <c r="D717" s="28" t="s">
        <v>4</v>
      </c>
      <c r="E717" s="28" t="s">
        <v>13</v>
      </c>
      <c r="F717" s="28">
        <v>-78443</v>
      </c>
    </row>
    <row r="718" spans="1:6">
      <c r="A718" s="28" t="s">
        <v>40</v>
      </c>
      <c r="B718" s="28" t="s">
        <v>32</v>
      </c>
      <c r="C718" s="28">
        <v>2014</v>
      </c>
      <c r="D718" s="28" t="s">
        <v>4</v>
      </c>
      <c r="E718" s="28" t="s">
        <v>13</v>
      </c>
      <c r="F718" s="28">
        <v>-3381</v>
      </c>
    </row>
    <row r="719" spans="1:6">
      <c r="A719" s="28" t="s">
        <v>40</v>
      </c>
      <c r="B719" s="28" t="s">
        <v>32</v>
      </c>
      <c r="C719" s="28">
        <v>2015</v>
      </c>
      <c r="D719" s="28" t="s">
        <v>4</v>
      </c>
      <c r="E719" s="28" t="s">
        <v>13</v>
      </c>
      <c r="F719" s="28">
        <v>22319</v>
      </c>
    </row>
    <row r="720" spans="1:6">
      <c r="A720" s="28" t="s">
        <v>40</v>
      </c>
      <c r="B720" s="28" t="s">
        <v>32</v>
      </c>
      <c r="C720" s="28">
        <v>2016</v>
      </c>
      <c r="D720" s="28" t="s">
        <v>4</v>
      </c>
      <c r="E720" s="28" t="s">
        <v>13</v>
      </c>
      <c r="F720" s="28">
        <v>73432</v>
      </c>
    </row>
    <row r="721" spans="1:6">
      <c r="A721" s="28" t="s">
        <v>40</v>
      </c>
      <c r="B721" s="28" t="s">
        <v>32</v>
      </c>
      <c r="C721" s="28">
        <v>2017</v>
      </c>
      <c r="D721" s="28" t="s">
        <v>4</v>
      </c>
      <c r="E721" s="28" t="s">
        <v>13</v>
      </c>
      <c r="F721" s="28">
        <v>69242</v>
      </c>
    </row>
    <row r="722" spans="1:6">
      <c r="A722" s="28" t="s">
        <v>40</v>
      </c>
      <c r="B722" s="28" t="s">
        <v>32</v>
      </c>
      <c r="C722" s="28">
        <v>2010</v>
      </c>
      <c r="D722" s="28" t="s">
        <v>4</v>
      </c>
      <c r="E722" s="28" t="s">
        <v>14</v>
      </c>
      <c r="F722" s="28">
        <v>7719</v>
      </c>
    </row>
    <row r="723" spans="1:6">
      <c r="A723" s="28" t="s">
        <v>40</v>
      </c>
      <c r="B723" s="28" t="s">
        <v>32</v>
      </c>
      <c r="C723" s="28">
        <v>2011</v>
      </c>
      <c r="D723" s="28" t="s">
        <v>4</v>
      </c>
      <c r="E723" s="28" t="s">
        <v>14</v>
      </c>
      <c r="F723" s="28">
        <v>8488.9163594348393</v>
      </c>
    </row>
    <row r="724" spans="1:6">
      <c r="A724" s="28" t="s">
        <v>40</v>
      </c>
      <c r="B724" s="28" t="s">
        <v>32</v>
      </c>
      <c r="C724" s="28">
        <v>2012</v>
      </c>
      <c r="D724" s="28" t="s">
        <v>4</v>
      </c>
      <c r="E724" s="28" t="s">
        <v>14</v>
      </c>
      <c r="F724" s="28">
        <v>9544.2617877238408</v>
      </c>
    </row>
    <row r="725" spans="1:6">
      <c r="A725" s="28" t="s">
        <v>40</v>
      </c>
      <c r="B725" s="28" t="s">
        <v>32</v>
      </c>
      <c r="C725" s="28">
        <v>2013</v>
      </c>
      <c r="D725" s="28" t="s">
        <v>4</v>
      </c>
      <c r="E725" s="28" t="s">
        <v>14</v>
      </c>
      <c r="F725" s="28">
        <v>7958.7952042824099</v>
      </c>
    </row>
    <row r="726" spans="1:6">
      <c r="A726" s="28" t="s">
        <v>40</v>
      </c>
      <c r="B726" s="28" t="s">
        <v>32</v>
      </c>
      <c r="C726" s="28">
        <v>2014</v>
      </c>
      <c r="D726" s="28" t="s">
        <v>4</v>
      </c>
      <c r="E726" s="28" t="s">
        <v>14</v>
      </c>
      <c r="F726" s="28">
        <v>5381.7207741421698</v>
      </c>
    </row>
    <row r="727" spans="1:6">
      <c r="A727" s="28" t="s">
        <v>40</v>
      </c>
      <c r="B727" s="28" t="s">
        <v>32</v>
      </c>
      <c r="C727" s="28">
        <v>2015</v>
      </c>
      <c r="D727" s="28" t="s">
        <v>4</v>
      </c>
      <c r="E727" s="28" t="s">
        <v>14</v>
      </c>
      <c r="F727" s="28">
        <v>4859.0955055177701</v>
      </c>
    </row>
    <row r="728" spans="1:6">
      <c r="A728" s="28" t="s">
        <v>40</v>
      </c>
      <c r="B728" s="28" t="s">
        <v>32</v>
      </c>
      <c r="C728" s="28">
        <v>2016</v>
      </c>
      <c r="D728" s="28" t="s">
        <v>4</v>
      </c>
      <c r="E728" s="28" t="s">
        <v>14</v>
      </c>
      <c r="F728" s="28">
        <v>6160.8654580105504</v>
      </c>
    </row>
    <row r="729" spans="1:6">
      <c r="A729" s="28" t="s">
        <v>40</v>
      </c>
      <c r="B729" s="28" t="s">
        <v>32</v>
      </c>
      <c r="C729" s="28">
        <v>2017</v>
      </c>
      <c r="D729" s="28" t="s">
        <v>4</v>
      </c>
      <c r="E729" s="28" t="s">
        <v>14</v>
      </c>
      <c r="F729" s="28">
        <v>7638.3762556379997</v>
      </c>
    </row>
    <row r="730" spans="1:6">
      <c r="A730" s="28" t="s">
        <v>40</v>
      </c>
      <c r="B730" s="28" t="s">
        <v>32</v>
      </c>
      <c r="C730" s="28">
        <v>2010</v>
      </c>
      <c r="D730" s="28" t="s">
        <v>4</v>
      </c>
      <c r="E730" s="28" t="s">
        <v>15</v>
      </c>
      <c r="F730" s="28">
        <v>254</v>
      </c>
    </row>
    <row r="731" spans="1:6">
      <c r="A731" s="28" t="s">
        <v>40</v>
      </c>
      <c r="B731" s="28" t="s">
        <v>32</v>
      </c>
      <c r="C731" s="28">
        <v>2011</v>
      </c>
      <c r="D731" s="28" t="s">
        <v>4</v>
      </c>
      <c r="E731" s="28" t="s">
        <v>15</v>
      </c>
      <c r="F731" s="28">
        <v>-108.708818769975</v>
      </c>
    </row>
    <row r="732" spans="1:6">
      <c r="A732" s="28" t="s">
        <v>40</v>
      </c>
      <c r="B732" s="28" t="s">
        <v>32</v>
      </c>
      <c r="C732" s="28">
        <v>2012</v>
      </c>
      <c r="D732" s="28" t="s">
        <v>4</v>
      </c>
      <c r="E732" s="28" t="s">
        <v>15</v>
      </c>
      <c r="F732" s="28">
        <v>-93.900114247334002</v>
      </c>
    </row>
    <row r="733" spans="1:6">
      <c r="A733" s="28" t="s">
        <v>40</v>
      </c>
      <c r="B733" s="28" t="s">
        <v>32</v>
      </c>
      <c r="C733" s="28">
        <v>2013</v>
      </c>
      <c r="D733" s="28" t="s">
        <v>4</v>
      </c>
      <c r="E733" s="28" t="s">
        <v>15</v>
      </c>
      <c r="F733" s="28">
        <v>-2396.7283037776701</v>
      </c>
    </row>
    <row r="734" spans="1:6">
      <c r="A734" s="28" t="s">
        <v>40</v>
      </c>
      <c r="B734" s="28" t="s">
        <v>32</v>
      </c>
      <c r="C734" s="28">
        <v>2014</v>
      </c>
      <c r="D734" s="28" t="s">
        <v>4</v>
      </c>
      <c r="E734" s="28" t="s">
        <v>15</v>
      </c>
      <c r="F734" s="28">
        <v>-60.097692077982998</v>
      </c>
    </row>
    <row r="735" spans="1:6">
      <c r="A735" s="28" t="s">
        <v>40</v>
      </c>
      <c r="B735" s="28" t="s">
        <v>32</v>
      </c>
      <c r="C735" s="28">
        <v>2015</v>
      </c>
      <c r="D735" s="28" t="s">
        <v>4</v>
      </c>
      <c r="E735" s="28" t="s">
        <v>15</v>
      </c>
      <c r="F735" s="28">
        <v>306.23179437644302</v>
      </c>
    </row>
    <row r="736" spans="1:6">
      <c r="A736" s="28" t="s">
        <v>40</v>
      </c>
      <c r="B736" s="28" t="s">
        <v>32</v>
      </c>
      <c r="C736" s="28">
        <v>2016</v>
      </c>
      <c r="D736" s="28" t="s">
        <v>4</v>
      </c>
      <c r="E736" s="28" t="s">
        <v>15</v>
      </c>
      <c r="F736" s="28">
        <v>1210.61247772306</v>
      </c>
    </row>
    <row r="737" spans="1:6">
      <c r="A737" s="28" t="s">
        <v>40</v>
      </c>
      <c r="B737" s="28" t="s">
        <v>32</v>
      </c>
      <c r="C737" s="28">
        <v>2017</v>
      </c>
      <c r="D737" s="28" t="s">
        <v>4</v>
      </c>
      <c r="E737" s="28" t="s">
        <v>15</v>
      </c>
      <c r="F737" s="28">
        <v>1202.1138815490201</v>
      </c>
    </row>
    <row r="738" spans="1:6">
      <c r="A738" s="28" t="s">
        <v>40</v>
      </c>
      <c r="B738" s="28" t="s">
        <v>32</v>
      </c>
      <c r="C738" s="28">
        <v>2010</v>
      </c>
      <c r="D738" s="28" t="s">
        <v>7</v>
      </c>
      <c r="E738" s="28" t="s">
        <v>16</v>
      </c>
      <c r="F738" s="28">
        <v>36480.849300000002</v>
      </c>
    </row>
    <row r="739" spans="1:6">
      <c r="A739" s="28" t="s">
        <v>40</v>
      </c>
      <c r="B739" s="28" t="s">
        <v>32</v>
      </c>
      <c r="C739" s="28">
        <v>2011</v>
      </c>
      <c r="D739" s="28" t="s">
        <v>7</v>
      </c>
      <c r="E739" s="28" t="s">
        <v>16</v>
      </c>
      <c r="F739" s="28">
        <v>27808</v>
      </c>
    </row>
    <row r="740" spans="1:6">
      <c r="A740" s="28" t="s">
        <v>40</v>
      </c>
      <c r="B740" s="28" t="s">
        <v>32</v>
      </c>
      <c r="C740" s="28">
        <v>2012</v>
      </c>
      <c r="D740" s="28" t="s">
        <v>7</v>
      </c>
      <c r="E740" s="28" t="s">
        <v>16</v>
      </c>
      <c r="F740" s="28">
        <v>28943</v>
      </c>
    </row>
    <row r="741" spans="1:6">
      <c r="A741" s="28" t="s">
        <v>40</v>
      </c>
      <c r="B741" s="28" t="s">
        <v>32</v>
      </c>
      <c r="C741" s="28">
        <v>2013</v>
      </c>
      <c r="D741" s="28" t="s">
        <v>7</v>
      </c>
      <c r="E741" s="28" t="s">
        <v>16</v>
      </c>
      <c r="F741" s="28">
        <v>27490</v>
      </c>
    </row>
    <row r="742" spans="1:6">
      <c r="A742" s="28" t="s">
        <v>40</v>
      </c>
      <c r="B742" s="28" t="s">
        <v>32</v>
      </c>
      <c r="C742" s="28">
        <v>2014</v>
      </c>
      <c r="D742" s="28" t="s">
        <v>7</v>
      </c>
      <c r="E742" s="28" t="s">
        <v>16</v>
      </c>
      <c r="F742" s="28">
        <v>51766</v>
      </c>
    </row>
    <row r="743" spans="1:6">
      <c r="A743" s="28" t="s">
        <v>40</v>
      </c>
      <c r="B743" s="28" t="s">
        <v>32</v>
      </c>
      <c r="C743" s="28">
        <v>2015</v>
      </c>
      <c r="D743" s="28" t="s">
        <v>7</v>
      </c>
      <c r="E743" s="28" t="s">
        <v>16</v>
      </c>
      <c r="F743" s="28">
        <v>83302</v>
      </c>
    </row>
    <row r="744" spans="1:6">
      <c r="A744" s="28" t="s">
        <v>40</v>
      </c>
      <c r="B744" s="28" t="s">
        <v>32</v>
      </c>
      <c r="C744" s="28">
        <v>2016</v>
      </c>
      <c r="D744" s="28" t="s">
        <v>7</v>
      </c>
      <c r="E744" s="28" t="s">
        <v>16</v>
      </c>
      <c r="F744" s="28">
        <v>83214</v>
      </c>
    </row>
    <row r="745" spans="1:6">
      <c r="A745" s="28" t="s">
        <v>40</v>
      </c>
      <c r="B745" s="28" t="s">
        <v>32</v>
      </c>
      <c r="C745" s="28">
        <v>2017</v>
      </c>
      <c r="D745" s="28" t="s">
        <v>7</v>
      </c>
      <c r="E745" s="28" t="s">
        <v>16</v>
      </c>
      <c r="F745" s="28">
        <v>83873</v>
      </c>
    </row>
    <row r="746" spans="1:6">
      <c r="A746" s="28" t="s">
        <v>40</v>
      </c>
      <c r="B746" s="28" t="s">
        <v>32</v>
      </c>
      <c r="C746" s="28">
        <v>2010</v>
      </c>
      <c r="D746" s="28" t="s">
        <v>7</v>
      </c>
      <c r="E746" s="28" t="s">
        <v>17</v>
      </c>
      <c r="F746" s="28">
        <v>1197</v>
      </c>
    </row>
    <row r="747" spans="1:6">
      <c r="A747" s="28" t="s">
        <v>40</v>
      </c>
      <c r="B747" s="28" t="s">
        <v>32</v>
      </c>
      <c r="C747" s="28">
        <v>2011</v>
      </c>
      <c r="D747" s="28" t="s">
        <v>7</v>
      </c>
      <c r="E747" s="28" t="s">
        <v>17</v>
      </c>
      <c r="F747" s="28">
        <v>863.70709495870597</v>
      </c>
    </row>
    <row r="748" spans="1:6">
      <c r="A748" s="28" t="s">
        <v>40</v>
      </c>
      <c r="B748" s="28" t="s">
        <v>32</v>
      </c>
      <c r="C748" s="28">
        <v>2012</v>
      </c>
      <c r="D748" s="28" t="s">
        <v>7</v>
      </c>
      <c r="E748" s="28" t="s">
        <v>17</v>
      </c>
      <c r="F748" s="28">
        <v>952.92812295251997</v>
      </c>
    </row>
    <row r="749" spans="1:6">
      <c r="A749" s="28" t="s">
        <v>40</v>
      </c>
      <c r="B749" s="28" t="s">
        <v>32</v>
      </c>
      <c r="C749" s="28">
        <v>2013</v>
      </c>
      <c r="D749" s="28" t="s">
        <v>7</v>
      </c>
      <c r="E749" s="28" t="s">
        <v>17</v>
      </c>
      <c r="F749" s="28">
        <v>839.92276010412695</v>
      </c>
    </row>
    <row r="750" spans="1:6">
      <c r="A750" s="28" t="s">
        <v>40</v>
      </c>
      <c r="B750" s="28" t="s">
        <v>32</v>
      </c>
      <c r="C750" s="28">
        <v>2014</v>
      </c>
      <c r="D750" s="28" t="s">
        <v>7</v>
      </c>
      <c r="E750" s="28" t="s">
        <v>17</v>
      </c>
      <c r="F750" s="28">
        <v>920.14703582042898</v>
      </c>
    </row>
    <row r="751" spans="1:6">
      <c r="A751" s="28" t="s">
        <v>40</v>
      </c>
      <c r="B751" s="28" t="s">
        <v>32</v>
      </c>
      <c r="C751" s="28">
        <v>2015</v>
      </c>
      <c r="D751" s="28" t="s">
        <v>7</v>
      </c>
      <c r="E751" s="28" t="s">
        <v>17</v>
      </c>
      <c r="F751" s="28">
        <v>1142.95985192645</v>
      </c>
    </row>
    <row r="752" spans="1:6">
      <c r="A752" s="28" t="s">
        <v>40</v>
      </c>
      <c r="B752" s="28" t="s">
        <v>32</v>
      </c>
      <c r="C752" s="28">
        <v>2016</v>
      </c>
      <c r="D752" s="28" t="s">
        <v>7</v>
      </c>
      <c r="E752" s="28" t="s">
        <v>17</v>
      </c>
      <c r="F752" s="28">
        <v>1371.88019829566</v>
      </c>
    </row>
    <row r="753" spans="1:6">
      <c r="A753" s="28" t="s">
        <v>40</v>
      </c>
      <c r="B753" s="28" t="s">
        <v>32</v>
      </c>
      <c r="C753" s="28">
        <v>2017</v>
      </c>
      <c r="D753" s="28" t="s">
        <v>7</v>
      </c>
      <c r="E753" s="28" t="s">
        <v>17</v>
      </c>
      <c r="F753" s="28">
        <v>1456.12341623814</v>
      </c>
    </row>
    <row r="754" spans="1:6">
      <c r="A754" s="28" t="s">
        <v>40</v>
      </c>
      <c r="B754" s="28" t="s">
        <v>32</v>
      </c>
      <c r="C754" s="28">
        <v>2010</v>
      </c>
      <c r="D754" s="28" t="s">
        <v>20</v>
      </c>
      <c r="E754" s="28" t="s">
        <v>18</v>
      </c>
      <c r="F754" s="28">
        <v>11118.083000000001</v>
      </c>
    </row>
    <row r="755" spans="1:6">
      <c r="A755" s="28" t="s">
        <v>40</v>
      </c>
      <c r="B755" s="28" t="s">
        <v>32</v>
      </c>
      <c r="C755" s="28">
        <v>2011</v>
      </c>
      <c r="D755" s="28" t="s">
        <v>20</v>
      </c>
      <c r="E755" s="28" t="s">
        <v>18</v>
      </c>
      <c r="F755" s="28">
        <v>11007.133</v>
      </c>
    </row>
    <row r="756" spans="1:6">
      <c r="A756" s="28" t="s">
        <v>40</v>
      </c>
      <c r="B756" s="28" t="s">
        <v>32</v>
      </c>
      <c r="C756" s="28">
        <v>2012</v>
      </c>
      <c r="D756" s="28" t="s">
        <v>20</v>
      </c>
      <c r="E756" s="28" t="s">
        <v>18</v>
      </c>
      <c r="F756" s="28">
        <v>11007.916999999999</v>
      </c>
    </row>
    <row r="757" spans="1:6">
      <c r="A757" s="28" t="s">
        <v>40</v>
      </c>
      <c r="B757" s="28" t="s">
        <v>32</v>
      </c>
      <c r="C757" s="28">
        <v>2013</v>
      </c>
      <c r="D757" s="28" t="s">
        <v>20</v>
      </c>
      <c r="E757" s="28" t="s">
        <v>18</v>
      </c>
      <c r="F757" s="28">
        <v>11017.397000000001</v>
      </c>
    </row>
    <row r="758" spans="1:6">
      <c r="A758" s="28" t="s">
        <v>40</v>
      </c>
      <c r="B758" s="28" t="s">
        <v>32</v>
      </c>
      <c r="C758" s="28">
        <v>2014</v>
      </c>
      <c r="D758" s="28" t="s">
        <v>20</v>
      </c>
      <c r="E758" s="28" t="s">
        <v>18</v>
      </c>
      <c r="F758" s="28">
        <v>11154.352000000001</v>
      </c>
    </row>
    <row r="759" spans="1:6">
      <c r="A759" s="28" t="s">
        <v>40</v>
      </c>
      <c r="B759" s="28" t="s">
        <v>32</v>
      </c>
      <c r="C759" s="28">
        <v>2015</v>
      </c>
      <c r="D759" s="28" t="s">
        <v>20</v>
      </c>
      <c r="E759" s="28" t="s">
        <v>18</v>
      </c>
      <c r="F759" s="28">
        <v>11162.183000000001</v>
      </c>
    </row>
    <row r="760" spans="1:6">
      <c r="A760" s="28" t="s">
        <v>40</v>
      </c>
      <c r="B760" s="28" t="s">
        <v>32</v>
      </c>
      <c r="C760" s="28">
        <v>2016</v>
      </c>
      <c r="D760" s="28" t="s">
        <v>20</v>
      </c>
      <c r="E760" s="28" t="s">
        <v>18</v>
      </c>
      <c r="F760" s="28">
        <v>11173.898999999999</v>
      </c>
    </row>
    <row r="761" spans="1:6">
      <c r="A761" s="28" t="s">
        <v>40</v>
      </c>
      <c r="B761" s="28" t="s">
        <v>32</v>
      </c>
      <c r="C761" s="28">
        <v>2017</v>
      </c>
      <c r="D761" s="28" t="s">
        <v>20</v>
      </c>
      <c r="E761" s="28" t="s">
        <v>18</v>
      </c>
      <c r="F761" s="28">
        <v>11174.33</v>
      </c>
    </row>
    <row r="762" spans="1:6">
      <c r="A762" s="28" t="s">
        <v>40</v>
      </c>
      <c r="B762" s="28" t="s">
        <v>32</v>
      </c>
      <c r="C762" s="28">
        <v>2010</v>
      </c>
      <c r="D762" s="28" t="s">
        <v>20</v>
      </c>
      <c r="E762" s="28" t="s">
        <v>19</v>
      </c>
      <c r="F762" s="28">
        <v>32.9</v>
      </c>
    </row>
    <row r="763" spans="1:6">
      <c r="A763" s="28" t="s">
        <v>40</v>
      </c>
      <c r="B763" s="28" t="s">
        <v>32</v>
      </c>
      <c r="C763" s="28">
        <v>2011</v>
      </c>
      <c r="D763" s="28" t="s">
        <v>20</v>
      </c>
      <c r="E763" s="28" t="s">
        <v>19</v>
      </c>
      <c r="F763" s="28">
        <v>12.365</v>
      </c>
    </row>
    <row r="764" spans="1:6">
      <c r="A764" s="28" t="s">
        <v>40</v>
      </c>
      <c r="B764" s="28" t="s">
        <v>32</v>
      </c>
      <c r="C764" s="28">
        <v>2012</v>
      </c>
      <c r="D764" s="28" t="s">
        <v>20</v>
      </c>
      <c r="E764" s="28" t="s">
        <v>19</v>
      </c>
      <c r="F764" s="28">
        <v>10.42</v>
      </c>
    </row>
    <row r="765" spans="1:6">
      <c r="A765" s="28" t="s">
        <v>40</v>
      </c>
      <c r="B765" s="28" t="s">
        <v>32</v>
      </c>
      <c r="C765" s="28">
        <v>2013</v>
      </c>
      <c r="D765" s="28" t="s">
        <v>20</v>
      </c>
      <c r="E765" s="28" t="s">
        <v>19</v>
      </c>
      <c r="F765" s="28">
        <v>7.3949999999999996</v>
      </c>
    </row>
    <row r="766" spans="1:6">
      <c r="A766" s="28" t="s">
        <v>40</v>
      </c>
      <c r="B766" s="28" t="s">
        <v>32</v>
      </c>
      <c r="C766" s="28">
        <v>2014</v>
      </c>
      <c r="D766" s="28" t="s">
        <v>20</v>
      </c>
      <c r="E766" s="28" t="s">
        <v>19</v>
      </c>
      <c r="F766" s="28">
        <v>10.82</v>
      </c>
    </row>
    <row r="767" spans="1:6">
      <c r="A767" s="28" t="s">
        <v>40</v>
      </c>
      <c r="B767" s="28" t="s">
        <v>32</v>
      </c>
      <c r="C767" s="28">
        <v>2015</v>
      </c>
      <c r="D767" s="28" t="s">
        <v>20</v>
      </c>
      <c r="E767" s="28" t="s">
        <v>19</v>
      </c>
      <c r="F767" s="28">
        <v>18.875</v>
      </c>
    </row>
    <row r="768" spans="1:6">
      <c r="A768" s="28" t="s">
        <v>40</v>
      </c>
      <c r="B768" s="28" t="s">
        <v>32</v>
      </c>
      <c r="C768" s="28">
        <v>2016</v>
      </c>
      <c r="D768" s="28" t="s">
        <v>20</v>
      </c>
      <c r="E768" s="28" t="s">
        <v>19</v>
      </c>
      <c r="F768" s="28">
        <v>33.265000000000001</v>
      </c>
    </row>
    <row r="769" spans="1:6">
      <c r="A769" s="28" t="s">
        <v>40</v>
      </c>
      <c r="B769" s="28" t="s">
        <v>32</v>
      </c>
      <c r="C769" s="28">
        <v>2017</v>
      </c>
      <c r="D769" s="28" t="s">
        <v>20</v>
      </c>
      <c r="E769" s="28" t="s">
        <v>19</v>
      </c>
      <c r="F769" s="28">
        <v>41.86</v>
      </c>
    </row>
    <row r="770" spans="1:6">
      <c r="A770" s="28" t="s">
        <v>41</v>
      </c>
      <c r="B770" s="28" t="s">
        <v>32</v>
      </c>
      <c r="C770" s="28">
        <v>2010</v>
      </c>
      <c r="D770" s="28" t="s">
        <v>1</v>
      </c>
      <c r="E770" s="28" t="s">
        <v>2</v>
      </c>
      <c r="F770" s="28">
        <v>353140.65565019997</v>
      </c>
    </row>
    <row r="771" spans="1:6">
      <c r="A771" s="28" t="s">
        <v>41</v>
      </c>
      <c r="B771" s="28" t="s">
        <v>32</v>
      </c>
      <c r="C771" s="28">
        <v>2011</v>
      </c>
      <c r="D771" s="28" t="s">
        <v>1</v>
      </c>
      <c r="E771" s="28" t="s">
        <v>2</v>
      </c>
      <c r="F771" s="28">
        <v>486651.48879909999</v>
      </c>
    </row>
    <row r="772" spans="1:6">
      <c r="A772" s="28" t="s">
        <v>41</v>
      </c>
      <c r="B772" s="28" t="s">
        <v>32</v>
      </c>
      <c r="C772" s="28">
        <v>2012</v>
      </c>
      <c r="D772" s="28" t="s">
        <v>1</v>
      </c>
      <c r="E772" s="28" t="s">
        <v>2</v>
      </c>
      <c r="F772" s="28">
        <v>410568.31784520001</v>
      </c>
    </row>
    <row r="773" spans="1:6">
      <c r="A773" s="28" t="s">
        <v>41</v>
      </c>
      <c r="B773" s="28" t="s">
        <v>32</v>
      </c>
      <c r="C773" s="28">
        <v>2013</v>
      </c>
      <c r="D773" s="28" t="s">
        <v>1</v>
      </c>
      <c r="E773" s="28" t="s">
        <v>2</v>
      </c>
      <c r="F773" s="28">
        <v>359427.88506240002</v>
      </c>
    </row>
    <row r="774" spans="1:6">
      <c r="A774" s="28" t="s">
        <v>41</v>
      </c>
      <c r="B774" s="28" t="s">
        <v>32</v>
      </c>
      <c r="C774" s="28">
        <v>2014</v>
      </c>
      <c r="D774" s="28" t="s">
        <v>1</v>
      </c>
      <c r="E774" s="28" t="s">
        <v>2</v>
      </c>
      <c r="F774" s="28">
        <v>291486.35963040002</v>
      </c>
    </row>
    <row r="775" spans="1:6">
      <c r="A775" s="28" t="s">
        <v>41</v>
      </c>
      <c r="B775" s="28" t="s">
        <v>32</v>
      </c>
      <c r="C775" s="28">
        <v>2015</v>
      </c>
      <c r="D775" s="28" t="s">
        <v>1</v>
      </c>
      <c r="E775" s="28" t="s">
        <v>2</v>
      </c>
      <c r="F775" s="28">
        <v>278952</v>
      </c>
    </row>
    <row r="776" spans="1:6">
      <c r="A776" s="28" t="s">
        <v>41</v>
      </c>
      <c r="B776" s="28" t="s">
        <v>32</v>
      </c>
      <c r="C776" s="28">
        <v>2016</v>
      </c>
      <c r="D776" s="28" t="s">
        <v>1</v>
      </c>
      <c r="E776" s="28" t="s">
        <v>2</v>
      </c>
      <c r="F776" s="28">
        <v>261700</v>
      </c>
    </row>
    <row r="777" spans="1:6">
      <c r="A777" s="28" t="s">
        <v>41</v>
      </c>
      <c r="B777" s="28" t="s">
        <v>32</v>
      </c>
      <c r="C777" s="28">
        <v>2017</v>
      </c>
      <c r="D777" s="28" t="s">
        <v>1</v>
      </c>
      <c r="E777" s="28" t="s">
        <v>2</v>
      </c>
      <c r="F777" s="28">
        <v>251665</v>
      </c>
    </row>
    <row r="778" spans="1:6">
      <c r="A778" s="28" t="s">
        <v>41</v>
      </c>
      <c r="B778" s="28" t="s">
        <v>32</v>
      </c>
      <c r="C778" s="28">
        <v>2010</v>
      </c>
      <c r="D778" s="28" t="s">
        <v>1</v>
      </c>
      <c r="E778" s="28" t="s">
        <v>3</v>
      </c>
      <c r="F778" s="28">
        <v>127728.8707614</v>
      </c>
    </row>
    <row r="779" spans="1:6">
      <c r="A779" s="28" t="s">
        <v>41</v>
      </c>
      <c r="B779" s="28" t="s">
        <v>32</v>
      </c>
      <c r="C779" s="28">
        <v>2011</v>
      </c>
      <c r="D779" s="28" t="s">
        <v>1</v>
      </c>
      <c r="E779" s="28" t="s">
        <v>3</v>
      </c>
      <c r="F779" s="28">
        <v>134934.04827659999</v>
      </c>
    </row>
    <row r="780" spans="1:6">
      <c r="A780" s="28" t="s">
        <v>41</v>
      </c>
      <c r="B780" s="28" t="s">
        <v>32</v>
      </c>
      <c r="C780" s="28">
        <v>2012</v>
      </c>
      <c r="D780" s="28" t="s">
        <v>1</v>
      </c>
      <c r="E780" s="28" t="s">
        <v>3</v>
      </c>
      <c r="F780" s="28">
        <v>126885.8115829</v>
      </c>
    </row>
    <row r="781" spans="1:6">
      <c r="A781" s="28" t="s">
        <v>41</v>
      </c>
      <c r="B781" s="28" t="s">
        <v>32</v>
      </c>
      <c r="C781" s="28">
        <v>2013</v>
      </c>
      <c r="D781" s="28" t="s">
        <v>1</v>
      </c>
      <c r="E781" s="28" t="s">
        <v>3</v>
      </c>
      <c r="F781" s="28">
        <v>93364.5596296</v>
      </c>
    </row>
    <row r="782" spans="1:6">
      <c r="A782" s="28" t="s">
        <v>41</v>
      </c>
      <c r="B782" s="28" t="s">
        <v>32</v>
      </c>
      <c r="C782" s="28">
        <v>2014</v>
      </c>
      <c r="D782" s="28" t="s">
        <v>1</v>
      </c>
      <c r="E782" s="28" t="s">
        <v>3</v>
      </c>
      <c r="F782" s="28">
        <v>86203.846185600007</v>
      </c>
    </row>
    <row r="783" spans="1:6">
      <c r="A783" s="28" t="s">
        <v>41</v>
      </c>
      <c r="B783" s="28" t="s">
        <v>32</v>
      </c>
      <c r="C783" s="28">
        <v>2015</v>
      </c>
      <c r="D783" s="28" t="s">
        <v>1</v>
      </c>
      <c r="E783" s="28" t="s">
        <v>3</v>
      </c>
      <c r="F783" s="28">
        <v>63120</v>
      </c>
    </row>
    <row r="784" spans="1:6">
      <c r="A784" s="28" t="s">
        <v>41</v>
      </c>
      <c r="B784" s="28" t="s">
        <v>32</v>
      </c>
      <c r="C784" s="28">
        <v>2016</v>
      </c>
      <c r="D784" s="28" t="s">
        <v>1</v>
      </c>
      <c r="E784" s="28" t="s">
        <v>3</v>
      </c>
      <c r="F784" s="28">
        <v>63765</v>
      </c>
    </row>
    <row r="785" spans="1:6">
      <c r="A785" s="28" t="s">
        <v>41</v>
      </c>
      <c r="B785" s="28" t="s">
        <v>32</v>
      </c>
      <c r="C785" s="28">
        <v>2017</v>
      </c>
      <c r="D785" s="28" t="s">
        <v>1</v>
      </c>
      <c r="E785" s="28" t="s">
        <v>3</v>
      </c>
      <c r="F785" s="28">
        <v>67462</v>
      </c>
    </row>
    <row r="786" spans="1:6">
      <c r="A786" s="28" t="s">
        <v>41</v>
      </c>
      <c r="B786" s="28" t="s">
        <v>32</v>
      </c>
      <c r="C786" s="28">
        <v>2010</v>
      </c>
      <c r="D786" s="28" t="s">
        <v>1</v>
      </c>
      <c r="E786" s="28" t="s">
        <v>5</v>
      </c>
      <c r="F786" s="28">
        <v>480869.5264116</v>
      </c>
    </row>
    <row r="787" spans="1:6">
      <c r="A787" s="28" t="s">
        <v>41</v>
      </c>
      <c r="B787" s="28" t="s">
        <v>32</v>
      </c>
      <c r="C787" s="28">
        <v>2011</v>
      </c>
      <c r="D787" s="28" t="s">
        <v>1</v>
      </c>
      <c r="E787" s="28" t="s">
        <v>5</v>
      </c>
      <c r="F787" s="28">
        <v>621585.53707570001</v>
      </c>
    </row>
    <row r="788" spans="1:6">
      <c r="A788" s="28" t="s">
        <v>41</v>
      </c>
      <c r="B788" s="28" t="s">
        <v>32</v>
      </c>
      <c r="C788" s="28">
        <v>2012</v>
      </c>
      <c r="D788" s="28" t="s">
        <v>1</v>
      </c>
      <c r="E788" s="28" t="s">
        <v>5</v>
      </c>
      <c r="F788" s="28">
        <v>537454.12942809996</v>
      </c>
    </row>
    <row r="789" spans="1:6">
      <c r="A789" s="28" t="s">
        <v>41</v>
      </c>
      <c r="B789" s="28" t="s">
        <v>32</v>
      </c>
      <c r="C789" s="28">
        <v>2013</v>
      </c>
      <c r="D789" s="28" t="s">
        <v>1</v>
      </c>
      <c r="E789" s="28" t="s">
        <v>5</v>
      </c>
      <c r="F789" s="28">
        <v>452792.44469199999</v>
      </c>
    </row>
    <row r="790" spans="1:6">
      <c r="A790" s="28" t="s">
        <v>41</v>
      </c>
      <c r="B790" s="28" t="s">
        <v>32</v>
      </c>
      <c r="C790" s="28">
        <v>2014</v>
      </c>
      <c r="D790" s="28" t="s">
        <v>1</v>
      </c>
      <c r="E790" s="28" t="s">
        <v>5</v>
      </c>
      <c r="F790" s="28">
        <v>377690.205816</v>
      </c>
    </row>
    <row r="791" spans="1:6">
      <c r="A791" s="28" t="s">
        <v>41</v>
      </c>
      <c r="B791" s="28" t="s">
        <v>32</v>
      </c>
      <c r="C791" s="28">
        <v>2015</v>
      </c>
      <c r="D791" s="28" t="s">
        <v>1</v>
      </c>
      <c r="E791" s="28" t="s">
        <v>5</v>
      </c>
      <c r="F791" s="28">
        <v>342072</v>
      </c>
    </row>
    <row r="792" spans="1:6">
      <c r="A792" s="28" t="s">
        <v>41</v>
      </c>
      <c r="B792" s="28" t="s">
        <v>32</v>
      </c>
      <c r="C792" s="28">
        <v>2016</v>
      </c>
      <c r="D792" s="28" t="s">
        <v>1</v>
      </c>
      <c r="E792" s="28" t="s">
        <v>5</v>
      </c>
      <c r="F792" s="28">
        <v>325465</v>
      </c>
    </row>
    <row r="793" spans="1:6">
      <c r="A793" s="28" t="s">
        <v>41</v>
      </c>
      <c r="B793" s="28" t="s">
        <v>32</v>
      </c>
      <c r="C793" s="28">
        <v>2017</v>
      </c>
      <c r="D793" s="28" t="s">
        <v>1</v>
      </c>
      <c r="E793" s="28" t="s">
        <v>5</v>
      </c>
      <c r="F793" s="28">
        <v>319127</v>
      </c>
    </row>
    <row r="794" spans="1:6">
      <c r="A794" s="28" t="s">
        <v>41</v>
      </c>
      <c r="B794" s="28" t="s">
        <v>32</v>
      </c>
      <c r="C794" s="28">
        <v>2010</v>
      </c>
      <c r="D794" s="28" t="s">
        <v>1</v>
      </c>
      <c r="E794" s="28" t="s">
        <v>6</v>
      </c>
      <c r="F794" s="28">
        <v>150891.46714590001</v>
      </c>
    </row>
    <row r="795" spans="1:6">
      <c r="A795" s="28" t="s">
        <v>41</v>
      </c>
      <c r="B795" s="28" t="s">
        <v>32</v>
      </c>
      <c r="C795" s="28">
        <v>2011</v>
      </c>
      <c r="D795" s="28" t="s">
        <v>1</v>
      </c>
      <c r="E795" s="28" t="s">
        <v>6</v>
      </c>
      <c r="F795" s="28">
        <v>172742.57242859999</v>
      </c>
    </row>
    <row r="796" spans="1:6">
      <c r="A796" s="28" t="s">
        <v>41</v>
      </c>
      <c r="B796" s="28" t="s">
        <v>32</v>
      </c>
      <c r="C796" s="28">
        <v>2012</v>
      </c>
      <c r="D796" s="28" t="s">
        <v>1</v>
      </c>
      <c r="E796" s="28" t="s">
        <v>6</v>
      </c>
      <c r="F796" s="28">
        <v>107508.9401639</v>
      </c>
    </row>
    <row r="797" spans="1:6">
      <c r="A797" s="28" t="s">
        <v>41</v>
      </c>
      <c r="B797" s="28" t="s">
        <v>32</v>
      </c>
      <c r="C797" s="28">
        <v>2013</v>
      </c>
      <c r="D797" s="28" t="s">
        <v>1</v>
      </c>
      <c r="E797" s="28" t="s">
        <v>6</v>
      </c>
      <c r="F797" s="28">
        <v>26570.219143999999</v>
      </c>
    </row>
    <row r="798" spans="1:6">
      <c r="A798" s="28" t="s">
        <v>41</v>
      </c>
      <c r="B798" s="28" t="s">
        <v>32</v>
      </c>
      <c r="C798" s="28">
        <v>2014</v>
      </c>
      <c r="D798" s="28" t="s">
        <v>1</v>
      </c>
      <c r="E798" s="28" t="s">
        <v>6</v>
      </c>
      <c r="F798" s="28">
        <v>-148784.95898639999</v>
      </c>
    </row>
    <row r="799" spans="1:6">
      <c r="A799" s="28" t="s">
        <v>41</v>
      </c>
      <c r="B799" s="28" t="s">
        <v>32</v>
      </c>
      <c r="C799" s="28">
        <v>2015</v>
      </c>
      <c r="D799" s="28" t="s">
        <v>1</v>
      </c>
      <c r="E799" s="28" t="s">
        <v>6</v>
      </c>
      <c r="F799" s="28">
        <v>-261854</v>
      </c>
    </row>
    <row r="800" spans="1:6">
      <c r="A800" s="28" t="s">
        <v>41</v>
      </c>
      <c r="B800" s="28" t="s">
        <v>32</v>
      </c>
      <c r="C800" s="28">
        <v>2016</v>
      </c>
      <c r="D800" s="28" t="s">
        <v>1</v>
      </c>
      <c r="E800" s="28" t="s">
        <v>6</v>
      </c>
      <c r="F800" s="28">
        <v>-252588</v>
      </c>
    </row>
    <row r="801" spans="1:6">
      <c r="A801" s="28" t="s">
        <v>41</v>
      </c>
      <c r="B801" s="28" t="s">
        <v>32</v>
      </c>
      <c r="C801" s="28">
        <v>2017</v>
      </c>
      <c r="D801" s="28" t="s">
        <v>1</v>
      </c>
      <c r="E801" s="28" t="s">
        <v>6</v>
      </c>
      <c r="F801" s="28">
        <v>-244133</v>
      </c>
    </row>
    <row r="802" spans="1:6">
      <c r="A802" s="28" t="s">
        <v>41</v>
      </c>
      <c r="B802" s="28" t="s">
        <v>32</v>
      </c>
      <c r="C802" s="28">
        <v>2010</v>
      </c>
      <c r="D802" s="28" t="s">
        <v>1</v>
      </c>
      <c r="E802" s="28" t="s">
        <v>8</v>
      </c>
      <c r="F802" s="28">
        <v>217226.3600406</v>
      </c>
    </row>
    <row r="803" spans="1:6">
      <c r="A803" s="28" t="s">
        <v>41</v>
      </c>
      <c r="B803" s="28" t="s">
        <v>32</v>
      </c>
      <c r="C803" s="28">
        <v>2011</v>
      </c>
      <c r="D803" s="28" t="s">
        <v>1</v>
      </c>
      <c r="E803" s="28" t="s">
        <v>8</v>
      </c>
      <c r="F803" s="28">
        <v>296258.69238949998</v>
      </c>
    </row>
    <row r="804" spans="1:6">
      <c r="A804" s="28" t="s">
        <v>41</v>
      </c>
      <c r="B804" s="28" t="s">
        <v>32</v>
      </c>
      <c r="C804" s="28">
        <v>2012</v>
      </c>
      <c r="D804" s="28" t="s">
        <v>1</v>
      </c>
      <c r="E804" s="28" t="s">
        <v>8</v>
      </c>
      <c r="F804" s="28">
        <v>315849.5646329</v>
      </c>
    </row>
    <row r="805" spans="1:6">
      <c r="A805" s="28" t="s">
        <v>41</v>
      </c>
      <c r="B805" s="28" t="s">
        <v>32</v>
      </c>
      <c r="C805" s="28">
        <v>2013</v>
      </c>
      <c r="D805" s="28" t="s">
        <v>1</v>
      </c>
      <c r="E805" s="28" t="s">
        <v>8</v>
      </c>
      <c r="F805" s="28">
        <v>308610.56539040001</v>
      </c>
    </row>
    <row r="806" spans="1:6">
      <c r="A806" s="28" t="s">
        <v>41</v>
      </c>
      <c r="B806" s="28" t="s">
        <v>32</v>
      </c>
      <c r="C806" s="28">
        <v>2014</v>
      </c>
      <c r="D806" s="28" t="s">
        <v>1</v>
      </c>
      <c r="E806" s="28" t="s">
        <v>8</v>
      </c>
      <c r="F806" s="28">
        <v>30075.290572800001</v>
      </c>
    </row>
    <row r="807" spans="1:6">
      <c r="A807" s="28" t="s">
        <v>41</v>
      </c>
      <c r="B807" s="28" t="s">
        <v>32</v>
      </c>
      <c r="C807" s="28">
        <v>2015</v>
      </c>
      <c r="D807" s="28" t="s">
        <v>1</v>
      </c>
      <c r="E807" s="28" t="s">
        <v>8</v>
      </c>
      <c r="F807" s="28">
        <v>23390</v>
      </c>
    </row>
    <row r="808" spans="1:6">
      <c r="A808" s="28" t="s">
        <v>41</v>
      </c>
      <c r="B808" s="28" t="s">
        <v>32</v>
      </c>
      <c r="C808" s="28">
        <v>2016</v>
      </c>
      <c r="D808" s="28" t="s">
        <v>1</v>
      </c>
      <c r="E808" s="28" t="s">
        <v>8</v>
      </c>
      <c r="F808" s="28">
        <v>72707</v>
      </c>
    </row>
    <row r="809" spans="1:6">
      <c r="A809" s="28" t="s">
        <v>41</v>
      </c>
      <c r="B809" s="28" t="s">
        <v>32</v>
      </c>
      <c r="C809" s="28">
        <v>2017</v>
      </c>
      <c r="D809" s="28" t="s">
        <v>1</v>
      </c>
      <c r="E809" s="28" t="s">
        <v>8</v>
      </c>
      <c r="F809" s="28">
        <v>79112</v>
      </c>
    </row>
    <row r="810" spans="1:6">
      <c r="A810" s="28" t="s">
        <v>41</v>
      </c>
      <c r="B810" s="28" t="s">
        <v>32</v>
      </c>
      <c r="C810" s="28">
        <v>2010</v>
      </c>
      <c r="D810" s="28" t="s">
        <v>1</v>
      </c>
      <c r="E810" s="28" t="s">
        <v>9</v>
      </c>
      <c r="F810" s="28">
        <v>112751.6992251</v>
      </c>
    </row>
    <row r="811" spans="1:6">
      <c r="A811" s="28" t="s">
        <v>41</v>
      </c>
      <c r="B811" s="28" t="s">
        <v>32</v>
      </c>
      <c r="C811" s="28">
        <v>2011</v>
      </c>
      <c r="D811" s="28" t="s">
        <v>1</v>
      </c>
      <c r="E811" s="28" t="s">
        <v>9</v>
      </c>
      <c r="F811" s="28">
        <v>152584.27225760001</v>
      </c>
    </row>
    <row r="812" spans="1:6">
      <c r="A812" s="28" t="s">
        <v>41</v>
      </c>
      <c r="B812" s="28" t="s">
        <v>32</v>
      </c>
      <c r="C812" s="28">
        <v>2012</v>
      </c>
      <c r="D812" s="28" t="s">
        <v>1</v>
      </c>
      <c r="E812" s="28" t="s">
        <v>9</v>
      </c>
      <c r="F812" s="28">
        <v>114095.6246313</v>
      </c>
    </row>
    <row r="813" spans="1:6">
      <c r="A813" s="28" t="s">
        <v>41</v>
      </c>
      <c r="B813" s="28" t="s">
        <v>32</v>
      </c>
      <c r="C813" s="28">
        <v>2013</v>
      </c>
      <c r="D813" s="28" t="s">
        <v>1</v>
      </c>
      <c r="E813" s="28" t="s">
        <v>9</v>
      </c>
      <c r="F813" s="28">
        <v>117611.6601576</v>
      </c>
    </row>
    <row r="814" spans="1:6">
      <c r="A814" s="28" t="s">
        <v>41</v>
      </c>
      <c r="B814" s="28" t="s">
        <v>32</v>
      </c>
      <c r="C814" s="28">
        <v>2014</v>
      </c>
      <c r="D814" s="28" t="s">
        <v>1</v>
      </c>
      <c r="E814" s="28" t="s">
        <v>9</v>
      </c>
      <c r="F814" s="28">
        <v>496399.87422960001</v>
      </c>
    </row>
    <row r="815" spans="1:6">
      <c r="A815" s="28" t="s">
        <v>41</v>
      </c>
      <c r="B815" s="28" t="s">
        <v>32</v>
      </c>
      <c r="C815" s="28">
        <v>2015</v>
      </c>
      <c r="D815" s="28" t="s">
        <v>1</v>
      </c>
      <c r="E815" s="28" t="s">
        <v>9</v>
      </c>
      <c r="F815" s="28">
        <v>580536</v>
      </c>
    </row>
    <row r="816" spans="1:6">
      <c r="A816" s="28" t="s">
        <v>41</v>
      </c>
      <c r="B816" s="28" t="s">
        <v>32</v>
      </c>
      <c r="C816" s="28">
        <v>2016</v>
      </c>
      <c r="D816" s="28" t="s">
        <v>1</v>
      </c>
      <c r="E816" s="28" t="s">
        <v>9</v>
      </c>
      <c r="F816" s="28">
        <v>505346</v>
      </c>
    </row>
    <row r="817" spans="1:6">
      <c r="A817" s="28" t="s">
        <v>41</v>
      </c>
      <c r="B817" s="28" t="s">
        <v>32</v>
      </c>
      <c r="C817" s="28">
        <v>2017</v>
      </c>
      <c r="D817" s="28" t="s">
        <v>1</v>
      </c>
      <c r="E817" s="28" t="s">
        <v>9</v>
      </c>
      <c r="F817" s="28">
        <v>484148</v>
      </c>
    </row>
    <row r="818" spans="1:6">
      <c r="A818" s="28" t="s">
        <v>41</v>
      </c>
      <c r="B818" s="28" t="s">
        <v>32</v>
      </c>
      <c r="C818" s="28">
        <v>2010</v>
      </c>
      <c r="D818" s="28" t="s">
        <v>1</v>
      </c>
      <c r="E818" s="28" t="s">
        <v>10</v>
      </c>
      <c r="F818" s="28">
        <v>480869.5264116</v>
      </c>
    </row>
    <row r="819" spans="1:6">
      <c r="A819" s="28" t="s">
        <v>41</v>
      </c>
      <c r="B819" s="28" t="s">
        <v>32</v>
      </c>
      <c r="C819" s="28">
        <v>2011</v>
      </c>
      <c r="D819" s="28" t="s">
        <v>1</v>
      </c>
      <c r="E819" s="28" t="s">
        <v>10</v>
      </c>
      <c r="F819" s="28">
        <v>621585.53707570001</v>
      </c>
    </row>
    <row r="820" spans="1:6">
      <c r="A820" s="28" t="s">
        <v>41</v>
      </c>
      <c r="B820" s="28" t="s">
        <v>32</v>
      </c>
      <c r="C820" s="28">
        <v>2012</v>
      </c>
      <c r="D820" s="28" t="s">
        <v>1</v>
      </c>
      <c r="E820" s="28" t="s">
        <v>10</v>
      </c>
      <c r="F820" s="28">
        <v>537454.12942809996</v>
      </c>
    </row>
    <row r="821" spans="1:6">
      <c r="A821" s="28" t="s">
        <v>41</v>
      </c>
      <c r="B821" s="28" t="s">
        <v>32</v>
      </c>
      <c r="C821" s="28">
        <v>2013</v>
      </c>
      <c r="D821" s="28" t="s">
        <v>1</v>
      </c>
      <c r="E821" s="28" t="s">
        <v>10</v>
      </c>
      <c r="F821" s="28">
        <v>452792.44469199999</v>
      </c>
    </row>
    <row r="822" spans="1:6">
      <c r="A822" s="28" t="s">
        <v>41</v>
      </c>
      <c r="B822" s="28" t="s">
        <v>32</v>
      </c>
      <c r="C822" s="28">
        <v>2014</v>
      </c>
      <c r="D822" s="28" t="s">
        <v>1</v>
      </c>
      <c r="E822" s="28" t="s">
        <v>10</v>
      </c>
      <c r="F822" s="28">
        <v>377690.205816</v>
      </c>
    </row>
    <row r="823" spans="1:6">
      <c r="A823" s="28" t="s">
        <v>41</v>
      </c>
      <c r="B823" s="28" t="s">
        <v>32</v>
      </c>
      <c r="C823" s="28">
        <v>2015</v>
      </c>
      <c r="D823" s="28" t="s">
        <v>1</v>
      </c>
      <c r="E823" s="28" t="s">
        <v>10</v>
      </c>
      <c r="F823" s="28">
        <v>342072</v>
      </c>
    </row>
    <row r="824" spans="1:6">
      <c r="A824" s="28" t="s">
        <v>41</v>
      </c>
      <c r="B824" s="28" t="s">
        <v>32</v>
      </c>
      <c r="C824" s="28">
        <v>2016</v>
      </c>
      <c r="D824" s="28" t="s">
        <v>1</v>
      </c>
      <c r="E824" s="28" t="s">
        <v>10</v>
      </c>
      <c r="F824" s="28">
        <v>325465</v>
      </c>
    </row>
    <row r="825" spans="1:6">
      <c r="A825" s="28" t="s">
        <v>41</v>
      </c>
      <c r="B825" s="28" t="s">
        <v>32</v>
      </c>
      <c r="C825" s="28">
        <v>2017</v>
      </c>
      <c r="D825" s="28" t="s">
        <v>1</v>
      </c>
      <c r="E825" s="28" t="s">
        <v>10</v>
      </c>
      <c r="F825" s="28">
        <v>319127</v>
      </c>
    </row>
    <row r="826" spans="1:6">
      <c r="A826" s="28" t="s">
        <v>41</v>
      </c>
      <c r="B826" s="28" t="s">
        <v>32</v>
      </c>
      <c r="C826" s="28">
        <v>2010</v>
      </c>
      <c r="D826" s="28" t="s">
        <v>1</v>
      </c>
      <c r="E826" s="28" t="s">
        <v>11</v>
      </c>
      <c r="F826" s="28">
        <v>0.68621120936504398</v>
      </c>
    </row>
    <row r="827" spans="1:6">
      <c r="A827" s="28" t="s">
        <v>41</v>
      </c>
      <c r="B827" s="28" t="s">
        <v>32</v>
      </c>
      <c r="C827" s="28">
        <v>2011</v>
      </c>
      <c r="D827" s="28" t="s">
        <v>1</v>
      </c>
      <c r="E827" s="28" t="s">
        <v>11</v>
      </c>
      <c r="F827" s="28">
        <v>0.72209364258814401</v>
      </c>
    </row>
    <row r="828" spans="1:6">
      <c r="A828" s="28" t="s">
        <v>41</v>
      </c>
      <c r="B828" s="28" t="s">
        <v>32</v>
      </c>
      <c r="C828" s="28">
        <v>2012</v>
      </c>
      <c r="D828" s="28" t="s">
        <v>1</v>
      </c>
      <c r="E828" s="28" t="s">
        <v>11</v>
      </c>
      <c r="F828" s="28">
        <v>0.79996629614084602</v>
      </c>
    </row>
    <row r="829" spans="1:6">
      <c r="A829" s="28" t="s">
        <v>41</v>
      </c>
      <c r="B829" s="28" t="s">
        <v>32</v>
      </c>
      <c r="C829" s="28">
        <v>2013</v>
      </c>
      <c r="D829" s="28" t="s">
        <v>1</v>
      </c>
      <c r="E829" s="28" t="s">
        <v>11</v>
      </c>
      <c r="F829" s="28">
        <v>0.94131920826975402</v>
      </c>
    </row>
    <row r="830" spans="1:6">
      <c r="A830" s="28" t="s">
        <v>41</v>
      </c>
      <c r="B830" s="28" t="s">
        <v>32</v>
      </c>
      <c r="C830" s="28">
        <v>2014</v>
      </c>
      <c r="D830" s="28" t="s">
        <v>1</v>
      </c>
      <c r="E830" s="28" t="s">
        <v>11</v>
      </c>
      <c r="F830" s="28">
        <v>1.3939338555654399</v>
      </c>
    </row>
    <row r="831" spans="1:6">
      <c r="A831" s="28" t="s">
        <v>41</v>
      </c>
      <c r="B831" s="28" t="s">
        <v>32</v>
      </c>
      <c r="C831" s="28">
        <v>2015</v>
      </c>
      <c r="D831" s="28" t="s">
        <v>1</v>
      </c>
      <c r="E831" s="28" t="s">
        <v>11</v>
      </c>
      <c r="F831" s="28">
        <v>1.7654938141677801</v>
      </c>
    </row>
    <row r="832" spans="1:6">
      <c r="A832" s="28" t="s">
        <v>41</v>
      </c>
      <c r="B832" s="28" t="s">
        <v>32</v>
      </c>
      <c r="C832" s="28">
        <v>2016</v>
      </c>
      <c r="D832" s="28" t="s">
        <v>1</v>
      </c>
      <c r="E832" s="28" t="s">
        <v>11</v>
      </c>
      <c r="F832" s="28">
        <v>1.77608344983332</v>
      </c>
    </row>
    <row r="833" spans="1:6">
      <c r="A833" s="28" t="s">
        <v>41</v>
      </c>
      <c r="B833" s="28" t="s">
        <v>32</v>
      </c>
      <c r="C833" s="28">
        <v>2017</v>
      </c>
      <c r="D833" s="28" t="s">
        <v>1</v>
      </c>
      <c r="E833" s="28" t="s">
        <v>11</v>
      </c>
      <c r="F833" s="28">
        <v>1.76500264784866</v>
      </c>
    </row>
    <row r="834" spans="1:6">
      <c r="A834" s="28" t="s">
        <v>41</v>
      </c>
      <c r="B834" s="28" t="s">
        <v>32</v>
      </c>
      <c r="C834" s="28">
        <v>2010</v>
      </c>
      <c r="D834" s="28" t="s">
        <v>4</v>
      </c>
      <c r="E834" s="28" t="s">
        <v>12</v>
      </c>
      <c r="F834" s="28">
        <v>297028.9645684</v>
      </c>
    </row>
    <row r="835" spans="1:6">
      <c r="A835" s="28" t="s">
        <v>41</v>
      </c>
      <c r="B835" s="28" t="s">
        <v>32</v>
      </c>
      <c r="C835" s="28">
        <v>2011</v>
      </c>
      <c r="D835" s="28" t="s">
        <v>4</v>
      </c>
      <c r="E835" s="28" t="s">
        <v>12</v>
      </c>
      <c r="F835" s="28">
        <v>403941.44648849999</v>
      </c>
    </row>
    <row r="836" spans="1:6">
      <c r="A836" s="28" t="s">
        <v>41</v>
      </c>
      <c r="B836" s="28" t="s">
        <v>32</v>
      </c>
      <c r="C836" s="28">
        <v>2012</v>
      </c>
      <c r="D836" s="28" t="s">
        <v>4</v>
      </c>
      <c r="E836" s="28" t="s">
        <v>12</v>
      </c>
      <c r="F836" s="28">
        <v>342450.15752910002</v>
      </c>
    </row>
    <row r="837" spans="1:6">
      <c r="A837" s="28" t="s">
        <v>41</v>
      </c>
      <c r="B837" s="28" t="s">
        <v>32</v>
      </c>
      <c r="C837" s="28">
        <v>2013</v>
      </c>
      <c r="D837" s="28" t="s">
        <v>4</v>
      </c>
      <c r="E837" s="28" t="s">
        <v>12</v>
      </c>
      <c r="F837" s="28">
        <v>280699.7254852</v>
      </c>
    </row>
    <row r="838" spans="1:6">
      <c r="A838" s="28" t="s">
        <v>41</v>
      </c>
      <c r="B838" s="28" t="s">
        <v>32</v>
      </c>
      <c r="C838" s="28">
        <v>2014</v>
      </c>
      <c r="D838" s="28" t="s">
        <v>4</v>
      </c>
      <c r="E838" s="28" t="s">
        <v>12</v>
      </c>
      <c r="F838" s="28">
        <v>360378.2021928</v>
      </c>
    </row>
    <row r="839" spans="1:6">
      <c r="A839" s="28" t="s">
        <v>41</v>
      </c>
      <c r="B839" s="28" t="s">
        <v>32</v>
      </c>
      <c r="C839" s="28">
        <v>2015</v>
      </c>
      <c r="D839" s="28" t="s">
        <v>4</v>
      </c>
      <c r="E839" s="28" t="s">
        <v>12</v>
      </c>
      <c r="F839" s="28">
        <v>253141</v>
      </c>
    </row>
    <row r="840" spans="1:6">
      <c r="A840" s="28" t="s">
        <v>41</v>
      </c>
      <c r="B840" s="28" t="s">
        <v>32</v>
      </c>
      <c r="C840" s="28">
        <v>2016</v>
      </c>
      <c r="D840" s="28" t="s">
        <v>4</v>
      </c>
      <c r="E840" s="28" t="s">
        <v>12</v>
      </c>
      <c r="F840" s="28">
        <v>129687</v>
      </c>
    </row>
    <row r="841" spans="1:6">
      <c r="A841" s="28" t="s">
        <v>41</v>
      </c>
      <c r="B841" s="28" t="s">
        <v>32</v>
      </c>
      <c r="C841" s="28">
        <v>2017</v>
      </c>
      <c r="D841" s="28" t="s">
        <v>4</v>
      </c>
      <c r="E841" s="28" t="s">
        <v>12</v>
      </c>
      <c r="F841" s="28">
        <v>138757</v>
      </c>
    </row>
    <row r="842" spans="1:6">
      <c r="A842" s="28" t="s">
        <v>41</v>
      </c>
      <c r="B842" s="28" t="s">
        <v>32</v>
      </c>
      <c r="C842" s="28">
        <v>2010</v>
      </c>
      <c r="D842" s="28" t="s">
        <v>4</v>
      </c>
      <c r="E842" s="28" t="s">
        <v>13</v>
      </c>
      <c r="F842" s="28">
        <v>20029.814879699999</v>
      </c>
    </row>
    <row r="843" spans="1:6">
      <c r="A843" s="28" t="s">
        <v>41</v>
      </c>
      <c r="B843" s="28" t="s">
        <v>32</v>
      </c>
      <c r="C843" s="28">
        <v>2011</v>
      </c>
      <c r="D843" s="28" t="s">
        <v>4</v>
      </c>
      <c r="E843" s="28" t="s">
        <v>13</v>
      </c>
      <c r="F843" s="28">
        <v>23435.058248500001</v>
      </c>
    </row>
    <row r="844" spans="1:6">
      <c r="A844" s="28" t="s">
        <v>41</v>
      </c>
      <c r="B844" s="28" t="s">
        <v>32</v>
      </c>
      <c r="C844" s="28">
        <v>2012</v>
      </c>
      <c r="D844" s="28" t="s">
        <v>4</v>
      </c>
      <c r="E844" s="28" t="s">
        <v>13</v>
      </c>
      <c r="F844" s="28">
        <v>-50557.424493600003</v>
      </c>
    </row>
    <row r="845" spans="1:6">
      <c r="A845" s="28" t="s">
        <v>41</v>
      </c>
      <c r="B845" s="28" t="s">
        <v>32</v>
      </c>
      <c r="C845" s="28">
        <v>2013</v>
      </c>
      <c r="D845" s="28" t="s">
        <v>4</v>
      </c>
      <c r="E845" s="28" t="s">
        <v>13</v>
      </c>
      <c r="F845" s="28">
        <v>-95831.555808799996</v>
      </c>
    </row>
    <row r="846" spans="1:6">
      <c r="A846" s="28" t="s">
        <v>41</v>
      </c>
      <c r="B846" s="28" t="s">
        <v>32</v>
      </c>
      <c r="C846" s="28">
        <v>2014</v>
      </c>
      <c r="D846" s="28" t="s">
        <v>4</v>
      </c>
      <c r="E846" s="28" t="s">
        <v>13</v>
      </c>
      <c r="F846" s="28">
        <v>-243911.10612000001</v>
      </c>
    </row>
    <row r="847" spans="1:6">
      <c r="A847" s="28" t="s">
        <v>41</v>
      </c>
      <c r="B847" s="28" t="s">
        <v>32</v>
      </c>
      <c r="C847" s="28">
        <v>2015</v>
      </c>
      <c r="D847" s="28" t="s">
        <v>4</v>
      </c>
      <c r="E847" s="28" t="s">
        <v>13</v>
      </c>
      <c r="F847" s="28">
        <v>-115163</v>
      </c>
    </row>
    <row r="848" spans="1:6">
      <c r="A848" s="28" t="s">
        <v>41</v>
      </c>
      <c r="B848" s="28" t="s">
        <v>32</v>
      </c>
      <c r="C848" s="28">
        <v>2016</v>
      </c>
      <c r="D848" s="28" t="s">
        <v>4</v>
      </c>
      <c r="E848" s="28" t="s">
        <v>13</v>
      </c>
      <c r="F848" s="28">
        <v>7126</v>
      </c>
    </row>
    <row r="849" spans="1:6">
      <c r="A849" s="28" t="s">
        <v>41</v>
      </c>
      <c r="B849" s="28" t="s">
        <v>32</v>
      </c>
      <c r="C849" s="28">
        <v>2017</v>
      </c>
      <c r="D849" s="28" t="s">
        <v>4</v>
      </c>
      <c r="E849" s="28" t="s">
        <v>13</v>
      </c>
      <c r="F849" s="28">
        <v>11557</v>
      </c>
    </row>
    <row r="850" spans="1:6">
      <c r="A850" s="28" t="s">
        <v>41</v>
      </c>
      <c r="B850" s="28" t="s">
        <v>32</v>
      </c>
      <c r="C850" s="28">
        <v>2010</v>
      </c>
      <c r="D850" s="28" t="s">
        <v>4</v>
      </c>
      <c r="E850" s="28" t="s">
        <v>14</v>
      </c>
      <c r="F850" s="28">
        <v>9746.0360000000001</v>
      </c>
    </row>
    <row r="851" spans="1:6">
      <c r="A851" s="28" t="s">
        <v>41</v>
      </c>
      <c r="B851" s="28" t="s">
        <v>32</v>
      </c>
      <c r="C851" s="28">
        <v>2011</v>
      </c>
      <c r="D851" s="28" t="s">
        <v>4</v>
      </c>
      <c r="E851" s="28" t="s">
        <v>14</v>
      </c>
      <c r="F851" s="28">
        <v>12546.285</v>
      </c>
    </row>
    <row r="852" spans="1:6">
      <c r="A852" s="28" t="s">
        <v>41</v>
      </c>
      <c r="B852" s="28" t="s">
        <v>32</v>
      </c>
      <c r="C852" s="28">
        <v>2012</v>
      </c>
      <c r="D852" s="28" t="s">
        <v>4</v>
      </c>
      <c r="E852" s="28" t="s">
        <v>14</v>
      </c>
      <c r="F852" s="28">
        <v>11274.933000000001</v>
      </c>
    </row>
    <row r="853" spans="1:6">
      <c r="A853" s="28" t="s">
        <v>41</v>
      </c>
      <c r="B853" s="28" t="s">
        <v>32</v>
      </c>
      <c r="C853" s="28">
        <v>2013</v>
      </c>
      <c r="D853" s="28" t="s">
        <v>4</v>
      </c>
      <c r="E853" s="28" t="s">
        <v>14</v>
      </c>
      <c r="F853" s="28">
        <v>8576.4310000000005</v>
      </c>
    </row>
    <row r="854" spans="1:6">
      <c r="A854" s="28" t="s">
        <v>41</v>
      </c>
      <c r="B854" s="28" t="s">
        <v>32</v>
      </c>
      <c r="C854" s="28">
        <v>2014</v>
      </c>
      <c r="D854" s="28" t="s">
        <v>4</v>
      </c>
      <c r="E854" s="28" t="s">
        <v>14</v>
      </c>
      <c r="F854" s="28">
        <v>6405.7669999999998</v>
      </c>
    </row>
    <row r="855" spans="1:6">
      <c r="A855" s="28" t="s">
        <v>41</v>
      </c>
      <c r="B855" s="28" t="s">
        <v>32</v>
      </c>
      <c r="C855" s="28">
        <v>2015</v>
      </c>
      <c r="D855" s="28" t="s">
        <v>4</v>
      </c>
      <c r="E855" s="28" t="s">
        <v>14</v>
      </c>
      <c r="F855" s="28">
        <v>3473.26594651406</v>
      </c>
    </row>
    <row r="856" spans="1:6">
      <c r="A856" s="28" t="s">
        <v>41</v>
      </c>
      <c r="B856" s="28" t="s">
        <v>32</v>
      </c>
      <c r="C856" s="28">
        <v>2016</v>
      </c>
      <c r="D856" s="28" t="s">
        <v>4</v>
      </c>
      <c r="E856" s="28" t="s">
        <v>14</v>
      </c>
      <c r="F856" s="28">
        <v>2138.0420034653898</v>
      </c>
    </row>
    <row r="857" spans="1:6">
      <c r="A857" s="28" t="s">
        <v>41</v>
      </c>
      <c r="B857" s="28" t="s">
        <v>32</v>
      </c>
      <c r="C857" s="28">
        <v>2017</v>
      </c>
      <c r="D857" s="28" t="s">
        <v>4</v>
      </c>
      <c r="E857" s="28" t="s">
        <v>14</v>
      </c>
      <c r="F857" s="28">
        <v>2408.96732997455</v>
      </c>
    </row>
    <row r="858" spans="1:6">
      <c r="A858" s="28" t="s">
        <v>41</v>
      </c>
      <c r="B858" s="28" t="s">
        <v>32</v>
      </c>
      <c r="C858" s="28">
        <v>2010</v>
      </c>
      <c r="D858" s="28" t="s">
        <v>4</v>
      </c>
      <c r="E858" s="28" t="s">
        <v>15</v>
      </c>
      <c r="F858" s="28">
        <v>657.21299999999997</v>
      </c>
    </row>
    <row r="859" spans="1:6">
      <c r="A859" s="28" t="s">
        <v>41</v>
      </c>
      <c r="B859" s="28" t="s">
        <v>32</v>
      </c>
      <c r="C859" s="28">
        <v>2011</v>
      </c>
      <c r="D859" s="28" t="s">
        <v>4</v>
      </c>
      <c r="E859" s="28" t="s">
        <v>15</v>
      </c>
      <c r="F859" s="28">
        <v>727.88499999999999</v>
      </c>
    </row>
    <row r="860" spans="1:6">
      <c r="A860" s="28" t="s">
        <v>41</v>
      </c>
      <c r="B860" s="28" t="s">
        <v>32</v>
      </c>
      <c r="C860" s="28">
        <v>2012</v>
      </c>
      <c r="D860" s="28" t="s">
        <v>4</v>
      </c>
      <c r="E860" s="28" t="s">
        <v>15</v>
      </c>
      <c r="F860" s="28">
        <v>-1664.568</v>
      </c>
    </row>
    <row r="861" spans="1:6">
      <c r="A861" s="28" t="s">
        <v>41</v>
      </c>
      <c r="B861" s="28" t="s">
        <v>32</v>
      </c>
      <c r="C861" s="28">
        <v>2013</v>
      </c>
      <c r="D861" s="28" t="s">
        <v>4</v>
      </c>
      <c r="E861" s="28" t="s">
        <v>15</v>
      </c>
      <c r="F861" s="28">
        <v>-2928.0140000000001</v>
      </c>
    </row>
    <row r="862" spans="1:6">
      <c r="A862" s="28" t="s">
        <v>41</v>
      </c>
      <c r="B862" s="28" t="s">
        <v>32</v>
      </c>
      <c r="C862" s="28">
        <v>2014</v>
      </c>
      <c r="D862" s="28" t="s">
        <v>4</v>
      </c>
      <c r="E862" s="28" t="s">
        <v>15</v>
      </c>
      <c r="F862" s="28">
        <v>-4335.55</v>
      </c>
    </row>
    <row r="863" spans="1:6">
      <c r="A863" s="28" t="s">
        <v>41</v>
      </c>
      <c r="B863" s="28" t="s">
        <v>32</v>
      </c>
      <c r="C863" s="28">
        <v>2015</v>
      </c>
      <c r="D863" s="28" t="s">
        <v>4</v>
      </c>
      <c r="E863" s="28" t="s">
        <v>15</v>
      </c>
      <c r="F863" s="28">
        <v>-1580.11434812377</v>
      </c>
    </row>
    <row r="864" spans="1:6">
      <c r="A864" s="28" t="s">
        <v>41</v>
      </c>
      <c r="B864" s="28" t="s">
        <v>32</v>
      </c>
      <c r="C864" s="28">
        <v>2016</v>
      </c>
      <c r="D864" s="28" t="s">
        <v>4</v>
      </c>
      <c r="E864" s="28" t="s">
        <v>15</v>
      </c>
      <c r="F864" s="28">
        <v>117.48045152324001</v>
      </c>
    </row>
    <row r="865" spans="1:6">
      <c r="A865" s="28" t="s">
        <v>41</v>
      </c>
      <c r="B865" s="28" t="s">
        <v>32</v>
      </c>
      <c r="C865" s="28">
        <v>2017</v>
      </c>
      <c r="D865" s="28" t="s">
        <v>4</v>
      </c>
      <c r="E865" s="28" t="s">
        <v>15</v>
      </c>
      <c r="F865" s="28">
        <v>200.641664438665</v>
      </c>
    </row>
    <row r="866" spans="1:6">
      <c r="A866" s="28" t="s">
        <v>41</v>
      </c>
      <c r="B866" s="28" t="s">
        <v>32</v>
      </c>
      <c r="C866" s="28">
        <v>2010</v>
      </c>
      <c r="D866" s="28" t="s">
        <v>7</v>
      </c>
      <c r="E866" s="28" t="s">
        <v>16</v>
      </c>
      <c r="F866" s="28">
        <v>15004.448361799999</v>
      </c>
    </row>
    <row r="867" spans="1:6">
      <c r="A867" s="28" t="s">
        <v>41</v>
      </c>
      <c r="B867" s="28" t="s">
        <v>32</v>
      </c>
      <c r="C867" s="28">
        <v>2011</v>
      </c>
      <c r="D867" s="28" t="s">
        <v>7</v>
      </c>
      <c r="E867" s="28" t="s">
        <v>16</v>
      </c>
      <c r="F867" s="28">
        <v>17075.330419400001</v>
      </c>
    </row>
    <row r="868" spans="1:6">
      <c r="A868" s="28" t="s">
        <v>41</v>
      </c>
      <c r="B868" s="28" t="s">
        <v>32</v>
      </c>
      <c r="C868" s="28">
        <v>2012</v>
      </c>
      <c r="D868" s="28" t="s">
        <v>7</v>
      </c>
      <c r="E868" s="28" t="s">
        <v>16</v>
      </c>
      <c r="F868" s="28">
        <v>-3026.2750825999901</v>
      </c>
    </row>
    <row r="869" spans="1:6">
      <c r="A869" s="28" t="s">
        <v>41</v>
      </c>
      <c r="B869" s="28" t="s">
        <v>32</v>
      </c>
      <c r="C869" s="28">
        <v>2013</v>
      </c>
      <c r="D869" s="28" t="s">
        <v>7</v>
      </c>
      <c r="E869" s="28" t="s">
        <v>16</v>
      </c>
      <c r="F869" s="28">
        <v>-25179.326331600001</v>
      </c>
    </row>
    <row r="870" spans="1:6">
      <c r="A870" s="28" t="s">
        <v>41</v>
      </c>
      <c r="B870" s="28" t="s">
        <v>32</v>
      </c>
      <c r="C870" s="28">
        <v>2014</v>
      </c>
      <c r="D870" s="28" t="s">
        <v>7</v>
      </c>
      <c r="E870" s="28" t="s">
        <v>16</v>
      </c>
      <c r="F870" s="28">
        <v>-38564.6801672</v>
      </c>
    </row>
    <row r="871" spans="1:6">
      <c r="A871" s="28" t="s">
        <v>41</v>
      </c>
      <c r="B871" s="28" t="s">
        <v>32</v>
      </c>
      <c r="C871" s="28">
        <v>2015</v>
      </c>
      <c r="D871" s="28" t="s">
        <v>7</v>
      </c>
      <c r="E871" s="28" t="s">
        <v>16</v>
      </c>
      <c r="F871" s="28">
        <v>13189</v>
      </c>
    </row>
    <row r="872" spans="1:6">
      <c r="A872" s="28" t="s">
        <v>41</v>
      </c>
      <c r="B872" s="28" t="s">
        <v>32</v>
      </c>
      <c r="C872" s="28">
        <v>2016</v>
      </c>
      <c r="D872" s="28" t="s">
        <v>7</v>
      </c>
      <c r="E872" s="28" t="s">
        <v>16</v>
      </c>
      <c r="F872" s="28">
        <v>28569</v>
      </c>
    </row>
    <row r="873" spans="1:6">
      <c r="A873" s="28" t="s">
        <v>41</v>
      </c>
      <c r="B873" s="28" t="s">
        <v>32</v>
      </c>
      <c r="C873" s="28">
        <v>2017</v>
      </c>
      <c r="D873" s="28" t="s">
        <v>7</v>
      </c>
      <c r="E873" s="28" t="s">
        <v>16</v>
      </c>
      <c r="F873" s="28">
        <v>36786</v>
      </c>
    </row>
    <row r="874" spans="1:6">
      <c r="A874" s="28" t="s">
        <v>41</v>
      </c>
      <c r="B874" s="28" t="s">
        <v>32</v>
      </c>
      <c r="C874" s="28">
        <v>2010</v>
      </c>
      <c r="D874" s="28" t="s">
        <v>7</v>
      </c>
      <c r="E874" s="28" t="s">
        <v>17</v>
      </c>
      <c r="F874" s="28">
        <v>492.322</v>
      </c>
    </row>
    <row r="875" spans="1:6">
      <c r="A875" s="28" t="s">
        <v>41</v>
      </c>
      <c r="B875" s="28" t="s">
        <v>32</v>
      </c>
      <c r="C875" s="28">
        <v>2011</v>
      </c>
      <c r="D875" s="28" t="s">
        <v>7</v>
      </c>
      <c r="E875" s="28" t="s">
        <v>17</v>
      </c>
      <c r="F875" s="28">
        <v>530.35400000000004</v>
      </c>
    </row>
    <row r="876" spans="1:6">
      <c r="A876" s="28" t="s">
        <v>41</v>
      </c>
      <c r="B876" s="28" t="s">
        <v>32</v>
      </c>
      <c r="C876" s="28">
        <v>2012</v>
      </c>
      <c r="D876" s="28" t="s">
        <v>7</v>
      </c>
      <c r="E876" s="28" t="s">
        <v>17</v>
      </c>
      <c r="F876" s="28">
        <v>-99.637999999999707</v>
      </c>
    </row>
    <row r="877" spans="1:6">
      <c r="A877" s="28" t="s">
        <v>41</v>
      </c>
      <c r="B877" s="28" t="s">
        <v>32</v>
      </c>
      <c r="C877" s="28">
        <v>2013</v>
      </c>
      <c r="D877" s="28" t="s">
        <v>7</v>
      </c>
      <c r="E877" s="28" t="s">
        <v>17</v>
      </c>
      <c r="F877" s="28">
        <v>-769.32299999999998</v>
      </c>
    </row>
    <row r="878" spans="1:6">
      <c r="A878" s="28" t="s">
        <v>41</v>
      </c>
      <c r="B878" s="28" t="s">
        <v>32</v>
      </c>
      <c r="C878" s="28">
        <v>2014</v>
      </c>
      <c r="D878" s="28" t="s">
        <v>7</v>
      </c>
      <c r="E878" s="28" t="s">
        <v>17</v>
      </c>
      <c r="F878" s="28">
        <v>-685.49194728609405</v>
      </c>
    </row>
    <row r="879" spans="1:6">
      <c r="A879" s="28" t="s">
        <v>41</v>
      </c>
      <c r="B879" s="28" t="s">
        <v>32</v>
      </c>
      <c r="C879" s="28">
        <v>2015</v>
      </c>
      <c r="D879" s="28" t="s">
        <v>7</v>
      </c>
      <c r="E879" s="28" t="s">
        <v>17</v>
      </c>
      <c r="F879" s="28">
        <v>180.962011561043</v>
      </c>
    </row>
    <row r="880" spans="1:6">
      <c r="A880" s="28" t="s">
        <v>41</v>
      </c>
      <c r="B880" s="28" t="s">
        <v>32</v>
      </c>
      <c r="C880" s="28">
        <v>2016</v>
      </c>
      <c r="D880" s="28" t="s">
        <v>7</v>
      </c>
      <c r="E880" s="28" t="s">
        <v>17</v>
      </c>
      <c r="F880" s="28">
        <v>470.99340718038701</v>
      </c>
    </row>
    <row r="881" spans="1:6">
      <c r="A881" s="28" t="s">
        <v>41</v>
      </c>
      <c r="B881" s="28" t="s">
        <v>32</v>
      </c>
      <c r="C881" s="28">
        <v>2017</v>
      </c>
      <c r="D881" s="28" t="s">
        <v>7</v>
      </c>
      <c r="E881" s="28" t="s">
        <v>17</v>
      </c>
      <c r="F881" s="28">
        <v>638.643615820778</v>
      </c>
    </row>
    <row r="882" spans="1:6">
      <c r="A882" s="28" t="s">
        <v>41</v>
      </c>
      <c r="B882" s="28" t="s">
        <v>32</v>
      </c>
      <c r="C882" s="28">
        <v>2010</v>
      </c>
      <c r="D882" s="28" t="s">
        <v>20</v>
      </c>
      <c r="E882" s="28" t="s">
        <v>18</v>
      </c>
      <c r="F882" s="28">
        <v>416.27074499999998</v>
      </c>
    </row>
    <row r="883" spans="1:6">
      <c r="A883" s="28" t="s">
        <v>41</v>
      </c>
      <c r="B883" s="28" t="s">
        <v>32</v>
      </c>
      <c r="C883" s="28">
        <v>2011</v>
      </c>
      <c r="D883" s="28" t="s">
        <v>20</v>
      </c>
      <c r="E883" s="28" t="s">
        <v>18</v>
      </c>
      <c r="F883" s="28">
        <v>416.27074499999998</v>
      </c>
    </row>
    <row r="884" spans="1:6">
      <c r="A884" s="28" t="s">
        <v>41</v>
      </c>
      <c r="B884" s="28" t="s">
        <v>32</v>
      </c>
      <c r="C884" s="28">
        <v>2012</v>
      </c>
      <c r="D884" s="28" t="s">
        <v>20</v>
      </c>
      <c r="E884" s="28" t="s">
        <v>18</v>
      </c>
      <c r="F884" s="28">
        <v>416.27074499999998</v>
      </c>
    </row>
    <row r="885" spans="1:6">
      <c r="A885" s="28" t="s">
        <v>41</v>
      </c>
      <c r="B885" s="28" t="s">
        <v>32</v>
      </c>
      <c r="C885" s="28">
        <v>2013</v>
      </c>
      <c r="D885" s="28" t="s">
        <v>20</v>
      </c>
      <c r="E885" s="28" t="s">
        <v>18</v>
      </c>
      <c r="F885" s="28">
        <v>416.27074499999998</v>
      </c>
    </row>
    <row r="886" spans="1:6">
      <c r="A886" s="28" t="s">
        <v>41</v>
      </c>
      <c r="B886" s="28" t="s">
        <v>32</v>
      </c>
      <c r="C886" s="28">
        <v>2014</v>
      </c>
      <c r="D886" s="28" t="s">
        <v>20</v>
      </c>
      <c r="E886" s="28" t="s">
        <v>18</v>
      </c>
      <c r="F886" s="28">
        <v>416.27074499999998</v>
      </c>
    </row>
    <row r="887" spans="1:6">
      <c r="A887" s="28" t="s">
        <v>41</v>
      </c>
      <c r="B887" s="28" t="s">
        <v>32</v>
      </c>
      <c r="C887" s="28">
        <v>2015</v>
      </c>
      <c r="D887" s="28" t="s">
        <v>20</v>
      </c>
      <c r="E887" s="28" t="s">
        <v>18</v>
      </c>
      <c r="F887" s="28">
        <v>416.27074499999998</v>
      </c>
    </row>
    <row r="888" spans="1:6">
      <c r="A888" s="28" t="s">
        <v>41</v>
      </c>
      <c r="B888" s="28" t="s">
        <v>32</v>
      </c>
      <c r="C888" s="28">
        <v>2016</v>
      </c>
      <c r="D888" s="28" t="s">
        <v>20</v>
      </c>
      <c r="E888" s="28" t="s">
        <v>18</v>
      </c>
      <c r="F888" s="28">
        <v>416.27074499999998</v>
      </c>
    </row>
    <row r="889" spans="1:6">
      <c r="A889" s="28" t="s">
        <v>41</v>
      </c>
      <c r="B889" s="28" t="s">
        <v>32</v>
      </c>
      <c r="C889" s="28">
        <v>2017</v>
      </c>
      <c r="D889" s="28" t="s">
        <v>20</v>
      </c>
      <c r="E889" s="28" t="s">
        <v>18</v>
      </c>
      <c r="F889" s="28">
        <v>416.27074499999998</v>
      </c>
    </row>
    <row r="890" spans="1:6">
      <c r="A890" s="28" t="s">
        <v>41</v>
      </c>
      <c r="B890" s="28" t="s">
        <v>32</v>
      </c>
      <c r="C890" s="28">
        <v>2010</v>
      </c>
      <c r="D890" s="28" t="s">
        <v>20</v>
      </c>
      <c r="E890" s="28" t="s">
        <v>19</v>
      </c>
      <c r="F890" s="28">
        <v>881.5</v>
      </c>
    </row>
    <row r="891" spans="1:6">
      <c r="A891" s="28" t="s">
        <v>41</v>
      </c>
      <c r="B891" s="28" t="s">
        <v>32</v>
      </c>
      <c r="C891" s="28">
        <v>2011</v>
      </c>
      <c r="D891" s="28" t="s">
        <v>20</v>
      </c>
      <c r="E891" s="28" t="s">
        <v>19</v>
      </c>
      <c r="F891" s="28">
        <v>271.89999999999998</v>
      </c>
    </row>
    <row r="892" spans="1:6">
      <c r="A892" s="28" t="s">
        <v>41</v>
      </c>
      <c r="B892" s="28" t="s">
        <v>32</v>
      </c>
      <c r="C892" s="28">
        <v>2012</v>
      </c>
      <c r="D892" s="28" t="s">
        <v>20</v>
      </c>
      <c r="E892" s="28" t="s">
        <v>19</v>
      </c>
      <c r="F892" s="28">
        <v>204.9</v>
      </c>
    </row>
    <row r="893" spans="1:6">
      <c r="A893" s="28" t="s">
        <v>41</v>
      </c>
      <c r="B893" s="28" t="s">
        <v>32</v>
      </c>
      <c r="C893" s="28">
        <v>2013</v>
      </c>
      <c r="D893" s="28" t="s">
        <v>20</v>
      </c>
      <c r="E893" s="28" t="s">
        <v>19</v>
      </c>
      <c r="F893" s="28">
        <v>66.599999999999994</v>
      </c>
    </row>
    <row r="894" spans="1:6">
      <c r="A894" s="28" t="s">
        <v>41</v>
      </c>
      <c r="B894" s="28" t="s">
        <v>32</v>
      </c>
      <c r="C894" s="28">
        <v>2014</v>
      </c>
      <c r="D894" s="28" t="s">
        <v>20</v>
      </c>
      <c r="E894" s="28" t="s">
        <v>19</v>
      </c>
      <c r="F894" s="28">
        <v>24.7</v>
      </c>
    </row>
    <row r="895" spans="1:6">
      <c r="A895" s="28" t="s">
        <v>41</v>
      </c>
      <c r="B895" s="28" t="s">
        <v>32</v>
      </c>
      <c r="C895" s="28">
        <v>2015</v>
      </c>
      <c r="D895" s="28" t="s">
        <v>20</v>
      </c>
      <c r="E895" s="28" t="s">
        <v>19</v>
      </c>
      <c r="F895" s="28">
        <v>64.900000000000006</v>
      </c>
    </row>
    <row r="896" spans="1:6">
      <c r="A896" s="28" t="s">
        <v>41</v>
      </c>
      <c r="B896" s="28" t="s">
        <v>32</v>
      </c>
      <c r="C896" s="28">
        <v>2016</v>
      </c>
      <c r="D896" s="28" t="s">
        <v>20</v>
      </c>
      <c r="E896" s="28" t="s">
        <v>19</v>
      </c>
      <c r="F896" s="28">
        <v>181.25</v>
      </c>
    </row>
    <row r="897" spans="1:6">
      <c r="A897" s="28" t="s">
        <v>41</v>
      </c>
      <c r="B897" s="28" t="s">
        <v>32</v>
      </c>
      <c r="C897" s="28">
        <v>2017</v>
      </c>
      <c r="D897" s="28" t="s">
        <v>20</v>
      </c>
      <c r="E897" s="28" t="s">
        <v>19</v>
      </c>
      <c r="F897" s="28">
        <v>147.75</v>
      </c>
    </row>
    <row r="898" spans="1:6">
      <c r="A898" s="28" t="s">
        <v>42</v>
      </c>
      <c r="B898" s="28" t="s">
        <v>32</v>
      </c>
      <c r="C898" s="28">
        <v>2010</v>
      </c>
      <c r="D898" s="28" t="s">
        <v>1</v>
      </c>
      <c r="E898" s="28" t="s">
        <v>2</v>
      </c>
      <c r="F898" s="28">
        <v>298480.88408440002</v>
      </c>
    </row>
    <row r="899" spans="1:6">
      <c r="A899" s="28" t="s">
        <v>42</v>
      </c>
      <c r="B899" s="28" t="s">
        <v>32</v>
      </c>
      <c r="C899" s="28">
        <v>2011</v>
      </c>
      <c r="D899" s="28" t="s">
        <v>1</v>
      </c>
      <c r="E899" s="28" t="s">
        <v>2</v>
      </c>
      <c r="F899" s="28">
        <v>378414.0280932</v>
      </c>
    </row>
    <row r="900" spans="1:6">
      <c r="A900" s="28" t="s">
        <v>42</v>
      </c>
      <c r="B900" s="28" t="s">
        <v>32</v>
      </c>
      <c r="C900" s="28">
        <v>2012</v>
      </c>
      <c r="D900" s="28" t="s">
        <v>1</v>
      </c>
      <c r="E900" s="28" t="s">
        <v>2</v>
      </c>
      <c r="F900" s="28">
        <v>394484.57605099998</v>
      </c>
    </row>
    <row r="901" spans="1:6">
      <c r="A901" s="28" t="s">
        <v>42</v>
      </c>
      <c r="B901" s="28" t="s">
        <v>32</v>
      </c>
      <c r="C901" s="28">
        <v>2013</v>
      </c>
      <c r="D901" s="28" t="s">
        <v>1</v>
      </c>
      <c r="E901" s="28" t="s">
        <v>2</v>
      </c>
      <c r="F901" s="28">
        <v>365984.91844879999</v>
      </c>
    </row>
    <row r="902" spans="1:6">
      <c r="A902" s="28" t="s">
        <v>42</v>
      </c>
      <c r="B902" s="28" t="s">
        <v>32</v>
      </c>
      <c r="C902" s="28">
        <v>2014</v>
      </c>
      <c r="D902" s="28" t="s">
        <v>1</v>
      </c>
      <c r="E902" s="28" t="s">
        <v>2</v>
      </c>
      <c r="F902" s="28">
        <v>365021.37672</v>
      </c>
    </row>
    <row r="903" spans="1:6">
      <c r="A903" s="28" t="s">
        <v>42</v>
      </c>
      <c r="B903" s="28" t="s">
        <v>32</v>
      </c>
      <c r="C903" s="28">
        <v>2015</v>
      </c>
      <c r="D903" s="28" t="s">
        <v>1</v>
      </c>
      <c r="E903" s="28" t="s">
        <v>2</v>
      </c>
      <c r="F903" s="28">
        <v>378897.7</v>
      </c>
    </row>
    <row r="904" spans="1:6">
      <c r="A904" s="28" t="s">
        <v>42</v>
      </c>
      <c r="B904" s="28" t="s">
        <v>32</v>
      </c>
      <c r="C904" s="28">
        <v>2016</v>
      </c>
      <c r="D904" s="28" t="s">
        <v>1</v>
      </c>
      <c r="E904" s="28" t="s">
        <v>2</v>
      </c>
      <c r="F904" s="28">
        <v>372196.9</v>
      </c>
    </row>
    <row r="905" spans="1:6">
      <c r="A905" s="28" t="s">
        <v>42</v>
      </c>
      <c r="B905" s="28" t="s">
        <v>32</v>
      </c>
      <c r="C905" s="28">
        <v>2017</v>
      </c>
      <c r="D905" s="28" t="s">
        <v>1</v>
      </c>
      <c r="E905" s="28" t="s">
        <v>2</v>
      </c>
      <c r="F905" s="28">
        <v>362048</v>
      </c>
    </row>
    <row r="906" spans="1:6">
      <c r="A906" s="28" t="s">
        <v>42</v>
      </c>
      <c r="B906" s="28" t="s">
        <v>32</v>
      </c>
      <c r="C906" s="28">
        <v>2010</v>
      </c>
      <c r="D906" s="28" t="s">
        <v>1</v>
      </c>
      <c r="E906" s="28" t="s">
        <v>3</v>
      </c>
      <c r="F906" s="28">
        <v>125118.3109381</v>
      </c>
    </row>
    <row r="907" spans="1:6">
      <c r="A907" s="28" t="s">
        <v>42</v>
      </c>
      <c r="B907" s="28" t="s">
        <v>32</v>
      </c>
      <c r="C907" s="28">
        <v>2011</v>
      </c>
      <c r="D907" s="28" t="s">
        <v>1</v>
      </c>
      <c r="E907" s="28" t="s">
        <v>3</v>
      </c>
      <c r="F907" s="28">
        <v>177199.73612039999</v>
      </c>
    </row>
    <row r="908" spans="1:6">
      <c r="A908" s="28" t="s">
        <v>42</v>
      </c>
      <c r="B908" s="28" t="s">
        <v>32</v>
      </c>
      <c r="C908" s="28">
        <v>2012</v>
      </c>
      <c r="D908" s="28" t="s">
        <v>1</v>
      </c>
      <c r="E908" s="28" t="s">
        <v>3</v>
      </c>
      <c r="F908" s="28">
        <v>166120.141653</v>
      </c>
    </row>
    <row r="909" spans="1:6">
      <c r="A909" s="28" t="s">
        <v>42</v>
      </c>
      <c r="B909" s="28" t="s">
        <v>32</v>
      </c>
      <c r="C909" s="28">
        <v>2013</v>
      </c>
      <c r="D909" s="28" t="s">
        <v>1</v>
      </c>
      <c r="E909" s="28" t="s">
        <v>3</v>
      </c>
      <c r="F909" s="28">
        <v>166980.02541639999</v>
      </c>
    </row>
    <row r="910" spans="1:6">
      <c r="A910" s="28" t="s">
        <v>42</v>
      </c>
      <c r="B910" s="28" t="s">
        <v>32</v>
      </c>
      <c r="C910" s="28">
        <v>2014</v>
      </c>
      <c r="D910" s="28" t="s">
        <v>1</v>
      </c>
      <c r="E910" s="28" t="s">
        <v>3</v>
      </c>
      <c r="F910" s="28">
        <v>217219.30824000001</v>
      </c>
    </row>
    <row r="911" spans="1:6">
      <c r="A911" s="28" t="s">
        <v>42</v>
      </c>
      <c r="B911" s="28" t="s">
        <v>32</v>
      </c>
      <c r="C911" s="28">
        <v>2015</v>
      </c>
      <c r="D911" s="28" t="s">
        <v>1</v>
      </c>
      <c r="E911" s="28" t="s">
        <v>3</v>
      </c>
      <c r="F911" s="28">
        <v>271165.59999999998</v>
      </c>
    </row>
    <row r="912" spans="1:6">
      <c r="A912" s="28" t="s">
        <v>42</v>
      </c>
      <c r="B912" s="28" t="s">
        <v>32</v>
      </c>
      <c r="C912" s="28">
        <v>2016</v>
      </c>
      <c r="D912" s="28" t="s">
        <v>1</v>
      </c>
      <c r="E912" s="28" t="s">
        <v>3</v>
      </c>
      <c r="F912" s="28">
        <v>248853.5</v>
      </c>
    </row>
    <row r="913" spans="1:6">
      <c r="A913" s="28" t="s">
        <v>42</v>
      </c>
      <c r="B913" s="28" t="s">
        <v>32</v>
      </c>
      <c r="C913" s="28">
        <v>2017</v>
      </c>
      <c r="D913" s="28" t="s">
        <v>1</v>
      </c>
      <c r="E913" s="28" t="s">
        <v>3</v>
      </c>
      <c r="F913" s="28">
        <v>271297</v>
      </c>
    </row>
    <row r="914" spans="1:6">
      <c r="A914" s="28" t="s">
        <v>42</v>
      </c>
      <c r="B914" s="28" t="s">
        <v>32</v>
      </c>
      <c r="C914" s="28">
        <v>2010</v>
      </c>
      <c r="D914" s="28" t="s">
        <v>1</v>
      </c>
      <c r="E914" s="28" t="s">
        <v>5</v>
      </c>
      <c r="F914" s="28">
        <v>423599.1950225</v>
      </c>
    </row>
    <row r="915" spans="1:6">
      <c r="A915" s="28" t="s">
        <v>42</v>
      </c>
      <c r="B915" s="28" t="s">
        <v>32</v>
      </c>
      <c r="C915" s="28">
        <v>2011</v>
      </c>
      <c r="D915" s="28" t="s">
        <v>1</v>
      </c>
      <c r="E915" s="28" t="s">
        <v>5</v>
      </c>
      <c r="F915" s="28">
        <v>555613.76421359996</v>
      </c>
    </row>
    <row r="916" spans="1:6">
      <c r="A916" s="28" t="s">
        <v>42</v>
      </c>
      <c r="B916" s="28" t="s">
        <v>32</v>
      </c>
      <c r="C916" s="28">
        <v>2012</v>
      </c>
      <c r="D916" s="28" t="s">
        <v>1</v>
      </c>
      <c r="E916" s="28" t="s">
        <v>5</v>
      </c>
      <c r="F916" s="28">
        <v>560604.71770399995</v>
      </c>
    </row>
    <row r="917" spans="1:6">
      <c r="A917" s="28" t="s">
        <v>42</v>
      </c>
      <c r="B917" s="28" t="s">
        <v>32</v>
      </c>
      <c r="C917" s="28">
        <v>2013</v>
      </c>
      <c r="D917" s="28" t="s">
        <v>1</v>
      </c>
      <c r="E917" s="28" t="s">
        <v>5</v>
      </c>
      <c r="F917" s="28">
        <v>532964.94386520004</v>
      </c>
    </row>
    <row r="918" spans="1:6">
      <c r="A918" s="28" t="s">
        <v>42</v>
      </c>
      <c r="B918" s="28" t="s">
        <v>32</v>
      </c>
      <c r="C918" s="28">
        <v>2014</v>
      </c>
      <c r="D918" s="28" t="s">
        <v>1</v>
      </c>
      <c r="E918" s="28" t="s">
        <v>5</v>
      </c>
      <c r="F918" s="28">
        <v>582240.68495999998</v>
      </c>
    </row>
    <row r="919" spans="1:6">
      <c r="A919" s="28" t="s">
        <v>42</v>
      </c>
      <c r="B919" s="28" t="s">
        <v>32</v>
      </c>
      <c r="C919" s="28">
        <v>2015</v>
      </c>
      <c r="D919" s="28" t="s">
        <v>1</v>
      </c>
      <c r="E919" s="28" t="s">
        <v>5</v>
      </c>
      <c r="F919" s="28">
        <v>650063.30000000005</v>
      </c>
    </row>
    <row r="920" spans="1:6">
      <c r="A920" s="28" t="s">
        <v>42</v>
      </c>
      <c r="B920" s="28" t="s">
        <v>32</v>
      </c>
      <c r="C920" s="28">
        <v>2016</v>
      </c>
      <c r="D920" s="28" t="s">
        <v>1</v>
      </c>
      <c r="E920" s="28" t="s">
        <v>5</v>
      </c>
      <c r="F920" s="28">
        <v>621050.4</v>
      </c>
    </row>
    <row r="921" spans="1:6">
      <c r="A921" s="28" t="s">
        <v>42</v>
      </c>
      <c r="B921" s="28" t="s">
        <v>32</v>
      </c>
      <c r="C921" s="28">
        <v>2017</v>
      </c>
      <c r="D921" s="28" t="s">
        <v>1</v>
      </c>
      <c r="E921" s="28" t="s">
        <v>5</v>
      </c>
      <c r="F921" s="28">
        <v>633345</v>
      </c>
    </row>
    <row r="922" spans="1:6">
      <c r="A922" s="28" t="s">
        <v>42</v>
      </c>
      <c r="B922" s="28" t="s">
        <v>32</v>
      </c>
      <c r="C922" s="28">
        <v>2010</v>
      </c>
      <c r="D922" s="28" t="s">
        <v>1</v>
      </c>
      <c r="E922" s="28" t="s">
        <v>6</v>
      </c>
      <c r="F922" s="28">
        <v>291170.63389659999</v>
      </c>
    </row>
    <row r="923" spans="1:6">
      <c r="A923" s="28" t="s">
        <v>42</v>
      </c>
      <c r="B923" s="28" t="s">
        <v>32</v>
      </c>
      <c r="C923" s="28">
        <v>2011</v>
      </c>
      <c r="D923" s="28" t="s">
        <v>1</v>
      </c>
      <c r="E923" s="28" t="s">
        <v>6</v>
      </c>
      <c r="F923" s="28">
        <v>325346.7740721</v>
      </c>
    </row>
    <row r="924" spans="1:6">
      <c r="A924" s="28" t="s">
        <v>42</v>
      </c>
      <c r="B924" s="28" t="s">
        <v>32</v>
      </c>
      <c r="C924" s="28">
        <v>2012</v>
      </c>
      <c r="D924" s="28" t="s">
        <v>1</v>
      </c>
      <c r="E924" s="28" t="s">
        <v>6</v>
      </c>
      <c r="F924" s="28">
        <v>336842.05108300003</v>
      </c>
    </row>
    <row r="925" spans="1:6">
      <c r="A925" s="28" t="s">
        <v>42</v>
      </c>
      <c r="B925" s="28" t="s">
        <v>32</v>
      </c>
      <c r="C925" s="28">
        <v>2013</v>
      </c>
      <c r="D925" s="28" t="s">
        <v>1</v>
      </c>
      <c r="E925" s="28" t="s">
        <v>6</v>
      </c>
      <c r="F925" s="28">
        <v>336286.27872280002</v>
      </c>
    </row>
    <row r="926" spans="1:6">
      <c r="A926" s="28" t="s">
        <v>42</v>
      </c>
      <c r="B926" s="28" t="s">
        <v>32</v>
      </c>
      <c r="C926" s="28">
        <v>2014</v>
      </c>
      <c r="D926" s="28" t="s">
        <v>1</v>
      </c>
      <c r="E926" s="28" t="s">
        <v>6</v>
      </c>
      <c r="F926" s="28">
        <v>351991.93128000002</v>
      </c>
    </row>
    <row r="927" spans="1:6">
      <c r="A927" s="28" t="s">
        <v>42</v>
      </c>
      <c r="B927" s="28" t="s">
        <v>32</v>
      </c>
      <c r="C927" s="28">
        <v>2015</v>
      </c>
      <c r="D927" s="28" t="s">
        <v>1</v>
      </c>
      <c r="E927" s="28" t="s">
        <v>6</v>
      </c>
      <c r="F927" s="28">
        <v>374437.8</v>
      </c>
    </row>
    <row r="928" spans="1:6">
      <c r="A928" s="28" t="s">
        <v>42</v>
      </c>
      <c r="B928" s="28" t="s">
        <v>32</v>
      </c>
      <c r="C928" s="28">
        <v>2016</v>
      </c>
      <c r="D928" s="28" t="s">
        <v>1</v>
      </c>
      <c r="E928" s="28" t="s">
        <v>6</v>
      </c>
      <c r="F928" s="28">
        <v>382791.2</v>
      </c>
    </row>
    <row r="929" spans="1:6">
      <c r="A929" s="28" t="s">
        <v>42</v>
      </c>
      <c r="B929" s="28" t="s">
        <v>32</v>
      </c>
      <c r="C929" s="28">
        <v>2017</v>
      </c>
      <c r="D929" s="28" t="s">
        <v>1</v>
      </c>
      <c r="E929" s="28" t="s">
        <v>6</v>
      </c>
      <c r="F929" s="28">
        <v>382764</v>
      </c>
    </row>
    <row r="930" spans="1:6">
      <c r="A930" s="28" t="s">
        <v>42</v>
      </c>
      <c r="B930" s="28" t="s">
        <v>32</v>
      </c>
      <c r="C930" s="28">
        <v>2010</v>
      </c>
      <c r="D930" s="28" t="s">
        <v>1</v>
      </c>
      <c r="E930" s="28" t="s">
        <v>8</v>
      </c>
      <c r="F930" s="28">
        <v>82086.939613499999</v>
      </c>
    </row>
    <row r="931" spans="1:6">
      <c r="A931" s="28" t="s">
        <v>42</v>
      </c>
      <c r="B931" s="28" t="s">
        <v>32</v>
      </c>
      <c r="C931" s="28">
        <v>2011</v>
      </c>
      <c r="D931" s="28" t="s">
        <v>1</v>
      </c>
      <c r="E931" s="28" t="s">
        <v>8</v>
      </c>
      <c r="F931" s="28">
        <v>135612.5166919</v>
      </c>
    </row>
    <row r="932" spans="1:6">
      <c r="A932" s="28" t="s">
        <v>42</v>
      </c>
      <c r="B932" s="28" t="s">
        <v>32</v>
      </c>
      <c r="C932" s="28">
        <v>2012</v>
      </c>
      <c r="D932" s="28" t="s">
        <v>1</v>
      </c>
      <c r="E932" s="28" t="s">
        <v>8</v>
      </c>
      <c r="F932" s="28">
        <v>123469.7636412</v>
      </c>
    </row>
    <row r="933" spans="1:6">
      <c r="A933" s="28" t="s">
        <v>42</v>
      </c>
      <c r="B933" s="28" t="s">
        <v>32</v>
      </c>
      <c r="C933" s="28">
        <v>2013</v>
      </c>
      <c r="D933" s="28" t="s">
        <v>1</v>
      </c>
      <c r="E933" s="28" t="s">
        <v>8</v>
      </c>
      <c r="F933" s="28">
        <v>120859.90234080001</v>
      </c>
    </row>
    <row r="934" spans="1:6">
      <c r="A934" s="28" t="s">
        <v>42</v>
      </c>
      <c r="B934" s="28" t="s">
        <v>32</v>
      </c>
      <c r="C934" s="28">
        <v>2014</v>
      </c>
      <c r="D934" s="28" t="s">
        <v>1</v>
      </c>
      <c r="E934" s="28" t="s">
        <v>8</v>
      </c>
      <c r="F934" s="28">
        <v>138676.95600000001</v>
      </c>
    </row>
    <row r="935" spans="1:6">
      <c r="A935" s="28" t="s">
        <v>42</v>
      </c>
      <c r="B935" s="28" t="s">
        <v>32</v>
      </c>
      <c r="C935" s="28">
        <v>2015</v>
      </c>
      <c r="D935" s="28" t="s">
        <v>1</v>
      </c>
      <c r="E935" s="28" t="s">
        <v>8</v>
      </c>
      <c r="F935" s="28">
        <v>179861.5</v>
      </c>
    </row>
    <row r="936" spans="1:6">
      <c r="A936" s="28" t="s">
        <v>42</v>
      </c>
      <c r="B936" s="28" t="s">
        <v>32</v>
      </c>
      <c r="C936" s="28">
        <v>2016</v>
      </c>
      <c r="D936" s="28" t="s">
        <v>1</v>
      </c>
      <c r="E936" s="28" t="s">
        <v>8</v>
      </c>
      <c r="F936" s="28">
        <v>133395.4</v>
      </c>
    </row>
    <row r="937" spans="1:6">
      <c r="A937" s="28" t="s">
        <v>42</v>
      </c>
      <c r="B937" s="28" t="s">
        <v>32</v>
      </c>
      <c r="C937" s="28">
        <v>2017</v>
      </c>
      <c r="D937" s="28" t="s">
        <v>1</v>
      </c>
      <c r="E937" s="28" t="s">
        <v>8</v>
      </c>
      <c r="F937" s="28">
        <v>135428</v>
      </c>
    </row>
    <row r="938" spans="1:6">
      <c r="A938" s="28" t="s">
        <v>42</v>
      </c>
      <c r="B938" s="28" t="s">
        <v>32</v>
      </c>
      <c r="C938" s="28">
        <v>2010</v>
      </c>
      <c r="D938" s="28" t="s">
        <v>1</v>
      </c>
      <c r="E938" s="28" t="s">
        <v>9</v>
      </c>
      <c r="F938" s="28">
        <v>50341.621512400001</v>
      </c>
    </row>
    <row r="939" spans="1:6">
      <c r="A939" s="28" t="s">
        <v>42</v>
      </c>
      <c r="B939" s="28" t="s">
        <v>32</v>
      </c>
      <c r="C939" s="28">
        <v>2011</v>
      </c>
      <c r="D939" s="28" t="s">
        <v>1</v>
      </c>
      <c r="E939" s="28" t="s">
        <v>9</v>
      </c>
      <c r="F939" s="28">
        <v>94654.473449600002</v>
      </c>
    </row>
    <row r="940" spans="1:6">
      <c r="A940" s="28" t="s">
        <v>42</v>
      </c>
      <c r="B940" s="28" t="s">
        <v>32</v>
      </c>
      <c r="C940" s="28">
        <v>2012</v>
      </c>
      <c r="D940" s="28" t="s">
        <v>1</v>
      </c>
      <c r="E940" s="28" t="s">
        <v>9</v>
      </c>
      <c r="F940" s="28">
        <v>100292.9029798</v>
      </c>
    </row>
    <row r="941" spans="1:6">
      <c r="A941" s="28" t="s">
        <v>42</v>
      </c>
      <c r="B941" s="28" t="s">
        <v>32</v>
      </c>
      <c r="C941" s="28">
        <v>2013</v>
      </c>
      <c r="D941" s="28" t="s">
        <v>1</v>
      </c>
      <c r="E941" s="28" t="s">
        <v>9</v>
      </c>
      <c r="F941" s="28">
        <v>75818.762801599994</v>
      </c>
    </row>
    <row r="942" spans="1:6">
      <c r="A942" s="28" t="s">
        <v>42</v>
      </c>
      <c r="B942" s="28" t="s">
        <v>32</v>
      </c>
      <c r="C942" s="28">
        <v>2014</v>
      </c>
      <c r="D942" s="28" t="s">
        <v>1</v>
      </c>
      <c r="E942" s="28" t="s">
        <v>9</v>
      </c>
      <c r="F942" s="28">
        <v>91571.797680000003</v>
      </c>
    </row>
    <row r="943" spans="1:6">
      <c r="A943" s="28" t="s">
        <v>42</v>
      </c>
      <c r="B943" s="28" t="s">
        <v>32</v>
      </c>
      <c r="C943" s="28">
        <v>2015</v>
      </c>
      <c r="D943" s="28" t="s">
        <v>1</v>
      </c>
      <c r="E943" s="28" t="s">
        <v>9</v>
      </c>
      <c r="F943" s="28">
        <v>95764</v>
      </c>
    </row>
    <row r="944" spans="1:6">
      <c r="A944" s="28" t="s">
        <v>42</v>
      </c>
      <c r="B944" s="28" t="s">
        <v>32</v>
      </c>
      <c r="C944" s="28">
        <v>2016</v>
      </c>
      <c r="D944" s="28" t="s">
        <v>1</v>
      </c>
      <c r="E944" s="28" t="s">
        <v>9</v>
      </c>
      <c r="F944" s="28">
        <v>104863.8</v>
      </c>
    </row>
    <row r="945" spans="1:6">
      <c r="A945" s="28" t="s">
        <v>42</v>
      </c>
      <c r="B945" s="28" t="s">
        <v>32</v>
      </c>
      <c r="C945" s="28">
        <v>2017</v>
      </c>
      <c r="D945" s="28" t="s">
        <v>1</v>
      </c>
      <c r="E945" s="28" t="s">
        <v>9</v>
      </c>
      <c r="F945" s="28">
        <v>115153</v>
      </c>
    </row>
    <row r="946" spans="1:6">
      <c r="A946" s="28" t="s">
        <v>42</v>
      </c>
      <c r="B946" s="28" t="s">
        <v>32</v>
      </c>
      <c r="C946" s="28">
        <v>2010</v>
      </c>
      <c r="D946" s="28" t="s">
        <v>1</v>
      </c>
      <c r="E946" s="28" t="s">
        <v>10</v>
      </c>
      <c r="F946" s="28">
        <v>423599.1950225</v>
      </c>
    </row>
    <row r="947" spans="1:6">
      <c r="A947" s="28" t="s">
        <v>42</v>
      </c>
      <c r="B947" s="28" t="s">
        <v>32</v>
      </c>
      <c r="C947" s="28">
        <v>2011</v>
      </c>
      <c r="D947" s="28" t="s">
        <v>1</v>
      </c>
      <c r="E947" s="28" t="s">
        <v>10</v>
      </c>
      <c r="F947" s="28">
        <v>555613.76421359996</v>
      </c>
    </row>
    <row r="948" spans="1:6">
      <c r="A948" s="28" t="s">
        <v>42</v>
      </c>
      <c r="B948" s="28" t="s">
        <v>32</v>
      </c>
      <c r="C948" s="28">
        <v>2012</v>
      </c>
      <c r="D948" s="28" t="s">
        <v>1</v>
      </c>
      <c r="E948" s="28" t="s">
        <v>10</v>
      </c>
      <c r="F948" s="28">
        <v>560604.71770399995</v>
      </c>
    </row>
    <row r="949" spans="1:6">
      <c r="A949" s="28" t="s">
        <v>42</v>
      </c>
      <c r="B949" s="28" t="s">
        <v>32</v>
      </c>
      <c r="C949" s="28">
        <v>2013</v>
      </c>
      <c r="D949" s="28" t="s">
        <v>1</v>
      </c>
      <c r="E949" s="28" t="s">
        <v>10</v>
      </c>
      <c r="F949" s="28">
        <v>532964.94386520004</v>
      </c>
    </row>
    <row r="950" spans="1:6">
      <c r="A950" s="28" t="s">
        <v>42</v>
      </c>
      <c r="B950" s="28" t="s">
        <v>32</v>
      </c>
      <c r="C950" s="28">
        <v>2014</v>
      </c>
      <c r="D950" s="28" t="s">
        <v>1</v>
      </c>
      <c r="E950" s="28" t="s">
        <v>10</v>
      </c>
      <c r="F950" s="28">
        <v>582240.68495999998</v>
      </c>
    </row>
    <row r="951" spans="1:6">
      <c r="A951" s="28" t="s">
        <v>42</v>
      </c>
      <c r="B951" s="28" t="s">
        <v>32</v>
      </c>
      <c r="C951" s="28">
        <v>2015</v>
      </c>
      <c r="D951" s="28" t="s">
        <v>1</v>
      </c>
      <c r="E951" s="28" t="s">
        <v>10</v>
      </c>
      <c r="F951" s="28">
        <v>650063.30000000005</v>
      </c>
    </row>
    <row r="952" spans="1:6">
      <c r="A952" s="28" t="s">
        <v>42</v>
      </c>
      <c r="B952" s="28" t="s">
        <v>32</v>
      </c>
      <c r="C952" s="28">
        <v>2016</v>
      </c>
      <c r="D952" s="28" t="s">
        <v>1</v>
      </c>
      <c r="E952" s="28" t="s">
        <v>10</v>
      </c>
      <c r="F952" s="28">
        <v>621050.4</v>
      </c>
    </row>
    <row r="953" spans="1:6">
      <c r="A953" s="28" t="s">
        <v>42</v>
      </c>
      <c r="B953" s="28" t="s">
        <v>32</v>
      </c>
      <c r="C953" s="28">
        <v>2017</v>
      </c>
      <c r="D953" s="28" t="s">
        <v>1</v>
      </c>
      <c r="E953" s="28" t="s">
        <v>10</v>
      </c>
      <c r="F953" s="28">
        <v>633345</v>
      </c>
    </row>
    <row r="954" spans="1:6">
      <c r="A954" s="28" t="s">
        <v>42</v>
      </c>
      <c r="B954" s="28" t="s">
        <v>32</v>
      </c>
      <c r="C954" s="28">
        <v>2010</v>
      </c>
      <c r="D954" s="28" t="s">
        <v>1</v>
      </c>
      <c r="E954" s="28" t="s">
        <v>11</v>
      </c>
      <c r="F954" s="28">
        <v>0.31262703678855203</v>
      </c>
    </row>
    <row r="955" spans="1:6">
      <c r="A955" s="28" t="s">
        <v>42</v>
      </c>
      <c r="B955" s="28" t="s">
        <v>32</v>
      </c>
      <c r="C955" s="28">
        <v>2011</v>
      </c>
      <c r="D955" s="28" t="s">
        <v>1</v>
      </c>
      <c r="E955" s="28" t="s">
        <v>11</v>
      </c>
      <c r="F955" s="28">
        <v>0.41443715935909797</v>
      </c>
    </row>
    <row r="956" spans="1:6">
      <c r="A956" s="28" t="s">
        <v>42</v>
      </c>
      <c r="B956" s="28" t="s">
        <v>32</v>
      </c>
      <c r="C956" s="28">
        <v>2012</v>
      </c>
      <c r="D956" s="28" t="s">
        <v>1</v>
      </c>
      <c r="E956" s="28" t="s">
        <v>11</v>
      </c>
      <c r="F956" s="28">
        <v>0.39914517226583002</v>
      </c>
    </row>
    <row r="957" spans="1:6">
      <c r="A957" s="28" t="s">
        <v>42</v>
      </c>
      <c r="B957" s="28" t="s">
        <v>32</v>
      </c>
      <c r="C957" s="28">
        <v>2013</v>
      </c>
      <c r="D957" s="28" t="s">
        <v>1</v>
      </c>
      <c r="E957" s="28" t="s">
        <v>11</v>
      </c>
      <c r="F957" s="28">
        <v>0.36902739552818498</v>
      </c>
    </row>
    <row r="958" spans="1:6">
      <c r="A958" s="28" t="s">
        <v>42</v>
      </c>
      <c r="B958" s="28" t="s">
        <v>32</v>
      </c>
      <c r="C958" s="28">
        <v>2014</v>
      </c>
      <c r="D958" s="28" t="s">
        <v>1</v>
      </c>
      <c r="E958" s="28" t="s">
        <v>11</v>
      </c>
      <c r="F958" s="28">
        <v>0.39545287649525601</v>
      </c>
    </row>
    <row r="959" spans="1:6">
      <c r="A959" s="28" t="s">
        <v>42</v>
      </c>
      <c r="B959" s="28" t="s">
        <v>32</v>
      </c>
      <c r="C959" s="28">
        <v>2015</v>
      </c>
      <c r="D959" s="28" t="s">
        <v>1</v>
      </c>
      <c r="E959" s="28" t="s">
        <v>11</v>
      </c>
      <c r="F959" s="28">
        <v>0.42399793989293</v>
      </c>
    </row>
    <row r="960" spans="1:6">
      <c r="A960" s="28" t="s">
        <v>42</v>
      </c>
      <c r="B960" s="28" t="s">
        <v>32</v>
      </c>
      <c r="C960" s="28">
        <v>2016</v>
      </c>
      <c r="D960" s="28" t="s">
        <v>1</v>
      </c>
      <c r="E960" s="28" t="s">
        <v>11</v>
      </c>
      <c r="F960" s="28">
        <v>0.383639073414976</v>
      </c>
    </row>
    <row r="961" spans="1:6">
      <c r="A961" s="28" t="s">
        <v>42</v>
      </c>
      <c r="B961" s="28" t="s">
        <v>32</v>
      </c>
      <c r="C961" s="28">
        <v>2017</v>
      </c>
      <c r="D961" s="28" t="s">
        <v>1</v>
      </c>
      <c r="E961" s="28" t="s">
        <v>11</v>
      </c>
      <c r="F961" s="28">
        <v>0.39564692229353698</v>
      </c>
    </row>
    <row r="962" spans="1:6">
      <c r="A962" s="28" t="s">
        <v>42</v>
      </c>
      <c r="B962" s="28" t="s">
        <v>32</v>
      </c>
      <c r="C962" s="28">
        <v>2010</v>
      </c>
      <c r="D962" s="28" t="s">
        <v>4</v>
      </c>
      <c r="E962" s="28" t="s">
        <v>12</v>
      </c>
      <c r="F962" s="28">
        <v>254504.91172120001</v>
      </c>
    </row>
    <row r="963" spans="1:6">
      <c r="A963" s="28" t="s">
        <v>42</v>
      </c>
      <c r="B963" s="28" t="s">
        <v>32</v>
      </c>
      <c r="C963" s="28">
        <v>2011</v>
      </c>
      <c r="D963" s="28" t="s">
        <v>4</v>
      </c>
      <c r="E963" s="28" t="s">
        <v>12</v>
      </c>
      <c r="F963" s="28">
        <v>377613.76183159999</v>
      </c>
    </row>
    <row r="964" spans="1:6">
      <c r="A964" s="28" t="s">
        <v>42</v>
      </c>
      <c r="B964" s="28" t="s">
        <v>32</v>
      </c>
      <c r="C964" s="28">
        <v>2012</v>
      </c>
      <c r="D964" s="28" t="s">
        <v>4</v>
      </c>
      <c r="E964" s="28" t="s">
        <v>12</v>
      </c>
      <c r="F964" s="28">
        <v>369228.52183839999</v>
      </c>
    </row>
    <row r="965" spans="1:6">
      <c r="A965" s="28" t="s">
        <v>42</v>
      </c>
      <c r="B965" s="28" t="s">
        <v>32</v>
      </c>
      <c r="C965" s="28">
        <v>2013</v>
      </c>
      <c r="D965" s="28" t="s">
        <v>4</v>
      </c>
      <c r="E965" s="28" t="s">
        <v>12</v>
      </c>
      <c r="F965" s="28">
        <v>357057.3091064</v>
      </c>
    </row>
    <row r="966" spans="1:6">
      <c r="A966" s="28" t="s">
        <v>42</v>
      </c>
      <c r="B966" s="28" t="s">
        <v>32</v>
      </c>
      <c r="C966" s="28">
        <v>2014</v>
      </c>
      <c r="D966" s="28" t="s">
        <v>4</v>
      </c>
      <c r="E966" s="28" t="s">
        <v>12</v>
      </c>
      <c r="F966" s="28">
        <v>395954.3</v>
      </c>
    </row>
    <row r="967" spans="1:6">
      <c r="A967" s="28" t="s">
        <v>42</v>
      </c>
      <c r="B967" s="28" t="s">
        <v>32</v>
      </c>
      <c r="C967" s="28">
        <v>2015</v>
      </c>
      <c r="D967" s="28" t="s">
        <v>4</v>
      </c>
      <c r="E967" s="28" t="s">
        <v>12</v>
      </c>
      <c r="F967" s="28">
        <v>485371</v>
      </c>
    </row>
    <row r="968" spans="1:6">
      <c r="A968" s="28" t="s">
        <v>42</v>
      </c>
      <c r="B968" s="28" t="s">
        <v>32</v>
      </c>
      <c r="C968" s="28">
        <v>2016</v>
      </c>
      <c r="D968" s="28" t="s">
        <v>4</v>
      </c>
      <c r="E968" s="28" t="s">
        <v>12</v>
      </c>
      <c r="F968" s="28">
        <v>508158.9</v>
      </c>
    </row>
    <row r="969" spans="1:6">
      <c r="A969" s="28" t="s">
        <v>42</v>
      </c>
      <c r="B969" s="28" t="s">
        <v>32</v>
      </c>
      <c r="C969" s="28">
        <v>2017</v>
      </c>
      <c r="D969" s="28" t="s">
        <v>4</v>
      </c>
      <c r="E969" s="28" t="s">
        <v>12</v>
      </c>
      <c r="F969" s="28">
        <v>587146</v>
      </c>
    </row>
    <row r="970" spans="1:6">
      <c r="A970" s="28" t="s">
        <v>42</v>
      </c>
      <c r="B970" s="28" t="s">
        <v>32</v>
      </c>
      <c r="C970" s="28">
        <v>2010</v>
      </c>
      <c r="D970" s="28" t="s">
        <v>4</v>
      </c>
      <c r="E970" s="28" t="s">
        <v>13</v>
      </c>
      <c r="F970" s="28">
        <v>37303.055108200002</v>
      </c>
    </row>
    <row r="971" spans="1:6">
      <c r="A971" s="28" t="s">
        <v>42</v>
      </c>
      <c r="B971" s="28" t="s">
        <v>32</v>
      </c>
      <c r="C971" s="28">
        <v>2011</v>
      </c>
      <c r="D971" s="28" t="s">
        <v>4</v>
      </c>
      <c r="E971" s="28" t="s">
        <v>13</v>
      </c>
      <c r="F971" s="28">
        <v>42350.814332200003</v>
      </c>
    </row>
    <row r="972" spans="1:6">
      <c r="A972" s="28" t="s">
        <v>42</v>
      </c>
      <c r="B972" s="28" t="s">
        <v>32</v>
      </c>
      <c r="C972" s="28">
        <v>2012</v>
      </c>
      <c r="D972" s="28" t="s">
        <v>4</v>
      </c>
      <c r="E972" s="28" t="s">
        <v>13</v>
      </c>
      <c r="F972" s="28">
        <v>18540.498379100001</v>
      </c>
    </row>
    <row r="973" spans="1:6">
      <c r="A973" s="28" t="s">
        <v>42</v>
      </c>
      <c r="B973" s="28" t="s">
        <v>32</v>
      </c>
      <c r="C973" s="28">
        <v>2013</v>
      </c>
      <c r="D973" s="28" t="s">
        <v>4</v>
      </c>
      <c r="E973" s="28" t="s">
        <v>13</v>
      </c>
      <c r="F973" s="28">
        <v>6794.1237111999999</v>
      </c>
    </row>
    <row r="974" spans="1:6">
      <c r="A974" s="28" t="s">
        <v>42</v>
      </c>
      <c r="B974" s="28" t="s">
        <v>32</v>
      </c>
      <c r="C974" s="28">
        <v>2014</v>
      </c>
      <c r="D974" s="28" t="s">
        <v>4</v>
      </c>
      <c r="E974" s="28" t="s">
        <v>13</v>
      </c>
      <c r="F974" s="28">
        <v>23638</v>
      </c>
    </row>
    <row r="975" spans="1:6">
      <c r="A975" s="28" t="s">
        <v>42</v>
      </c>
      <c r="B975" s="28" t="s">
        <v>32</v>
      </c>
      <c r="C975" s="28">
        <v>2015</v>
      </c>
      <c r="D975" s="28" t="s">
        <v>4</v>
      </c>
      <c r="E975" s="28" t="s">
        <v>13</v>
      </c>
      <c r="F975" s="28">
        <v>58668.5</v>
      </c>
    </row>
    <row r="976" spans="1:6">
      <c r="A976" s="28" t="s">
        <v>42</v>
      </c>
      <c r="B976" s="28" t="s">
        <v>32</v>
      </c>
      <c r="C976" s="28">
        <v>2016</v>
      </c>
      <c r="D976" s="28" t="s">
        <v>4</v>
      </c>
      <c r="E976" s="28" t="s">
        <v>13</v>
      </c>
      <c r="F976" s="28">
        <v>61277.9</v>
      </c>
    </row>
    <row r="977" spans="1:6">
      <c r="A977" s="28" t="s">
        <v>42</v>
      </c>
      <c r="B977" s="28" t="s">
        <v>32</v>
      </c>
      <c r="C977" s="28">
        <v>2017</v>
      </c>
      <c r="D977" s="28" t="s">
        <v>4</v>
      </c>
      <c r="E977" s="28" t="s">
        <v>13</v>
      </c>
      <c r="F977" s="28">
        <v>84782</v>
      </c>
    </row>
    <row r="978" spans="1:6">
      <c r="A978" s="28" t="s">
        <v>42</v>
      </c>
      <c r="B978" s="28" t="s">
        <v>32</v>
      </c>
      <c r="C978" s="28">
        <v>2010</v>
      </c>
      <c r="D978" s="28" t="s">
        <v>4</v>
      </c>
      <c r="E978" s="28" t="s">
        <v>14</v>
      </c>
      <c r="F978" s="28">
        <v>8350.7479999999996</v>
      </c>
    </row>
    <row r="979" spans="1:6">
      <c r="A979" s="28" t="s">
        <v>42</v>
      </c>
      <c r="B979" s="28" t="s">
        <v>32</v>
      </c>
      <c r="C979" s="28">
        <v>2011</v>
      </c>
      <c r="D979" s="28" t="s">
        <v>4</v>
      </c>
      <c r="E979" s="28" t="s">
        <v>14</v>
      </c>
      <c r="F979" s="28">
        <v>11728.556</v>
      </c>
    </row>
    <row r="980" spans="1:6">
      <c r="A980" s="28" t="s">
        <v>42</v>
      </c>
      <c r="B980" s="28" t="s">
        <v>32</v>
      </c>
      <c r="C980" s="28">
        <v>2012</v>
      </c>
      <c r="D980" s="28" t="s">
        <v>4</v>
      </c>
      <c r="E980" s="28" t="s">
        <v>14</v>
      </c>
      <c r="F980" s="28">
        <v>12156.592000000001</v>
      </c>
    </row>
    <row r="981" spans="1:6">
      <c r="A981" s="28" t="s">
        <v>42</v>
      </c>
      <c r="B981" s="28" t="s">
        <v>32</v>
      </c>
      <c r="C981" s="28">
        <v>2013</v>
      </c>
      <c r="D981" s="28" t="s">
        <v>4</v>
      </c>
      <c r="E981" s="28" t="s">
        <v>14</v>
      </c>
      <c r="F981" s="28">
        <v>10909.441999999999</v>
      </c>
    </row>
    <row r="982" spans="1:6">
      <c r="A982" s="28" t="s">
        <v>42</v>
      </c>
      <c r="B982" s="28" t="s">
        <v>32</v>
      </c>
      <c r="C982" s="28">
        <v>2014</v>
      </c>
      <c r="D982" s="28" t="s">
        <v>4</v>
      </c>
      <c r="E982" s="28" t="s">
        <v>14</v>
      </c>
      <c r="F982" s="28">
        <v>7038.1365271675004</v>
      </c>
    </row>
    <row r="983" spans="1:6">
      <c r="A983" s="28" t="s">
        <v>42</v>
      </c>
      <c r="B983" s="28" t="s">
        <v>32</v>
      </c>
      <c r="C983" s="28">
        <v>2015</v>
      </c>
      <c r="D983" s="28" t="s">
        <v>4</v>
      </c>
      <c r="E983" s="28" t="s">
        <v>14</v>
      </c>
      <c r="F983" s="28">
        <v>6659.61881214609</v>
      </c>
    </row>
    <row r="984" spans="1:6">
      <c r="A984" s="28" t="s">
        <v>42</v>
      </c>
      <c r="B984" s="28" t="s">
        <v>32</v>
      </c>
      <c r="C984" s="28">
        <v>2016</v>
      </c>
      <c r="D984" s="28" t="s">
        <v>4</v>
      </c>
      <c r="E984" s="28" t="s">
        <v>14</v>
      </c>
      <c r="F984" s="28">
        <v>8377.5943050172391</v>
      </c>
    </row>
    <row r="985" spans="1:6">
      <c r="A985" s="28" t="s">
        <v>42</v>
      </c>
      <c r="B985" s="28" t="s">
        <v>32</v>
      </c>
      <c r="C985" s="28">
        <v>2017</v>
      </c>
      <c r="D985" s="28" t="s">
        <v>4</v>
      </c>
      <c r="E985" s="28" t="s">
        <v>14</v>
      </c>
      <c r="F985" s="28">
        <v>10193.471550446</v>
      </c>
    </row>
    <row r="986" spans="1:6">
      <c r="A986" s="28" t="s">
        <v>42</v>
      </c>
      <c r="B986" s="28" t="s">
        <v>32</v>
      </c>
      <c r="C986" s="28">
        <v>2010</v>
      </c>
      <c r="D986" s="28" t="s">
        <v>4</v>
      </c>
      <c r="E986" s="28" t="s">
        <v>15</v>
      </c>
      <c r="F986" s="28">
        <v>1223.9780000000001</v>
      </c>
    </row>
    <row r="987" spans="1:6">
      <c r="A987" s="28" t="s">
        <v>42</v>
      </c>
      <c r="B987" s="28" t="s">
        <v>32</v>
      </c>
      <c r="C987" s="28">
        <v>2011</v>
      </c>
      <c r="D987" s="28" t="s">
        <v>4</v>
      </c>
      <c r="E987" s="28" t="s">
        <v>15</v>
      </c>
      <c r="F987" s="28">
        <v>1315.402</v>
      </c>
    </row>
    <row r="988" spans="1:6">
      <c r="A988" s="28" t="s">
        <v>42</v>
      </c>
      <c r="B988" s="28" t="s">
        <v>32</v>
      </c>
      <c r="C988" s="28">
        <v>2012</v>
      </c>
      <c r="D988" s="28" t="s">
        <v>4</v>
      </c>
      <c r="E988" s="28" t="s">
        <v>15</v>
      </c>
      <c r="F988" s="28">
        <v>610.43299999999999</v>
      </c>
    </row>
    <row r="989" spans="1:6">
      <c r="A989" s="28" t="s">
        <v>42</v>
      </c>
      <c r="B989" s="28" t="s">
        <v>32</v>
      </c>
      <c r="C989" s="28">
        <v>2013</v>
      </c>
      <c r="D989" s="28" t="s">
        <v>4</v>
      </c>
      <c r="E989" s="28" t="s">
        <v>15</v>
      </c>
      <c r="F989" s="28">
        <v>207.58600000000001</v>
      </c>
    </row>
    <row r="990" spans="1:6">
      <c r="A990" s="28" t="s">
        <v>42</v>
      </c>
      <c r="B990" s="28" t="s">
        <v>32</v>
      </c>
      <c r="C990" s="28">
        <v>2014</v>
      </c>
      <c r="D990" s="28" t="s">
        <v>4</v>
      </c>
      <c r="E990" s="28" t="s">
        <v>15</v>
      </c>
      <c r="F990" s="28">
        <v>420.16836596846002</v>
      </c>
    </row>
    <row r="991" spans="1:6">
      <c r="A991" s="28" t="s">
        <v>42</v>
      </c>
      <c r="B991" s="28" t="s">
        <v>32</v>
      </c>
      <c r="C991" s="28">
        <v>2015</v>
      </c>
      <c r="D991" s="28" t="s">
        <v>4</v>
      </c>
      <c r="E991" s="28" t="s">
        <v>15</v>
      </c>
      <c r="F991" s="28">
        <v>804.97155017582998</v>
      </c>
    </row>
    <row r="992" spans="1:6">
      <c r="A992" s="28" t="s">
        <v>42</v>
      </c>
      <c r="B992" s="28" t="s">
        <v>32</v>
      </c>
      <c r="C992" s="28">
        <v>2016</v>
      </c>
      <c r="D992" s="28" t="s">
        <v>4</v>
      </c>
      <c r="E992" s="28" t="s">
        <v>15</v>
      </c>
      <c r="F992" s="28">
        <v>1010.2379119275799</v>
      </c>
    </row>
    <row r="993" spans="1:6">
      <c r="A993" s="28" t="s">
        <v>42</v>
      </c>
      <c r="B993" s="28" t="s">
        <v>32</v>
      </c>
      <c r="C993" s="28">
        <v>2017</v>
      </c>
      <c r="D993" s="28" t="s">
        <v>4</v>
      </c>
      <c r="E993" s="28" t="s">
        <v>15</v>
      </c>
      <c r="F993" s="28">
        <v>1471.9046114423199</v>
      </c>
    </row>
    <row r="994" spans="1:6">
      <c r="A994" s="28" t="s">
        <v>42</v>
      </c>
      <c r="B994" s="28" t="s">
        <v>32</v>
      </c>
      <c r="C994" s="28">
        <v>2010</v>
      </c>
      <c r="D994" s="28" t="s">
        <v>7</v>
      </c>
      <c r="E994" s="28" t="s">
        <v>16</v>
      </c>
      <c r="F994" s="28">
        <v>50304.470171300003</v>
      </c>
    </row>
    <row r="995" spans="1:6">
      <c r="A995" s="28" t="s">
        <v>42</v>
      </c>
      <c r="B995" s="28" t="s">
        <v>32</v>
      </c>
      <c r="C995" s="28">
        <v>2011</v>
      </c>
      <c r="D995" s="28" t="s">
        <v>7</v>
      </c>
      <c r="E995" s="28" t="s">
        <v>16</v>
      </c>
      <c r="F995" s="28">
        <v>50487.155155400003</v>
      </c>
    </row>
    <row r="996" spans="1:6">
      <c r="A996" s="28" t="s">
        <v>42</v>
      </c>
      <c r="B996" s="28" t="s">
        <v>32</v>
      </c>
      <c r="C996" s="28">
        <v>2012</v>
      </c>
      <c r="D996" s="28" t="s">
        <v>7</v>
      </c>
      <c r="E996" s="28" t="s">
        <v>16</v>
      </c>
      <c r="F996" s="28">
        <v>35664.565893699997</v>
      </c>
    </row>
    <row r="997" spans="1:6">
      <c r="A997" s="28" t="s">
        <v>42</v>
      </c>
      <c r="B997" s="28" t="s">
        <v>32</v>
      </c>
      <c r="C997" s="28">
        <v>2013</v>
      </c>
      <c r="D997" s="28" t="s">
        <v>7</v>
      </c>
      <c r="E997" s="28" t="s">
        <v>16</v>
      </c>
      <c r="F997" s="28">
        <v>34182.245563199998</v>
      </c>
    </row>
    <row r="998" spans="1:6">
      <c r="A998" s="28" t="s">
        <v>42</v>
      </c>
      <c r="B998" s="28" t="s">
        <v>32</v>
      </c>
      <c r="C998" s="28">
        <v>2014</v>
      </c>
      <c r="D998" s="28" t="s">
        <v>7</v>
      </c>
      <c r="E998" s="28" t="s">
        <v>16</v>
      </c>
      <c r="F998" s="28">
        <v>49411.665679999998</v>
      </c>
    </row>
    <row r="999" spans="1:6">
      <c r="A999" s="28" t="s">
        <v>42</v>
      </c>
      <c r="B999" s="28" t="s">
        <v>32</v>
      </c>
      <c r="C999" s="28">
        <v>2015</v>
      </c>
      <c r="D999" s="28" t="s">
        <v>7</v>
      </c>
      <c r="E999" s="28" t="s">
        <v>16</v>
      </c>
      <c r="F999" s="28">
        <v>73046.5</v>
      </c>
    </row>
    <row r="1000" spans="1:6">
      <c r="A1000" s="28" t="s">
        <v>42</v>
      </c>
      <c r="B1000" s="28" t="s">
        <v>32</v>
      </c>
      <c r="C1000" s="28">
        <v>2016</v>
      </c>
      <c r="D1000" s="28" t="s">
        <v>7</v>
      </c>
      <c r="E1000" s="28" t="s">
        <v>16</v>
      </c>
      <c r="F1000" s="28">
        <v>61695.7</v>
      </c>
    </row>
    <row r="1001" spans="1:6">
      <c r="A1001" s="28" t="s">
        <v>42</v>
      </c>
      <c r="B1001" s="28" t="s">
        <v>32</v>
      </c>
      <c r="C1001" s="28">
        <v>2017</v>
      </c>
      <c r="D1001" s="28" t="s">
        <v>7</v>
      </c>
      <c r="E1001" s="28" t="s">
        <v>16</v>
      </c>
      <c r="F1001" s="28">
        <v>130644</v>
      </c>
    </row>
    <row r="1002" spans="1:6">
      <c r="A1002" s="28" t="s">
        <v>42</v>
      </c>
      <c r="B1002" s="28" t="s">
        <v>32</v>
      </c>
      <c r="C1002" s="28">
        <v>2010</v>
      </c>
      <c r="D1002" s="28" t="s">
        <v>7</v>
      </c>
      <c r="E1002" s="28" t="s">
        <v>17</v>
      </c>
      <c r="F1002" s="28">
        <v>1650.577</v>
      </c>
    </row>
    <row r="1003" spans="1:6">
      <c r="A1003" s="28" t="s">
        <v>42</v>
      </c>
      <c r="B1003" s="28" t="s">
        <v>32</v>
      </c>
      <c r="C1003" s="28">
        <v>2011</v>
      </c>
      <c r="D1003" s="28" t="s">
        <v>7</v>
      </c>
      <c r="E1003" s="28" t="s">
        <v>17</v>
      </c>
      <c r="F1003" s="28">
        <v>1568.114</v>
      </c>
    </row>
    <row r="1004" spans="1:6">
      <c r="A1004" s="28" t="s">
        <v>42</v>
      </c>
      <c r="B1004" s="28" t="s">
        <v>32</v>
      </c>
      <c r="C1004" s="28">
        <v>2012</v>
      </c>
      <c r="D1004" s="28" t="s">
        <v>7</v>
      </c>
      <c r="E1004" s="28" t="s">
        <v>17</v>
      </c>
      <c r="F1004" s="28">
        <v>1174.231</v>
      </c>
    </row>
    <row r="1005" spans="1:6">
      <c r="A1005" s="28" t="s">
        <v>42</v>
      </c>
      <c r="B1005" s="28" t="s">
        <v>32</v>
      </c>
      <c r="C1005" s="28">
        <v>2013</v>
      </c>
      <c r="D1005" s="28" t="s">
        <v>7</v>
      </c>
      <c r="E1005" s="28" t="s">
        <v>17</v>
      </c>
      <c r="F1005" s="28">
        <v>1044.396</v>
      </c>
    </row>
    <row r="1006" spans="1:6">
      <c r="A1006" s="28" t="s">
        <v>42</v>
      </c>
      <c r="B1006" s="28" t="s">
        <v>32</v>
      </c>
      <c r="C1006" s="28">
        <v>2014</v>
      </c>
      <c r="D1006" s="28" t="s">
        <v>7</v>
      </c>
      <c r="E1006" s="28" t="s">
        <v>17</v>
      </c>
      <c r="F1006" s="28">
        <v>878.29845285326303</v>
      </c>
    </row>
    <row r="1007" spans="1:6">
      <c r="A1007" s="28" t="s">
        <v>42</v>
      </c>
      <c r="B1007" s="28" t="s">
        <v>32</v>
      </c>
      <c r="C1007" s="28">
        <v>2015</v>
      </c>
      <c r="D1007" s="28" t="s">
        <v>7</v>
      </c>
      <c r="E1007" s="28" t="s">
        <v>17</v>
      </c>
      <c r="F1007" s="28">
        <v>1002.24744692499</v>
      </c>
    </row>
    <row r="1008" spans="1:6">
      <c r="A1008" s="28" t="s">
        <v>42</v>
      </c>
      <c r="B1008" s="28" t="s">
        <v>32</v>
      </c>
      <c r="C1008" s="28">
        <v>2016</v>
      </c>
      <c r="D1008" s="28" t="s">
        <v>7</v>
      </c>
      <c r="E1008" s="28" t="s">
        <v>17</v>
      </c>
      <c r="F1008" s="28">
        <v>1017.12583399415</v>
      </c>
    </row>
    <row r="1009" spans="1:6">
      <c r="A1009" s="28" t="s">
        <v>42</v>
      </c>
      <c r="B1009" s="28" t="s">
        <v>32</v>
      </c>
      <c r="C1009" s="28">
        <v>2017</v>
      </c>
      <c r="D1009" s="28" t="s">
        <v>7</v>
      </c>
      <c r="E1009" s="28" t="s">
        <v>17</v>
      </c>
      <c r="F1009" s="28">
        <v>2268.1171245933201</v>
      </c>
    </row>
    <row r="1010" spans="1:6">
      <c r="A1010" s="28" t="s">
        <v>42</v>
      </c>
      <c r="B1010" s="28" t="s">
        <v>32</v>
      </c>
      <c r="C1010" s="28">
        <v>2010</v>
      </c>
      <c r="D1010" s="28" t="s">
        <v>20</v>
      </c>
      <c r="E1010" s="28" t="s">
        <v>18</v>
      </c>
      <c r="F1010" s="28">
        <v>5993.2269999999999</v>
      </c>
    </row>
    <row r="1011" spans="1:6">
      <c r="A1011" s="28" t="s">
        <v>42</v>
      </c>
      <c r="B1011" s="28" t="s">
        <v>32</v>
      </c>
      <c r="C1011" s="28">
        <v>2011</v>
      </c>
      <c r="D1011" s="28" t="s">
        <v>20</v>
      </c>
      <c r="E1011" s="28" t="s">
        <v>18</v>
      </c>
      <c r="F1011" s="28">
        <v>5993.2269999999999</v>
      </c>
    </row>
    <row r="1012" spans="1:6">
      <c r="A1012" s="28" t="s">
        <v>42</v>
      </c>
      <c r="B1012" s="28" t="s">
        <v>32</v>
      </c>
      <c r="C1012" s="28">
        <v>2012</v>
      </c>
      <c r="D1012" s="28" t="s">
        <v>20</v>
      </c>
      <c r="E1012" s="28" t="s">
        <v>18</v>
      </c>
      <c r="F1012" s="28">
        <v>5993.2269999999999</v>
      </c>
    </row>
    <row r="1013" spans="1:6">
      <c r="A1013" s="28" t="s">
        <v>42</v>
      </c>
      <c r="B1013" s="28" t="s">
        <v>32</v>
      </c>
      <c r="C1013" s="28">
        <v>2013</v>
      </c>
      <c r="D1013" s="28" t="s">
        <v>20</v>
      </c>
      <c r="E1013" s="28" t="s">
        <v>18</v>
      </c>
      <c r="F1013" s="28">
        <v>5993.2269999999999</v>
      </c>
    </row>
    <row r="1014" spans="1:6">
      <c r="A1014" s="28" t="s">
        <v>42</v>
      </c>
      <c r="B1014" s="28" t="s">
        <v>32</v>
      </c>
      <c r="C1014" s="28">
        <v>2014</v>
      </c>
      <c r="D1014" s="28" t="s">
        <v>20</v>
      </c>
      <c r="E1014" s="28" t="s">
        <v>18</v>
      </c>
      <c r="F1014" s="28">
        <v>5993.2269999999999</v>
      </c>
    </row>
    <row r="1015" spans="1:6">
      <c r="A1015" s="28" t="s">
        <v>42</v>
      </c>
      <c r="B1015" s="28" t="s">
        <v>32</v>
      </c>
      <c r="C1015" s="28">
        <v>2015</v>
      </c>
      <c r="D1015" s="28" t="s">
        <v>20</v>
      </c>
      <c r="E1015" s="28" t="s">
        <v>18</v>
      </c>
      <c r="F1015" s="28">
        <v>5993.2269999999999</v>
      </c>
    </row>
    <row r="1016" spans="1:6">
      <c r="A1016" s="28" t="s">
        <v>42</v>
      </c>
      <c r="B1016" s="28" t="s">
        <v>32</v>
      </c>
      <c r="C1016" s="28">
        <v>2016</v>
      </c>
      <c r="D1016" s="28" t="s">
        <v>20</v>
      </c>
      <c r="E1016" s="28" t="s">
        <v>18</v>
      </c>
      <c r="F1016" s="28">
        <v>5993.2269999999999</v>
      </c>
    </row>
    <row r="1017" spans="1:6">
      <c r="A1017" s="28" t="s">
        <v>42</v>
      </c>
      <c r="B1017" s="28" t="s">
        <v>32</v>
      </c>
      <c r="C1017" s="28">
        <v>2017</v>
      </c>
      <c r="D1017" s="28" t="s">
        <v>20</v>
      </c>
      <c r="E1017" s="28" t="s">
        <v>18</v>
      </c>
      <c r="F1017" s="28">
        <v>5993.2269999999999</v>
      </c>
    </row>
    <row r="1018" spans="1:6">
      <c r="A1018" s="28" t="s">
        <v>42</v>
      </c>
      <c r="B1018" s="28" t="s">
        <v>32</v>
      </c>
      <c r="C1018" s="28">
        <v>2010</v>
      </c>
      <c r="D1018" s="28" t="s">
        <v>20</v>
      </c>
      <c r="E1018" s="28" t="s">
        <v>19</v>
      </c>
      <c r="F1018" s="28">
        <v>144.54</v>
      </c>
    </row>
    <row r="1019" spans="1:6">
      <c r="A1019" s="28" t="s">
        <v>42</v>
      </c>
      <c r="B1019" s="28" t="s">
        <v>32</v>
      </c>
      <c r="C1019" s="28">
        <v>2011</v>
      </c>
      <c r="D1019" s="28" t="s">
        <v>20</v>
      </c>
      <c r="E1019" s="28" t="s">
        <v>19</v>
      </c>
      <c r="F1019" s="28">
        <v>62.8</v>
      </c>
    </row>
    <row r="1020" spans="1:6">
      <c r="A1020" s="28" t="s">
        <v>42</v>
      </c>
      <c r="B1020" s="28" t="s">
        <v>32</v>
      </c>
      <c r="C1020" s="28">
        <v>2012</v>
      </c>
      <c r="D1020" s="28" t="s">
        <v>20</v>
      </c>
      <c r="E1020" s="28" t="s">
        <v>19</v>
      </c>
      <c r="F1020" s="28">
        <v>61.2</v>
      </c>
    </row>
    <row r="1021" spans="1:6">
      <c r="A1021" s="28" t="s">
        <v>42</v>
      </c>
      <c r="B1021" s="28" t="s">
        <v>32</v>
      </c>
      <c r="C1021" s="28">
        <v>2013</v>
      </c>
      <c r="D1021" s="28" t="s">
        <v>20</v>
      </c>
      <c r="E1021" s="28" t="s">
        <v>19</v>
      </c>
      <c r="F1021" s="28">
        <v>55.18</v>
      </c>
    </row>
    <row r="1022" spans="1:6">
      <c r="A1022" s="28" t="s">
        <v>42</v>
      </c>
      <c r="B1022" s="28" t="s">
        <v>32</v>
      </c>
      <c r="C1022" s="28">
        <v>2014</v>
      </c>
      <c r="D1022" s="28" t="s">
        <v>20</v>
      </c>
      <c r="E1022" s="28" t="s">
        <v>19</v>
      </c>
      <c r="F1022" s="28">
        <v>66.8</v>
      </c>
    </row>
    <row r="1023" spans="1:6">
      <c r="A1023" s="28" t="s">
        <v>42</v>
      </c>
      <c r="B1023" s="28" t="s">
        <v>32</v>
      </c>
      <c r="C1023" s="28">
        <v>2015</v>
      </c>
      <c r="D1023" s="28" t="s">
        <v>20</v>
      </c>
      <c r="E1023" s="28" t="s">
        <v>19</v>
      </c>
      <c r="F1023" s="28">
        <v>62.6</v>
      </c>
    </row>
    <row r="1024" spans="1:6">
      <c r="A1024" s="28" t="s">
        <v>42</v>
      </c>
      <c r="B1024" s="28" t="s">
        <v>32</v>
      </c>
      <c r="C1024" s="28">
        <v>2016</v>
      </c>
      <c r="D1024" s="28" t="s">
        <v>20</v>
      </c>
      <c r="E1024" s="28" t="s">
        <v>19</v>
      </c>
      <c r="F1024" s="28">
        <v>114.98</v>
      </c>
    </row>
    <row r="1025" spans="1:6">
      <c r="A1025" s="28" t="s">
        <v>42</v>
      </c>
      <c r="B1025" s="28" t="s">
        <v>32</v>
      </c>
      <c r="C1025" s="28">
        <v>2017</v>
      </c>
      <c r="D1025" s="28" t="s">
        <v>20</v>
      </c>
      <c r="E1025" s="28" t="s">
        <v>19</v>
      </c>
      <c r="F1025" s="28">
        <v>147.22</v>
      </c>
    </row>
    <row r="1026" spans="1:6">
      <c r="A1026" s="28" t="s">
        <v>43</v>
      </c>
      <c r="B1026" s="28" t="s">
        <v>33</v>
      </c>
      <c r="C1026" s="28">
        <v>2010</v>
      </c>
      <c r="D1026" s="28" t="s">
        <v>1</v>
      </c>
      <c r="E1026" s="28" t="s">
        <v>2</v>
      </c>
      <c r="F1026" s="28">
        <v>342522</v>
      </c>
    </row>
    <row r="1027" spans="1:6">
      <c r="A1027" s="28" t="s">
        <v>43</v>
      </c>
      <c r="B1027" s="28" t="s">
        <v>33</v>
      </c>
      <c r="C1027" s="28">
        <v>2011</v>
      </c>
      <c r="D1027" s="28" t="s">
        <v>1</v>
      </c>
      <c r="E1027" s="28" t="s">
        <v>2</v>
      </c>
      <c r="F1027" s="28">
        <v>299540</v>
      </c>
    </row>
    <row r="1028" spans="1:6">
      <c r="A1028" s="28" t="s">
        <v>43</v>
      </c>
      <c r="B1028" s="28" t="s">
        <v>33</v>
      </c>
      <c r="C1028" s="28">
        <v>2012</v>
      </c>
      <c r="D1028" s="28" t="s">
        <v>1</v>
      </c>
      <c r="E1028" s="28" t="s">
        <v>2</v>
      </c>
      <c r="F1028" s="28">
        <v>341897</v>
      </c>
    </row>
    <row r="1029" spans="1:6">
      <c r="A1029" s="28" t="s">
        <v>43</v>
      </c>
      <c r="B1029" s="28" t="s">
        <v>33</v>
      </c>
      <c r="C1029" s="28">
        <v>2013</v>
      </c>
      <c r="D1029" s="28" t="s">
        <v>1</v>
      </c>
      <c r="E1029" s="28" t="s">
        <v>2</v>
      </c>
      <c r="F1029" s="28">
        <v>306424</v>
      </c>
    </row>
    <row r="1030" spans="1:6">
      <c r="A1030" s="28" t="s">
        <v>43</v>
      </c>
      <c r="B1030" s="28" t="s">
        <v>33</v>
      </c>
      <c r="C1030" s="28">
        <v>2014</v>
      </c>
      <c r="D1030" s="28" t="s">
        <v>1</v>
      </c>
      <c r="E1030" s="28" t="s">
        <v>2</v>
      </c>
      <c r="F1030" s="28">
        <v>388306</v>
      </c>
    </row>
    <row r="1031" spans="1:6">
      <c r="A1031" s="28" t="s">
        <v>43</v>
      </c>
      <c r="B1031" s="28" t="s">
        <v>33</v>
      </c>
      <c r="C1031" s="28">
        <v>2015</v>
      </c>
      <c r="D1031" s="28" t="s">
        <v>1</v>
      </c>
      <c r="E1031" s="28" t="s">
        <v>2</v>
      </c>
      <c r="F1031" s="28">
        <v>419507</v>
      </c>
    </row>
    <row r="1032" spans="1:6">
      <c r="A1032" s="28" t="s">
        <v>43</v>
      </c>
      <c r="B1032" s="28" t="s">
        <v>33</v>
      </c>
      <c r="C1032" s="28">
        <v>2016</v>
      </c>
      <c r="D1032" s="28" t="s">
        <v>1</v>
      </c>
      <c r="E1032" s="28" t="s">
        <v>2</v>
      </c>
      <c r="F1032" s="28">
        <v>459833</v>
      </c>
    </row>
    <row r="1033" spans="1:6">
      <c r="A1033" s="28" t="s">
        <v>43</v>
      </c>
      <c r="B1033" s="28" t="s">
        <v>33</v>
      </c>
      <c r="C1033" s="28">
        <v>2017</v>
      </c>
      <c r="D1033" s="28" t="s">
        <v>1</v>
      </c>
      <c r="E1033" s="28" t="s">
        <v>2</v>
      </c>
      <c r="F1033" s="28">
        <v>474354</v>
      </c>
    </row>
    <row r="1034" spans="1:6">
      <c r="A1034" s="28" t="s">
        <v>43</v>
      </c>
      <c r="B1034" s="28" t="s">
        <v>33</v>
      </c>
      <c r="C1034" s="28">
        <v>2010</v>
      </c>
      <c r="D1034" s="28" t="s">
        <v>1</v>
      </c>
      <c r="E1034" s="28" t="s">
        <v>3</v>
      </c>
      <c r="F1034" s="28">
        <v>114352</v>
      </c>
    </row>
    <row r="1035" spans="1:6">
      <c r="A1035" s="28" t="s">
        <v>43</v>
      </c>
      <c r="B1035" s="28" t="s">
        <v>33</v>
      </c>
      <c r="C1035" s="28">
        <v>2011</v>
      </c>
      <c r="D1035" s="28" t="s">
        <v>1</v>
      </c>
      <c r="E1035" s="28" t="s">
        <v>3</v>
      </c>
      <c r="F1035" s="28">
        <v>137438</v>
      </c>
    </row>
    <row r="1036" spans="1:6">
      <c r="A1036" s="28" t="s">
        <v>43</v>
      </c>
      <c r="B1036" s="28" t="s">
        <v>33</v>
      </c>
      <c r="C1036" s="28">
        <v>2012</v>
      </c>
      <c r="D1036" s="28" t="s">
        <v>1</v>
      </c>
      <c r="E1036" s="28" t="s">
        <v>3</v>
      </c>
      <c r="F1036" s="28">
        <v>121612</v>
      </c>
    </row>
    <row r="1037" spans="1:6">
      <c r="A1037" s="28" t="s">
        <v>43</v>
      </c>
      <c r="B1037" s="28" t="s">
        <v>33</v>
      </c>
      <c r="C1037" s="28">
        <v>2013</v>
      </c>
      <c r="D1037" s="28" t="s">
        <v>1</v>
      </c>
      <c r="E1037" s="28" t="s">
        <v>3</v>
      </c>
      <c r="F1037" s="28">
        <v>141375</v>
      </c>
    </row>
    <row r="1038" spans="1:6">
      <c r="A1038" s="28" t="s">
        <v>43</v>
      </c>
      <c r="B1038" s="28" t="s">
        <v>33</v>
      </c>
      <c r="C1038" s="28">
        <v>2014</v>
      </c>
      <c r="D1038" s="28" t="s">
        <v>1</v>
      </c>
      <c r="E1038" s="28" t="s">
        <v>3</v>
      </c>
      <c r="F1038" s="28">
        <v>135375</v>
      </c>
    </row>
    <row r="1039" spans="1:6">
      <c r="A1039" s="28" t="s">
        <v>43</v>
      </c>
      <c r="B1039" s="28" t="s">
        <v>33</v>
      </c>
      <c r="C1039" s="28">
        <v>2015</v>
      </c>
      <c r="D1039" s="28" t="s">
        <v>1</v>
      </c>
      <c r="E1039" s="28" t="s">
        <v>3</v>
      </c>
      <c r="F1039" s="28">
        <v>100605</v>
      </c>
    </row>
    <row r="1040" spans="1:6">
      <c r="A1040" s="28" t="s">
        <v>43</v>
      </c>
      <c r="B1040" s="28" t="s">
        <v>33</v>
      </c>
      <c r="C1040" s="28">
        <v>2016</v>
      </c>
      <c r="D1040" s="28" t="s">
        <v>1</v>
      </c>
      <c r="E1040" s="28" t="s">
        <v>3</v>
      </c>
      <c r="F1040" s="28">
        <v>124334</v>
      </c>
    </row>
    <row r="1041" spans="1:6">
      <c r="A1041" s="28" t="s">
        <v>43</v>
      </c>
      <c r="B1041" s="28" t="s">
        <v>33</v>
      </c>
      <c r="C1041" s="28">
        <v>2017</v>
      </c>
      <c r="D1041" s="28" t="s">
        <v>1</v>
      </c>
      <c r="E1041" s="28" t="s">
        <v>3</v>
      </c>
      <c r="F1041" s="28">
        <v>256002</v>
      </c>
    </row>
    <row r="1042" spans="1:6">
      <c r="A1042" s="28" t="s">
        <v>43</v>
      </c>
      <c r="B1042" s="28" t="s">
        <v>33</v>
      </c>
      <c r="C1042" s="28">
        <v>2010</v>
      </c>
      <c r="D1042" s="28" t="s">
        <v>1</v>
      </c>
      <c r="E1042" s="28" t="s">
        <v>5</v>
      </c>
      <c r="F1042" s="28">
        <v>456874</v>
      </c>
    </row>
    <row r="1043" spans="1:6">
      <c r="A1043" s="28" t="s">
        <v>43</v>
      </c>
      <c r="B1043" s="28" t="s">
        <v>33</v>
      </c>
      <c r="C1043" s="28">
        <v>2011</v>
      </c>
      <c r="D1043" s="28" t="s">
        <v>1</v>
      </c>
      <c r="E1043" s="28" t="s">
        <v>5</v>
      </c>
      <c r="F1043" s="28">
        <v>436978</v>
      </c>
    </row>
    <row r="1044" spans="1:6">
      <c r="A1044" s="28" t="s">
        <v>43</v>
      </c>
      <c r="B1044" s="28" t="s">
        <v>33</v>
      </c>
      <c r="C1044" s="28">
        <v>2012</v>
      </c>
      <c r="D1044" s="28" t="s">
        <v>1</v>
      </c>
      <c r="E1044" s="28" t="s">
        <v>5</v>
      </c>
      <c r="F1044" s="28">
        <v>463509</v>
      </c>
    </row>
    <row r="1045" spans="1:6">
      <c r="A1045" s="28" t="s">
        <v>43</v>
      </c>
      <c r="B1045" s="28" t="s">
        <v>33</v>
      </c>
      <c r="C1045" s="28">
        <v>2013</v>
      </c>
      <c r="D1045" s="28" t="s">
        <v>1</v>
      </c>
      <c r="E1045" s="28" t="s">
        <v>5</v>
      </c>
      <c r="F1045" s="28">
        <v>447799</v>
      </c>
    </row>
    <row r="1046" spans="1:6">
      <c r="A1046" s="28" t="s">
        <v>43</v>
      </c>
      <c r="B1046" s="28" t="s">
        <v>33</v>
      </c>
      <c r="C1046" s="28">
        <v>2014</v>
      </c>
      <c r="D1046" s="28" t="s">
        <v>1</v>
      </c>
      <c r="E1046" s="28" t="s">
        <v>5</v>
      </c>
      <c r="F1046" s="28">
        <v>523681</v>
      </c>
    </row>
    <row r="1047" spans="1:6">
      <c r="A1047" s="28" t="s">
        <v>43</v>
      </c>
      <c r="B1047" s="28" t="s">
        <v>33</v>
      </c>
      <c r="C1047" s="28">
        <v>2015</v>
      </c>
      <c r="D1047" s="28" t="s">
        <v>1</v>
      </c>
      <c r="E1047" s="28" t="s">
        <v>5</v>
      </c>
      <c r="F1047" s="28">
        <v>520112</v>
      </c>
    </row>
    <row r="1048" spans="1:6">
      <c r="A1048" s="28" t="s">
        <v>43</v>
      </c>
      <c r="B1048" s="28" t="s">
        <v>33</v>
      </c>
      <c r="C1048" s="28">
        <v>2016</v>
      </c>
      <c r="D1048" s="28" t="s">
        <v>1</v>
      </c>
      <c r="E1048" s="28" t="s">
        <v>5</v>
      </c>
      <c r="F1048" s="28">
        <v>584167</v>
      </c>
    </row>
    <row r="1049" spans="1:6">
      <c r="A1049" s="28" t="s">
        <v>43</v>
      </c>
      <c r="B1049" s="28" t="s">
        <v>33</v>
      </c>
      <c r="C1049" s="28">
        <v>2017</v>
      </c>
      <c r="D1049" s="28" t="s">
        <v>1</v>
      </c>
      <c r="E1049" s="28" t="s">
        <v>5</v>
      </c>
      <c r="F1049" s="28">
        <v>730356</v>
      </c>
    </row>
    <row r="1050" spans="1:6">
      <c r="A1050" s="28" t="s">
        <v>43</v>
      </c>
      <c r="B1050" s="28" t="s">
        <v>33</v>
      </c>
      <c r="C1050" s="28">
        <v>2010</v>
      </c>
      <c r="D1050" s="28" t="s">
        <v>1</v>
      </c>
      <c r="E1050" s="28" t="s">
        <v>6</v>
      </c>
      <c r="F1050" s="28">
        <v>243585</v>
      </c>
    </row>
    <row r="1051" spans="1:6">
      <c r="A1051" s="28" t="s">
        <v>43</v>
      </c>
      <c r="B1051" s="28" t="s">
        <v>33</v>
      </c>
      <c r="C1051" s="28">
        <v>2011</v>
      </c>
      <c r="D1051" s="28" t="s">
        <v>1</v>
      </c>
      <c r="E1051" s="28" t="s">
        <v>6</v>
      </c>
      <c r="F1051" s="28">
        <v>226929</v>
      </c>
    </row>
    <row r="1052" spans="1:6">
      <c r="A1052" s="28" t="s">
        <v>43</v>
      </c>
      <c r="B1052" s="28" t="s">
        <v>33</v>
      </c>
      <c r="C1052" s="28">
        <v>2012</v>
      </c>
      <c r="D1052" s="28" t="s">
        <v>1</v>
      </c>
      <c r="E1052" s="28" t="s">
        <v>6</v>
      </c>
      <c r="F1052" s="28">
        <v>247908</v>
      </c>
    </row>
    <row r="1053" spans="1:6">
      <c r="A1053" s="28" t="s">
        <v>43</v>
      </c>
      <c r="B1053" s="28" t="s">
        <v>33</v>
      </c>
      <c r="C1053" s="28">
        <v>2013</v>
      </c>
      <c r="D1053" s="28" t="s">
        <v>1</v>
      </c>
      <c r="E1053" s="28" t="s">
        <v>6</v>
      </c>
      <c r="F1053" s="28">
        <v>236322</v>
      </c>
    </row>
    <row r="1054" spans="1:6">
      <c r="A1054" s="28" t="s">
        <v>43</v>
      </c>
      <c r="B1054" s="28" t="s">
        <v>33</v>
      </c>
      <c r="C1054" s="28">
        <v>2014</v>
      </c>
      <c r="D1054" s="28" t="s">
        <v>1</v>
      </c>
      <c r="E1054" s="28" t="s">
        <v>6</v>
      </c>
      <c r="F1054" s="28">
        <v>203652</v>
      </c>
    </row>
    <row r="1055" spans="1:6">
      <c r="A1055" s="28" t="s">
        <v>43</v>
      </c>
      <c r="B1055" s="28" t="s">
        <v>33</v>
      </c>
      <c r="C1055" s="28">
        <v>2015</v>
      </c>
      <c r="D1055" s="28" t="s">
        <v>1</v>
      </c>
      <c r="E1055" s="28" t="s">
        <v>6</v>
      </c>
      <c r="F1055" s="28">
        <v>244713</v>
      </c>
    </row>
    <row r="1056" spans="1:6">
      <c r="A1056" s="28" t="s">
        <v>43</v>
      </c>
      <c r="B1056" s="28" t="s">
        <v>33</v>
      </c>
      <c r="C1056" s="28">
        <v>2016</v>
      </c>
      <c r="D1056" s="28" t="s">
        <v>1</v>
      </c>
      <c r="E1056" s="28" t="s">
        <v>6</v>
      </c>
      <c r="F1056" s="28">
        <v>264536</v>
      </c>
    </row>
    <row r="1057" spans="1:6">
      <c r="A1057" s="28" t="s">
        <v>43</v>
      </c>
      <c r="B1057" s="28" t="s">
        <v>33</v>
      </c>
      <c r="C1057" s="28">
        <v>2017</v>
      </c>
      <c r="D1057" s="28" t="s">
        <v>1</v>
      </c>
      <c r="E1057" s="28" t="s">
        <v>6</v>
      </c>
      <c r="F1057" s="28">
        <v>381205</v>
      </c>
    </row>
    <row r="1058" spans="1:6">
      <c r="A1058" s="28" t="s">
        <v>43</v>
      </c>
      <c r="B1058" s="28" t="s">
        <v>33</v>
      </c>
      <c r="C1058" s="28">
        <v>2010</v>
      </c>
      <c r="D1058" s="28" t="s">
        <v>1</v>
      </c>
      <c r="E1058" s="28" t="s">
        <v>8</v>
      </c>
      <c r="F1058" s="28">
        <v>136626</v>
      </c>
    </row>
    <row r="1059" spans="1:6">
      <c r="A1059" s="28" t="s">
        <v>43</v>
      </c>
      <c r="B1059" s="28" t="s">
        <v>33</v>
      </c>
      <c r="C1059" s="28">
        <v>2011</v>
      </c>
      <c r="D1059" s="28" t="s">
        <v>1</v>
      </c>
      <c r="E1059" s="28" t="s">
        <v>8</v>
      </c>
      <c r="F1059" s="28">
        <v>136211</v>
      </c>
    </row>
    <row r="1060" spans="1:6">
      <c r="A1060" s="28" t="s">
        <v>43</v>
      </c>
      <c r="B1060" s="28" t="s">
        <v>33</v>
      </c>
      <c r="C1060" s="28">
        <v>2012</v>
      </c>
      <c r="D1060" s="28" t="s">
        <v>1</v>
      </c>
      <c r="E1060" s="28" t="s">
        <v>8</v>
      </c>
      <c r="F1060" s="28">
        <v>128776</v>
      </c>
    </row>
    <row r="1061" spans="1:6">
      <c r="A1061" s="28" t="s">
        <v>43</v>
      </c>
      <c r="B1061" s="28" t="s">
        <v>33</v>
      </c>
      <c r="C1061" s="28">
        <v>2013</v>
      </c>
      <c r="D1061" s="28" t="s">
        <v>1</v>
      </c>
      <c r="E1061" s="28" t="s">
        <v>8</v>
      </c>
      <c r="F1061" s="28">
        <v>124700</v>
      </c>
    </row>
    <row r="1062" spans="1:6">
      <c r="A1062" s="28" t="s">
        <v>43</v>
      </c>
      <c r="B1062" s="28" t="s">
        <v>33</v>
      </c>
      <c r="C1062" s="28">
        <v>2014</v>
      </c>
      <c r="D1062" s="28" t="s">
        <v>1</v>
      </c>
      <c r="E1062" s="28" t="s">
        <v>8</v>
      </c>
      <c r="F1062" s="28">
        <v>208812</v>
      </c>
    </row>
    <row r="1063" spans="1:6">
      <c r="A1063" s="28" t="s">
        <v>43</v>
      </c>
      <c r="B1063" s="28" t="s">
        <v>33</v>
      </c>
      <c r="C1063" s="28">
        <v>2015</v>
      </c>
      <c r="D1063" s="28" t="s">
        <v>1</v>
      </c>
      <c r="E1063" s="28" t="s">
        <v>8</v>
      </c>
      <c r="F1063" s="28">
        <v>180728</v>
      </c>
    </row>
    <row r="1064" spans="1:6">
      <c r="A1064" s="28" t="s">
        <v>43</v>
      </c>
      <c r="B1064" s="28" t="s">
        <v>33</v>
      </c>
      <c r="C1064" s="28">
        <v>2016</v>
      </c>
      <c r="D1064" s="28" t="s">
        <v>1</v>
      </c>
      <c r="E1064" s="28" t="s">
        <v>8</v>
      </c>
      <c r="F1064" s="28">
        <v>210178</v>
      </c>
    </row>
    <row r="1065" spans="1:6">
      <c r="A1065" s="28" t="s">
        <v>43</v>
      </c>
      <c r="B1065" s="28" t="s">
        <v>33</v>
      </c>
      <c r="C1065" s="28">
        <v>2017</v>
      </c>
      <c r="D1065" s="28" t="s">
        <v>1</v>
      </c>
      <c r="E1065" s="28" t="s">
        <v>8</v>
      </c>
      <c r="F1065" s="28">
        <v>199848</v>
      </c>
    </row>
    <row r="1066" spans="1:6">
      <c r="A1066" s="28" t="s">
        <v>43</v>
      </c>
      <c r="B1066" s="28" t="s">
        <v>33</v>
      </c>
      <c r="C1066" s="28">
        <v>2010</v>
      </c>
      <c r="D1066" s="28" t="s">
        <v>1</v>
      </c>
      <c r="E1066" s="28" t="s">
        <v>9</v>
      </c>
      <c r="F1066" s="28">
        <v>76663</v>
      </c>
    </row>
    <row r="1067" spans="1:6">
      <c r="A1067" s="28" t="s">
        <v>43</v>
      </c>
      <c r="B1067" s="28" t="s">
        <v>33</v>
      </c>
      <c r="C1067" s="28">
        <v>2011</v>
      </c>
      <c r="D1067" s="28" t="s">
        <v>1</v>
      </c>
      <c r="E1067" s="28" t="s">
        <v>9</v>
      </c>
      <c r="F1067" s="28">
        <v>73838</v>
      </c>
    </row>
    <row r="1068" spans="1:6">
      <c r="A1068" s="28" t="s">
        <v>43</v>
      </c>
      <c r="B1068" s="28" t="s">
        <v>33</v>
      </c>
      <c r="C1068" s="28">
        <v>2012</v>
      </c>
      <c r="D1068" s="28" t="s">
        <v>1</v>
      </c>
      <c r="E1068" s="28" t="s">
        <v>9</v>
      </c>
      <c r="F1068" s="28">
        <v>86825</v>
      </c>
    </row>
    <row r="1069" spans="1:6">
      <c r="A1069" s="28" t="s">
        <v>43</v>
      </c>
      <c r="B1069" s="28" t="s">
        <v>33</v>
      </c>
      <c r="C1069" s="28">
        <v>2013</v>
      </c>
      <c r="D1069" s="28" t="s">
        <v>1</v>
      </c>
      <c r="E1069" s="28" t="s">
        <v>9</v>
      </c>
      <c r="F1069" s="28">
        <v>86777</v>
      </c>
    </row>
    <row r="1070" spans="1:6">
      <c r="A1070" s="28" t="s">
        <v>43</v>
      </c>
      <c r="B1070" s="28" t="s">
        <v>33</v>
      </c>
      <c r="C1070" s="28">
        <v>2014</v>
      </c>
      <c r="D1070" s="28" t="s">
        <v>1</v>
      </c>
      <c r="E1070" s="28" t="s">
        <v>9</v>
      </c>
      <c r="F1070" s="28">
        <v>111217</v>
      </c>
    </row>
    <row r="1071" spans="1:6">
      <c r="A1071" s="28" t="s">
        <v>43</v>
      </c>
      <c r="B1071" s="28" t="s">
        <v>33</v>
      </c>
      <c r="C1071" s="28">
        <v>2015</v>
      </c>
      <c r="D1071" s="28" t="s">
        <v>1</v>
      </c>
      <c r="E1071" s="28" t="s">
        <v>9</v>
      </c>
      <c r="F1071" s="28">
        <v>94671</v>
      </c>
    </row>
    <row r="1072" spans="1:6">
      <c r="A1072" s="28" t="s">
        <v>43</v>
      </c>
      <c r="B1072" s="28" t="s">
        <v>33</v>
      </c>
      <c r="C1072" s="28">
        <v>2016</v>
      </c>
      <c r="D1072" s="28" t="s">
        <v>1</v>
      </c>
      <c r="E1072" s="28" t="s">
        <v>9</v>
      </c>
      <c r="F1072" s="28">
        <v>109453</v>
      </c>
    </row>
    <row r="1073" spans="1:6">
      <c r="A1073" s="28" t="s">
        <v>43</v>
      </c>
      <c r="B1073" s="28" t="s">
        <v>33</v>
      </c>
      <c r="C1073" s="28">
        <v>2017</v>
      </c>
      <c r="D1073" s="28" t="s">
        <v>1</v>
      </c>
      <c r="E1073" s="28" t="s">
        <v>9</v>
      </c>
      <c r="F1073" s="28">
        <v>149303</v>
      </c>
    </row>
    <row r="1074" spans="1:6">
      <c r="A1074" s="28" t="s">
        <v>43</v>
      </c>
      <c r="B1074" s="28" t="s">
        <v>33</v>
      </c>
      <c r="C1074" s="28">
        <v>2010</v>
      </c>
      <c r="D1074" s="28" t="s">
        <v>1</v>
      </c>
      <c r="E1074" s="28" t="s">
        <v>10</v>
      </c>
      <c r="F1074" s="28">
        <v>456874</v>
      </c>
    </row>
    <row r="1075" spans="1:6">
      <c r="A1075" s="28" t="s">
        <v>43</v>
      </c>
      <c r="B1075" s="28" t="s">
        <v>33</v>
      </c>
      <c r="C1075" s="28">
        <v>2011</v>
      </c>
      <c r="D1075" s="28" t="s">
        <v>1</v>
      </c>
      <c r="E1075" s="28" t="s">
        <v>10</v>
      </c>
      <c r="F1075" s="28">
        <v>436978</v>
      </c>
    </row>
    <row r="1076" spans="1:6">
      <c r="A1076" s="28" t="s">
        <v>43</v>
      </c>
      <c r="B1076" s="28" t="s">
        <v>33</v>
      </c>
      <c r="C1076" s="28">
        <v>2012</v>
      </c>
      <c r="D1076" s="28" t="s">
        <v>1</v>
      </c>
      <c r="E1076" s="28" t="s">
        <v>10</v>
      </c>
      <c r="F1076" s="28">
        <v>463509</v>
      </c>
    </row>
    <row r="1077" spans="1:6">
      <c r="A1077" s="28" t="s">
        <v>43</v>
      </c>
      <c r="B1077" s="28" t="s">
        <v>33</v>
      </c>
      <c r="C1077" s="28">
        <v>2013</v>
      </c>
      <c r="D1077" s="28" t="s">
        <v>1</v>
      </c>
      <c r="E1077" s="28" t="s">
        <v>10</v>
      </c>
      <c r="F1077" s="28">
        <v>447799</v>
      </c>
    </row>
    <row r="1078" spans="1:6">
      <c r="A1078" s="28" t="s">
        <v>43</v>
      </c>
      <c r="B1078" s="28" t="s">
        <v>33</v>
      </c>
      <c r="C1078" s="28">
        <v>2014</v>
      </c>
      <c r="D1078" s="28" t="s">
        <v>1</v>
      </c>
      <c r="E1078" s="28" t="s">
        <v>10</v>
      </c>
      <c r="F1078" s="28">
        <v>523681</v>
      </c>
    </row>
    <row r="1079" spans="1:6">
      <c r="A1079" s="28" t="s">
        <v>43</v>
      </c>
      <c r="B1079" s="28" t="s">
        <v>33</v>
      </c>
      <c r="C1079" s="28">
        <v>2015</v>
      </c>
      <c r="D1079" s="28" t="s">
        <v>1</v>
      </c>
      <c r="E1079" s="28" t="s">
        <v>10</v>
      </c>
      <c r="F1079" s="28">
        <v>520112</v>
      </c>
    </row>
    <row r="1080" spans="1:6">
      <c r="A1080" s="28" t="s">
        <v>43</v>
      </c>
      <c r="B1080" s="28" t="s">
        <v>33</v>
      </c>
      <c r="C1080" s="28">
        <v>2016</v>
      </c>
      <c r="D1080" s="28" t="s">
        <v>1</v>
      </c>
      <c r="E1080" s="28" t="s">
        <v>10</v>
      </c>
      <c r="F1080" s="28">
        <v>584167</v>
      </c>
    </row>
    <row r="1081" spans="1:6">
      <c r="A1081" s="28" t="s">
        <v>43</v>
      </c>
      <c r="B1081" s="28" t="s">
        <v>33</v>
      </c>
      <c r="C1081" s="28">
        <v>2017</v>
      </c>
      <c r="D1081" s="28" t="s">
        <v>1</v>
      </c>
      <c r="E1081" s="28" t="s">
        <v>10</v>
      </c>
      <c r="F1081" s="28">
        <v>730356</v>
      </c>
    </row>
    <row r="1082" spans="1:6">
      <c r="A1082" s="28" t="s">
        <v>43</v>
      </c>
      <c r="B1082" s="28" t="s">
        <v>33</v>
      </c>
      <c r="C1082" s="28">
        <v>2010</v>
      </c>
      <c r="D1082" s="28" t="s">
        <v>1</v>
      </c>
      <c r="E1082" s="28" t="s">
        <v>11</v>
      </c>
      <c r="F1082" s="28">
        <v>0.46684425027469301</v>
      </c>
    </row>
    <row r="1083" spans="1:6">
      <c r="A1083" s="28" t="s">
        <v>43</v>
      </c>
      <c r="B1083" s="28" t="s">
        <v>33</v>
      </c>
      <c r="C1083" s="28">
        <v>2011</v>
      </c>
      <c r="D1083" s="28" t="s">
        <v>1</v>
      </c>
      <c r="E1083" s="28" t="s">
        <v>11</v>
      </c>
      <c r="F1083" s="28">
        <v>0.48068552650247798</v>
      </c>
    </row>
    <row r="1084" spans="1:6">
      <c r="A1084" s="28" t="s">
        <v>43</v>
      </c>
      <c r="B1084" s="28" t="s">
        <v>33</v>
      </c>
      <c r="C1084" s="28">
        <v>2012</v>
      </c>
      <c r="D1084" s="28" t="s">
        <v>1</v>
      </c>
      <c r="E1084" s="28" t="s">
        <v>11</v>
      </c>
      <c r="F1084" s="28">
        <v>0.46514954402179898</v>
      </c>
    </row>
    <row r="1085" spans="1:6">
      <c r="A1085" s="28" t="s">
        <v>43</v>
      </c>
      <c r="B1085" s="28" t="s">
        <v>33</v>
      </c>
      <c r="C1085" s="28">
        <v>2013</v>
      </c>
      <c r="D1085" s="28" t="s">
        <v>1</v>
      </c>
      <c r="E1085" s="28" t="s">
        <v>11</v>
      </c>
      <c r="F1085" s="28">
        <v>0.472258758952119</v>
      </c>
    </row>
    <row r="1086" spans="1:6">
      <c r="A1086" s="28" t="s">
        <v>43</v>
      </c>
      <c r="B1086" s="28" t="s">
        <v>33</v>
      </c>
      <c r="C1086" s="28">
        <v>2014</v>
      </c>
      <c r="D1086" s="28" t="s">
        <v>1</v>
      </c>
      <c r="E1086" s="28" t="s">
        <v>11</v>
      </c>
      <c r="F1086" s="28">
        <v>0.61111439979682303</v>
      </c>
    </row>
    <row r="1087" spans="1:6">
      <c r="A1087" s="28" t="s">
        <v>43</v>
      </c>
      <c r="B1087" s="28" t="s">
        <v>33</v>
      </c>
      <c r="C1087" s="28">
        <v>2015</v>
      </c>
      <c r="D1087" s="28" t="s">
        <v>1</v>
      </c>
      <c r="E1087" s="28" t="s">
        <v>11</v>
      </c>
      <c r="F1087" s="28">
        <v>0.52949941551050494</v>
      </c>
    </row>
    <row r="1088" spans="1:6">
      <c r="A1088" s="28" t="s">
        <v>43</v>
      </c>
      <c r="B1088" s="28" t="s">
        <v>33</v>
      </c>
      <c r="C1088" s="28">
        <v>2016</v>
      </c>
      <c r="D1088" s="28" t="s">
        <v>1</v>
      </c>
      <c r="E1088" s="28" t="s">
        <v>11</v>
      </c>
      <c r="F1088" s="28">
        <v>0.54715689177923399</v>
      </c>
    </row>
    <row r="1089" spans="1:6">
      <c r="A1089" s="28" t="s">
        <v>43</v>
      </c>
      <c r="B1089" s="28" t="s">
        <v>33</v>
      </c>
      <c r="C1089" s="28">
        <v>2017</v>
      </c>
      <c r="D1089" s="28" t="s">
        <v>1</v>
      </c>
      <c r="E1089" s="28" t="s">
        <v>11</v>
      </c>
      <c r="F1089" s="28">
        <v>0.47805590698234801</v>
      </c>
    </row>
    <row r="1090" spans="1:6">
      <c r="A1090" s="28" t="s">
        <v>43</v>
      </c>
      <c r="B1090" s="28" t="s">
        <v>33</v>
      </c>
      <c r="C1090" s="28">
        <v>2010</v>
      </c>
      <c r="D1090" s="28" t="s">
        <v>4</v>
      </c>
      <c r="E1090" s="28" t="s">
        <v>12</v>
      </c>
      <c r="F1090" s="28">
        <v>355523</v>
      </c>
    </row>
    <row r="1091" spans="1:6">
      <c r="A1091" s="28" t="s">
        <v>43</v>
      </c>
      <c r="B1091" s="28" t="s">
        <v>33</v>
      </c>
      <c r="C1091" s="28">
        <v>2011</v>
      </c>
      <c r="D1091" s="28" t="s">
        <v>4</v>
      </c>
      <c r="E1091" s="28" t="s">
        <v>12</v>
      </c>
      <c r="F1091" s="28">
        <v>486328</v>
      </c>
    </row>
    <row r="1092" spans="1:6">
      <c r="A1092" s="28" t="s">
        <v>43</v>
      </c>
      <c r="B1092" s="28" t="s">
        <v>33</v>
      </c>
      <c r="C1092" s="28">
        <v>2012</v>
      </c>
      <c r="D1092" s="28" t="s">
        <v>4</v>
      </c>
      <c r="E1092" s="28" t="s">
        <v>12</v>
      </c>
      <c r="F1092" s="28">
        <v>532502</v>
      </c>
    </row>
    <row r="1093" spans="1:6">
      <c r="A1093" s="28" t="s">
        <v>43</v>
      </c>
      <c r="B1093" s="28" t="s">
        <v>33</v>
      </c>
      <c r="C1093" s="28">
        <v>2013</v>
      </c>
      <c r="D1093" s="28" t="s">
        <v>4</v>
      </c>
      <c r="E1093" s="28" t="s">
        <v>12</v>
      </c>
      <c r="F1093" s="28">
        <v>563296</v>
      </c>
    </row>
    <row r="1094" spans="1:6">
      <c r="A1094" s="28" t="s">
        <v>43</v>
      </c>
      <c r="B1094" s="28" t="s">
        <v>33</v>
      </c>
      <c r="C1094" s="28">
        <v>2014</v>
      </c>
      <c r="D1094" s="28" t="s">
        <v>4</v>
      </c>
      <c r="E1094" s="28" t="s">
        <v>12</v>
      </c>
      <c r="F1094" s="28">
        <v>637271</v>
      </c>
    </row>
    <row r="1095" spans="1:6">
      <c r="A1095" s="28" t="s">
        <v>43</v>
      </c>
      <c r="B1095" s="28" t="s">
        <v>33</v>
      </c>
      <c r="C1095" s="28">
        <v>2015</v>
      </c>
      <c r="D1095" s="28" t="s">
        <v>4</v>
      </c>
      <c r="E1095" s="28" t="s">
        <v>12</v>
      </c>
      <c r="F1095" s="28">
        <v>611274</v>
      </c>
    </row>
    <row r="1096" spans="1:6">
      <c r="A1096" s="28" t="s">
        <v>43</v>
      </c>
      <c r="B1096" s="28" t="s">
        <v>33</v>
      </c>
      <c r="C1096" s="28">
        <v>2016</v>
      </c>
      <c r="D1096" s="28" t="s">
        <v>4</v>
      </c>
      <c r="E1096" s="28" t="s">
        <v>12</v>
      </c>
      <c r="F1096" s="28">
        <v>593065</v>
      </c>
    </row>
    <row r="1097" spans="1:6">
      <c r="A1097" s="28" t="s">
        <v>43</v>
      </c>
      <c r="B1097" s="28" t="s">
        <v>33</v>
      </c>
      <c r="C1097" s="28">
        <v>2017</v>
      </c>
      <c r="D1097" s="28" t="s">
        <v>4</v>
      </c>
      <c r="E1097" s="28" t="s">
        <v>12</v>
      </c>
      <c r="F1097" s="28">
        <v>670964</v>
      </c>
    </row>
    <row r="1098" spans="1:6">
      <c r="A1098" s="28" t="s">
        <v>43</v>
      </c>
      <c r="B1098" s="28" t="s">
        <v>33</v>
      </c>
      <c r="C1098" s="28">
        <v>2010</v>
      </c>
      <c r="D1098" s="28" t="s">
        <v>4</v>
      </c>
      <c r="E1098" s="28" t="s">
        <v>13</v>
      </c>
      <c r="F1098" s="28">
        <v>42960</v>
      </c>
    </row>
    <row r="1099" spans="1:6">
      <c r="A1099" s="28" t="s">
        <v>43</v>
      </c>
      <c r="B1099" s="28" t="s">
        <v>33</v>
      </c>
      <c r="C1099" s="28">
        <v>2011</v>
      </c>
      <c r="D1099" s="28" t="s">
        <v>4</v>
      </c>
      <c r="E1099" s="28" t="s">
        <v>13</v>
      </c>
      <c r="F1099" s="28">
        <v>49889</v>
      </c>
    </row>
    <row r="1100" spans="1:6">
      <c r="A1100" s="28" t="s">
        <v>43</v>
      </c>
      <c r="B1100" s="28" t="s">
        <v>33</v>
      </c>
      <c r="C1100" s="28">
        <v>2012</v>
      </c>
      <c r="D1100" s="28" t="s">
        <v>4</v>
      </c>
      <c r="E1100" s="28" t="s">
        <v>13</v>
      </c>
      <c r="F1100" s="28">
        <v>52291</v>
      </c>
    </row>
    <row r="1101" spans="1:6">
      <c r="A1101" s="28" t="s">
        <v>43</v>
      </c>
      <c r="B1101" s="28" t="s">
        <v>33</v>
      </c>
      <c r="C1101" s="28">
        <v>2013</v>
      </c>
      <c r="D1101" s="28" t="s">
        <v>4</v>
      </c>
      <c r="E1101" s="28" t="s">
        <v>13</v>
      </c>
      <c r="F1101" s="28">
        <v>46628</v>
      </c>
    </row>
    <row r="1102" spans="1:6">
      <c r="A1102" s="28" t="s">
        <v>43</v>
      </c>
      <c r="B1102" s="28" t="s">
        <v>33</v>
      </c>
      <c r="C1102" s="28">
        <v>2014</v>
      </c>
      <c r="D1102" s="28" t="s">
        <v>4</v>
      </c>
      <c r="E1102" s="28" t="s">
        <v>13</v>
      </c>
      <c r="F1102" s="28">
        <v>42896</v>
      </c>
    </row>
    <row r="1103" spans="1:6">
      <c r="A1103" s="28" t="s">
        <v>43</v>
      </c>
      <c r="B1103" s="28" t="s">
        <v>33</v>
      </c>
      <c r="C1103" s="28">
        <v>2015</v>
      </c>
      <c r="D1103" s="28" t="s">
        <v>4</v>
      </c>
      <c r="E1103" s="28" t="s">
        <v>13</v>
      </c>
      <c r="F1103" s="28">
        <v>60953</v>
      </c>
    </row>
    <row r="1104" spans="1:6">
      <c r="A1104" s="28" t="s">
        <v>43</v>
      </c>
      <c r="B1104" s="28" t="s">
        <v>33</v>
      </c>
      <c r="C1104" s="28">
        <v>2016</v>
      </c>
      <c r="D1104" s="28" t="s">
        <v>4</v>
      </c>
      <c r="E1104" s="28" t="s">
        <v>13</v>
      </c>
      <c r="F1104" s="28">
        <v>52969</v>
      </c>
    </row>
    <row r="1105" spans="1:6">
      <c r="A1105" s="28" t="s">
        <v>43</v>
      </c>
      <c r="B1105" s="28" t="s">
        <v>33</v>
      </c>
      <c r="C1105" s="28">
        <v>2017</v>
      </c>
      <c r="D1105" s="28" t="s">
        <v>4</v>
      </c>
      <c r="E1105" s="28" t="s">
        <v>13</v>
      </c>
      <c r="F1105" s="28">
        <v>143047</v>
      </c>
    </row>
    <row r="1106" spans="1:6">
      <c r="A1106" s="28" t="s">
        <v>43</v>
      </c>
      <c r="B1106" s="28" t="s">
        <v>33</v>
      </c>
      <c r="C1106" s="28">
        <v>2010</v>
      </c>
      <c r="D1106" s="28" t="s">
        <v>4</v>
      </c>
      <c r="E1106" s="28" t="s">
        <v>14</v>
      </c>
      <c r="F1106" s="28">
        <v>11665.3268541092</v>
      </c>
    </row>
    <row r="1107" spans="1:6">
      <c r="A1107" s="28" t="s">
        <v>43</v>
      </c>
      <c r="B1107" s="28" t="s">
        <v>33</v>
      </c>
      <c r="C1107" s="28">
        <v>2011</v>
      </c>
      <c r="D1107" s="28" t="s">
        <v>4</v>
      </c>
      <c r="E1107" s="28" t="s">
        <v>14</v>
      </c>
      <c r="F1107" s="28">
        <v>15105.1835470756</v>
      </c>
    </row>
    <row r="1108" spans="1:6">
      <c r="A1108" s="28" t="s">
        <v>43</v>
      </c>
      <c r="B1108" s="28" t="s">
        <v>33</v>
      </c>
      <c r="C1108" s="28">
        <v>2012</v>
      </c>
      <c r="D1108" s="28" t="s">
        <v>4</v>
      </c>
      <c r="E1108" s="28" t="s">
        <v>14</v>
      </c>
      <c r="F1108" s="28">
        <v>17532.257586582698</v>
      </c>
    </row>
    <row r="1109" spans="1:6">
      <c r="A1109" s="28" t="s">
        <v>43</v>
      </c>
      <c r="B1109" s="28" t="s">
        <v>33</v>
      </c>
      <c r="C1109" s="28">
        <v>2013</v>
      </c>
      <c r="D1109" s="28" t="s">
        <v>4</v>
      </c>
      <c r="E1109" s="28" t="s">
        <v>14</v>
      </c>
      <c r="F1109" s="28">
        <v>17210.808696821201</v>
      </c>
    </row>
    <row r="1110" spans="1:6">
      <c r="A1110" s="28" t="s">
        <v>43</v>
      </c>
      <c r="B1110" s="28" t="s">
        <v>33</v>
      </c>
      <c r="C1110" s="28">
        <v>2014</v>
      </c>
      <c r="D1110" s="28" t="s">
        <v>4</v>
      </c>
      <c r="E1110" s="28" t="s">
        <v>14</v>
      </c>
      <c r="F1110" s="28">
        <v>11327.570638340199</v>
      </c>
    </row>
    <row r="1111" spans="1:6">
      <c r="A1111" s="28" t="s">
        <v>43</v>
      </c>
      <c r="B1111" s="28" t="s">
        <v>33</v>
      </c>
      <c r="C1111" s="28">
        <v>2015</v>
      </c>
      <c r="D1111" s="28" t="s">
        <v>4</v>
      </c>
      <c r="E1111" s="28" t="s">
        <v>14</v>
      </c>
      <c r="F1111" s="28">
        <v>8387.0932333736291</v>
      </c>
    </row>
    <row r="1112" spans="1:6">
      <c r="A1112" s="28" t="s">
        <v>43</v>
      </c>
      <c r="B1112" s="28" t="s">
        <v>33</v>
      </c>
      <c r="C1112" s="28">
        <v>2016</v>
      </c>
      <c r="D1112" s="28" t="s">
        <v>4</v>
      </c>
      <c r="E1112" s="28" t="s">
        <v>14</v>
      </c>
      <c r="F1112" s="28">
        <v>9777.3707525442296</v>
      </c>
    </row>
    <row r="1113" spans="1:6">
      <c r="A1113" s="28" t="s">
        <v>43</v>
      </c>
      <c r="B1113" s="28" t="s">
        <v>33</v>
      </c>
      <c r="C1113" s="28">
        <v>2017</v>
      </c>
      <c r="D1113" s="28" t="s">
        <v>4</v>
      </c>
      <c r="E1113" s="28" t="s">
        <v>14</v>
      </c>
      <c r="F1113" s="28">
        <v>11648.6401088885</v>
      </c>
    </row>
    <row r="1114" spans="1:6">
      <c r="A1114" s="28" t="s">
        <v>43</v>
      </c>
      <c r="B1114" s="28" t="s">
        <v>33</v>
      </c>
      <c r="C1114" s="28">
        <v>2010</v>
      </c>
      <c r="D1114" s="28" t="s">
        <v>4</v>
      </c>
      <c r="E1114" s="28" t="s">
        <v>15</v>
      </c>
      <c r="F1114" s="28">
        <v>1409.59218293199</v>
      </c>
    </row>
    <row r="1115" spans="1:6">
      <c r="A1115" s="28" t="s">
        <v>43</v>
      </c>
      <c r="B1115" s="28" t="s">
        <v>33</v>
      </c>
      <c r="C1115" s="28">
        <v>2011</v>
      </c>
      <c r="D1115" s="28" t="s">
        <v>4</v>
      </c>
      <c r="E1115" s="28" t="s">
        <v>15</v>
      </c>
      <c r="F1115" s="28">
        <v>1549.5355027472301</v>
      </c>
    </row>
    <row r="1116" spans="1:6">
      <c r="A1116" s="28" t="s">
        <v>43</v>
      </c>
      <c r="B1116" s="28" t="s">
        <v>33</v>
      </c>
      <c r="C1116" s="28">
        <v>2012</v>
      </c>
      <c r="D1116" s="28" t="s">
        <v>4</v>
      </c>
      <c r="E1116" s="28" t="s">
        <v>15</v>
      </c>
      <c r="F1116" s="28">
        <v>1721.6447665173</v>
      </c>
    </row>
    <row r="1117" spans="1:6">
      <c r="A1117" s="28" t="s">
        <v>43</v>
      </c>
      <c r="B1117" s="28" t="s">
        <v>33</v>
      </c>
      <c r="C1117" s="28">
        <v>2013</v>
      </c>
      <c r="D1117" s="28" t="s">
        <v>4</v>
      </c>
      <c r="E1117" s="28" t="s">
        <v>15</v>
      </c>
      <c r="F1117" s="28">
        <v>1424.6605477677399</v>
      </c>
    </row>
    <row r="1118" spans="1:6">
      <c r="A1118" s="28" t="s">
        <v>43</v>
      </c>
      <c r="B1118" s="28" t="s">
        <v>33</v>
      </c>
      <c r="C1118" s="28">
        <v>2014</v>
      </c>
      <c r="D1118" s="28" t="s">
        <v>4</v>
      </c>
      <c r="E1118" s="28" t="s">
        <v>15</v>
      </c>
      <c r="F1118" s="28">
        <v>762.48169162294005</v>
      </c>
    </row>
    <row r="1119" spans="1:6">
      <c r="A1119" s="28" t="s">
        <v>43</v>
      </c>
      <c r="B1119" s="28" t="s">
        <v>33</v>
      </c>
      <c r="C1119" s="28">
        <v>2015</v>
      </c>
      <c r="D1119" s="28" t="s">
        <v>4</v>
      </c>
      <c r="E1119" s="28" t="s">
        <v>15</v>
      </c>
      <c r="F1119" s="28">
        <v>836.31643723407603</v>
      </c>
    </row>
    <row r="1120" spans="1:6">
      <c r="A1120" s="28" t="s">
        <v>43</v>
      </c>
      <c r="B1120" s="28" t="s">
        <v>33</v>
      </c>
      <c r="C1120" s="28">
        <v>2016</v>
      </c>
      <c r="D1120" s="28" t="s">
        <v>4</v>
      </c>
      <c r="E1120" s="28" t="s">
        <v>15</v>
      </c>
      <c r="F1120" s="28">
        <v>873.25596923021101</v>
      </c>
    </row>
    <row r="1121" spans="1:6">
      <c r="A1121" s="28" t="s">
        <v>43</v>
      </c>
      <c r="B1121" s="28" t="s">
        <v>33</v>
      </c>
      <c r="C1121" s="28">
        <v>2017</v>
      </c>
      <c r="D1121" s="28" t="s">
        <v>4</v>
      </c>
      <c r="E1121" s="28" t="s">
        <v>15</v>
      </c>
      <c r="F1121" s="28">
        <v>2483.4462380339</v>
      </c>
    </row>
    <row r="1122" spans="1:6">
      <c r="A1122" s="28" t="s">
        <v>43</v>
      </c>
      <c r="B1122" s="28" t="s">
        <v>33</v>
      </c>
      <c r="C1122" s="28">
        <v>2010</v>
      </c>
      <c r="D1122" s="28" t="s">
        <v>7</v>
      </c>
      <c r="E1122" s="28" t="s">
        <v>16</v>
      </c>
      <c r="F1122" s="28">
        <v>60629</v>
      </c>
    </row>
    <row r="1123" spans="1:6">
      <c r="A1123" s="28" t="s">
        <v>43</v>
      </c>
      <c r="B1123" s="28" t="s">
        <v>33</v>
      </c>
      <c r="C1123" s="28">
        <v>2011</v>
      </c>
      <c r="D1123" s="28" t="s">
        <v>7</v>
      </c>
      <c r="E1123" s="28" t="s">
        <v>16</v>
      </c>
      <c r="F1123" s="28">
        <v>73891</v>
      </c>
    </row>
    <row r="1124" spans="1:6">
      <c r="A1124" s="28" t="s">
        <v>43</v>
      </c>
      <c r="B1124" s="28" t="s">
        <v>33</v>
      </c>
      <c r="C1124" s="28">
        <v>2012</v>
      </c>
      <c r="D1124" s="28" t="s">
        <v>7</v>
      </c>
      <c r="E1124" s="28" t="s">
        <v>16</v>
      </c>
      <c r="F1124" s="28">
        <v>77951</v>
      </c>
    </row>
    <row r="1125" spans="1:6">
      <c r="A1125" s="28" t="s">
        <v>43</v>
      </c>
      <c r="B1125" s="28" t="s">
        <v>33</v>
      </c>
      <c r="C1125" s="28">
        <v>2013</v>
      </c>
      <c r="D1125" s="28" t="s">
        <v>7</v>
      </c>
      <c r="E1125" s="28" t="s">
        <v>16</v>
      </c>
      <c r="F1125" s="28">
        <v>84947</v>
      </c>
    </row>
    <row r="1126" spans="1:6">
      <c r="A1126" s="28" t="s">
        <v>43</v>
      </c>
      <c r="B1126" s="28" t="s">
        <v>33</v>
      </c>
      <c r="C1126" s="28">
        <v>2014</v>
      </c>
      <c r="D1126" s="28" t="s">
        <v>7</v>
      </c>
      <c r="E1126" s="28" t="s">
        <v>16</v>
      </c>
      <c r="F1126" s="28">
        <v>80535</v>
      </c>
    </row>
    <row r="1127" spans="1:6">
      <c r="A1127" s="28" t="s">
        <v>43</v>
      </c>
      <c r="B1127" s="28" t="s">
        <v>33</v>
      </c>
      <c r="C1127" s="28">
        <v>2015</v>
      </c>
      <c r="D1127" s="28" t="s">
        <v>7</v>
      </c>
      <c r="E1127" s="28" t="s">
        <v>16</v>
      </c>
      <c r="F1127" s="28">
        <v>98890</v>
      </c>
    </row>
    <row r="1128" spans="1:6">
      <c r="A1128" s="28" t="s">
        <v>43</v>
      </c>
      <c r="B1128" s="28" t="s">
        <v>33</v>
      </c>
      <c r="C1128" s="28">
        <v>2016</v>
      </c>
      <c r="D1128" s="28" t="s">
        <v>7</v>
      </c>
      <c r="E1128" s="28" t="s">
        <v>16</v>
      </c>
      <c r="F1128" s="28">
        <v>77388</v>
      </c>
    </row>
    <row r="1129" spans="1:6">
      <c r="A1129" s="28" t="s">
        <v>43</v>
      </c>
      <c r="B1129" s="28" t="s">
        <v>33</v>
      </c>
      <c r="C1129" s="28">
        <v>2017</v>
      </c>
      <c r="D1129" s="28" t="s">
        <v>7</v>
      </c>
      <c r="E1129" s="28" t="s">
        <v>16</v>
      </c>
      <c r="F1129" s="28">
        <v>101834</v>
      </c>
    </row>
    <row r="1130" spans="1:6">
      <c r="A1130" s="28" t="s">
        <v>43</v>
      </c>
      <c r="B1130" s="28" t="s">
        <v>33</v>
      </c>
      <c r="C1130" s="28">
        <v>2010</v>
      </c>
      <c r="D1130" s="28" t="s">
        <v>7</v>
      </c>
      <c r="E1130" s="28" t="s">
        <v>17</v>
      </c>
      <c r="F1130" s="28">
        <v>1989.34274811415</v>
      </c>
    </row>
    <row r="1131" spans="1:6">
      <c r="A1131" s="28" t="s">
        <v>43</v>
      </c>
      <c r="B1131" s="28" t="s">
        <v>33</v>
      </c>
      <c r="C1131" s="28">
        <v>2011</v>
      </c>
      <c r="D1131" s="28" t="s">
        <v>7</v>
      </c>
      <c r="E1131" s="28" t="s">
        <v>17</v>
      </c>
      <c r="F1131" s="28">
        <v>2295.02952220921</v>
      </c>
    </row>
    <row r="1132" spans="1:6">
      <c r="A1132" s="28" t="s">
        <v>43</v>
      </c>
      <c r="B1132" s="28" t="s">
        <v>33</v>
      </c>
      <c r="C1132" s="28">
        <v>2012</v>
      </c>
      <c r="D1132" s="28" t="s">
        <v>7</v>
      </c>
      <c r="E1132" s="28" t="s">
        <v>17</v>
      </c>
      <c r="F1132" s="28">
        <v>2566.4824003134399</v>
      </c>
    </row>
    <row r="1133" spans="1:6">
      <c r="A1133" s="28" t="s">
        <v>43</v>
      </c>
      <c r="B1133" s="28" t="s">
        <v>33</v>
      </c>
      <c r="C1133" s="28">
        <v>2013</v>
      </c>
      <c r="D1133" s="28" t="s">
        <v>7</v>
      </c>
      <c r="E1133" s="28" t="s">
        <v>17</v>
      </c>
      <c r="F1133" s="28">
        <v>2595.4499346149601</v>
      </c>
    </row>
    <row r="1134" spans="1:6">
      <c r="A1134" s="28" t="s">
        <v>43</v>
      </c>
      <c r="B1134" s="28" t="s">
        <v>33</v>
      </c>
      <c r="C1134" s="28">
        <v>2014</v>
      </c>
      <c r="D1134" s="28" t="s">
        <v>7</v>
      </c>
      <c r="E1134" s="28" t="s">
        <v>17</v>
      </c>
      <c r="F1134" s="28">
        <v>1431.51955974574</v>
      </c>
    </row>
    <row r="1135" spans="1:6">
      <c r="A1135" s="28" t="s">
        <v>43</v>
      </c>
      <c r="B1135" s="28" t="s">
        <v>33</v>
      </c>
      <c r="C1135" s="28">
        <v>2015</v>
      </c>
      <c r="D1135" s="28" t="s">
        <v>7</v>
      </c>
      <c r="E1135" s="28" t="s">
        <v>17</v>
      </c>
      <c r="F1135" s="28">
        <v>1356.8377680848801</v>
      </c>
    </row>
    <row r="1136" spans="1:6">
      <c r="A1136" s="28" t="s">
        <v>43</v>
      </c>
      <c r="B1136" s="28" t="s">
        <v>33</v>
      </c>
      <c r="C1136" s="28">
        <v>2016</v>
      </c>
      <c r="D1136" s="28" t="s">
        <v>7</v>
      </c>
      <c r="E1136" s="28" t="s">
        <v>17</v>
      </c>
      <c r="F1136" s="28">
        <v>1275.8317685209799</v>
      </c>
    </row>
    <row r="1137" spans="1:6">
      <c r="A1137" s="28" t="s">
        <v>43</v>
      </c>
      <c r="B1137" s="28" t="s">
        <v>33</v>
      </c>
      <c r="C1137" s="28">
        <v>2017</v>
      </c>
      <c r="D1137" s="28" t="s">
        <v>7</v>
      </c>
      <c r="E1137" s="28" t="s">
        <v>17</v>
      </c>
      <c r="F1137" s="28">
        <v>1767.9452501901001</v>
      </c>
    </row>
    <row r="1138" spans="1:6">
      <c r="A1138" s="28" t="s">
        <v>43</v>
      </c>
      <c r="B1138" s="28" t="s">
        <v>33</v>
      </c>
      <c r="C1138" s="28">
        <v>2010</v>
      </c>
      <c r="D1138" s="28" t="s">
        <v>20</v>
      </c>
      <c r="E1138" s="28" t="s">
        <v>18</v>
      </c>
      <c r="F1138" s="28">
        <v>162.28958069999999</v>
      </c>
    </row>
    <row r="1139" spans="1:6">
      <c r="A1139" s="28" t="s">
        <v>43</v>
      </c>
      <c r="B1139" s="28" t="s">
        <v>33</v>
      </c>
      <c r="C1139" s="28">
        <v>2011</v>
      </c>
      <c r="D1139" s="28" t="s">
        <v>20</v>
      </c>
      <c r="E1139" s="28" t="s">
        <v>18</v>
      </c>
      <c r="F1139" s="28">
        <v>152.27552700000001</v>
      </c>
    </row>
    <row r="1140" spans="1:6">
      <c r="A1140" s="28" t="s">
        <v>43</v>
      </c>
      <c r="B1140" s="28" t="s">
        <v>33</v>
      </c>
      <c r="C1140" s="28">
        <v>2012</v>
      </c>
      <c r="D1140" s="28" t="s">
        <v>20</v>
      </c>
      <c r="E1140" s="28" t="s">
        <v>18</v>
      </c>
      <c r="F1140" s="28">
        <v>151.224401</v>
      </c>
    </row>
    <row r="1141" spans="1:6">
      <c r="A1141" s="28" t="s">
        <v>43</v>
      </c>
      <c r="B1141" s="28" t="s">
        <v>33</v>
      </c>
      <c r="C1141" s="28">
        <v>2013</v>
      </c>
      <c r="D1141" s="28" t="s">
        <v>20</v>
      </c>
      <c r="E1141" s="28" t="s">
        <v>18</v>
      </c>
      <c r="F1141" s="28">
        <v>157.07550499999999</v>
      </c>
    </row>
    <row r="1142" spans="1:6">
      <c r="A1142" s="28" t="s">
        <v>43</v>
      </c>
      <c r="B1142" s="28" t="s">
        <v>33</v>
      </c>
      <c r="C1142" s="28">
        <v>2014</v>
      </c>
      <c r="D1142" s="28" t="s">
        <v>20</v>
      </c>
      <c r="E1142" s="28" t="s">
        <v>18</v>
      </c>
      <c r="F1142" s="28">
        <v>148.58687599999999</v>
      </c>
    </row>
    <row r="1143" spans="1:6">
      <c r="A1143" s="28" t="s">
        <v>43</v>
      </c>
      <c r="B1143" s="28" t="s">
        <v>33</v>
      </c>
      <c r="C1143" s="28">
        <v>2015</v>
      </c>
      <c r="D1143" s="28" t="s">
        <v>20</v>
      </c>
      <c r="E1143" s="28" t="s">
        <v>18</v>
      </c>
      <c r="F1143" s="28">
        <v>144.41760199999999</v>
      </c>
    </row>
    <row r="1144" spans="1:6">
      <c r="A1144" s="28" t="s">
        <v>43</v>
      </c>
      <c r="B1144" s="28" t="s">
        <v>33</v>
      </c>
      <c r="C1144" s="28">
        <v>2016</v>
      </c>
      <c r="D1144" s="28" t="s">
        <v>20</v>
      </c>
      <c r="E1144" s="28" t="s">
        <v>18</v>
      </c>
      <c r="F1144" s="28">
        <v>169.99631600000001</v>
      </c>
    </row>
    <row r="1145" spans="1:6">
      <c r="A1145" s="28" t="s">
        <v>43</v>
      </c>
      <c r="B1145" s="28" t="s">
        <v>33</v>
      </c>
      <c r="C1145" s="28">
        <v>2017</v>
      </c>
      <c r="D1145" s="28" t="s">
        <v>20</v>
      </c>
      <c r="E1145" s="28" t="s">
        <v>18</v>
      </c>
      <c r="F1145" s="28">
        <v>169.79819800000001</v>
      </c>
    </row>
    <row r="1146" spans="1:6">
      <c r="A1146" s="28" t="s">
        <v>43</v>
      </c>
      <c r="B1146" s="28" t="s">
        <v>33</v>
      </c>
      <c r="C1146" s="28">
        <v>2010</v>
      </c>
      <c r="D1146" s="28" t="s">
        <v>20</v>
      </c>
      <c r="E1146" s="28" t="s">
        <v>19</v>
      </c>
      <c r="F1146" s="28">
        <v>1342</v>
      </c>
    </row>
    <row r="1147" spans="1:6">
      <c r="A1147" s="28" t="s">
        <v>43</v>
      </c>
      <c r="B1147" s="28" t="s">
        <v>33</v>
      </c>
      <c r="C1147" s="28">
        <v>2011</v>
      </c>
      <c r="D1147" s="28" t="s">
        <v>20</v>
      </c>
      <c r="E1147" s="28" t="s">
        <v>19</v>
      </c>
      <c r="F1147" s="28">
        <v>1342</v>
      </c>
    </row>
    <row r="1148" spans="1:6">
      <c r="A1148" s="28" t="s">
        <v>43</v>
      </c>
      <c r="B1148" s="28" t="s">
        <v>33</v>
      </c>
      <c r="C1148" s="28">
        <v>2012</v>
      </c>
      <c r="D1148" s="28" t="s">
        <v>20</v>
      </c>
      <c r="E1148" s="28" t="s">
        <v>19</v>
      </c>
      <c r="F1148" s="28">
        <v>1760</v>
      </c>
    </row>
    <row r="1149" spans="1:6">
      <c r="A1149" s="28" t="s">
        <v>43</v>
      </c>
      <c r="B1149" s="28" t="s">
        <v>33</v>
      </c>
      <c r="C1149" s="28">
        <v>2013</v>
      </c>
      <c r="D1149" s="28" t="s">
        <v>20</v>
      </c>
      <c r="E1149" s="28" t="s">
        <v>19</v>
      </c>
      <c r="F1149" s="28">
        <v>2000</v>
      </c>
    </row>
    <row r="1150" spans="1:6">
      <c r="A1150" s="28" t="s">
        <v>43</v>
      </c>
      <c r="B1150" s="28" t="s">
        <v>33</v>
      </c>
      <c r="C1150" s="28">
        <v>2014</v>
      </c>
      <c r="D1150" s="28" t="s">
        <v>20</v>
      </c>
      <c r="E1150" s="28" t="s">
        <v>19</v>
      </c>
      <c r="F1150" s="28">
        <v>1250</v>
      </c>
    </row>
    <row r="1151" spans="1:6">
      <c r="A1151" s="28" t="s">
        <v>43</v>
      </c>
      <c r="B1151" s="28" t="s">
        <v>33</v>
      </c>
      <c r="C1151" s="28">
        <v>2015</v>
      </c>
      <c r="D1151" s="28" t="s">
        <v>20</v>
      </c>
      <c r="E1151" s="28" t="s">
        <v>19</v>
      </c>
      <c r="F1151" s="28">
        <v>1988</v>
      </c>
    </row>
    <row r="1152" spans="1:6">
      <c r="A1152" s="28" t="s">
        <v>43</v>
      </c>
      <c r="B1152" s="28" t="s">
        <v>33</v>
      </c>
      <c r="C1152" s="28">
        <v>2016</v>
      </c>
      <c r="D1152" s="28" t="s">
        <v>20</v>
      </c>
      <c r="E1152" s="28" t="s">
        <v>19</v>
      </c>
      <c r="F1152" s="28">
        <v>3589</v>
      </c>
    </row>
    <row r="1153" spans="1:6">
      <c r="A1153" s="28" t="s">
        <v>43</v>
      </c>
      <c r="B1153" s="28" t="s">
        <v>33</v>
      </c>
      <c r="C1153" s="28">
        <v>2017</v>
      </c>
      <c r="D1153" s="28" t="s">
        <v>20</v>
      </c>
      <c r="E1153" s="28" t="s">
        <v>19</v>
      </c>
      <c r="F1153" s="28">
        <v>2274</v>
      </c>
    </row>
    <row r="1154" spans="1:6">
      <c r="A1154" s="28" t="s">
        <v>44</v>
      </c>
      <c r="B1154" s="28" t="s">
        <v>33</v>
      </c>
      <c r="C1154" s="28">
        <v>2010</v>
      </c>
      <c r="D1154" s="28" t="s">
        <v>1</v>
      </c>
      <c r="E1154" s="28" t="s">
        <v>2</v>
      </c>
      <c r="F1154" s="28">
        <v>7370098</v>
      </c>
    </row>
    <row r="1155" spans="1:6">
      <c r="A1155" s="28" t="s">
        <v>44</v>
      </c>
      <c r="B1155" s="28" t="s">
        <v>33</v>
      </c>
      <c r="C1155" s="28">
        <v>2011</v>
      </c>
      <c r="D1155" s="28" t="s">
        <v>1</v>
      </c>
      <c r="E1155" s="28" t="s">
        <v>2</v>
      </c>
      <c r="F1155" s="28">
        <v>8660403</v>
      </c>
    </row>
    <row r="1156" spans="1:6">
      <c r="A1156" s="28" t="s">
        <v>44</v>
      </c>
      <c r="B1156" s="28" t="s">
        <v>33</v>
      </c>
      <c r="C1156" s="28">
        <v>2012</v>
      </c>
      <c r="D1156" s="28" t="s">
        <v>1</v>
      </c>
      <c r="E1156" s="28" t="s">
        <v>2</v>
      </c>
      <c r="F1156" s="28">
        <v>9536033</v>
      </c>
    </row>
    <row r="1157" spans="1:6">
      <c r="A1157" s="28" t="s">
        <v>44</v>
      </c>
      <c r="B1157" s="28" t="s">
        <v>33</v>
      </c>
      <c r="C1157" s="28">
        <v>2013</v>
      </c>
      <c r="D1157" s="28" t="s">
        <v>1</v>
      </c>
      <c r="E1157" s="28" t="s">
        <v>2</v>
      </c>
      <c r="F1157" s="28">
        <v>10573566</v>
      </c>
    </row>
    <row r="1158" spans="1:6">
      <c r="A1158" s="28" t="s">
        <v>44</v>
      </c>
      <c r="B1158" s="28" t="s">
        <v>33</v>
      </c>
      <c r="C1158" s="28">
        <v>2014</v>
      </c>
      <c r="D1158" s="28" t="s">
        <v>1</v>
      </c>
      <c r="E1158" s="28" t="s">
        <v>2</v>
      </c>
      <c r="F1158" s="28">
        <v>11716315</v>
      </c>
    </row>
    <row r="1159" spans="1:6">
      <c r="A1159" s="28" t="s">
        <v>44</v>
      </c>
      <c r="B1159" s="28" t="s">
        <v>33</v>
      </c>
      <c r="C1159" s="28">
        <v>2015</v>
      </c>
      <c r="D1159" s="28" t="s">
        <v>1</v>
      </c>
      <c r="E1159" s="28" t="s">
        <v>2</v>
      </c>
      <c r="F1159" s="28">
        <v>13058318</v>
      </c>
    </row>
    <row r="1160" spans="1:6">
      <c r="A1160" s="28" t="s">
        <v>44</v>
      </c>
      <c r="B1160" s="28" t="s">
        <v>33</v>
      </c>
      <c r="C1160" s="28">
        <v>2016</v>
      </c>
      <c r="D1160" s="28" t="s">
        <v>1</v>
      </c>
      <c r="E1160" s="28" t="s">
        <v>2</v>
      </c>
      <c r="F1160" s="28">
        <v>13684592</v>
      </c>
    </row>
    <row r="1161" spans="1:6">
      <c r="A1161" s="28" t="s">
        <v>44</v>
      </c>
      <c r="B1161" s="28" t="s">
        <v>33</v>
      </c>
      <c r="C1161" s="28">
        <v>2017</v>
      </c>
      <c r="D1161" s="28" t="s">
        <v>1</v>
      </c>
      <c r="E1161" s="28" t="s">
        <v>2</v>
      </c>
      <c r="F1161" s="28">
        <v>14769504</v>
      </c>
    </row>
    <row r="1162" spans="1:6">
      <c r="A1162" s="28" t="s">
        <v>44</v>
      </c>
      <c r="B1162" s="28" t="s">
        <v>33</v>
      </c>
      <c r="C1162" s="28">
        <v>2010</v>
      </c>
      <c r="D1162" s="28" t="s">
        <v>1</v>
      </c>
      <c r="E1162" s="28" t="s">
        <v>3</v>
      </c>
      <c r="F1162" s="28">
        <v>1865895</v>
      </c>
    </row>
    <row r="1163" spans="1:6">
      <c r="A1163" s="28" t="s">
        <v>44</v>
      </c>
      <c r="B1163" s="28" t="s">
        <v>33</v>
      </c>
      <c r="C1163" s="28">
        <v>2011</v>
      </c>
      <c r="D1163" s="28" t="s">
        <v>1</v>
      </c>
      <c r="E1163" s="28" t="s">
        <v>3</v>
      </c>
      <c r="F1163" s="28">
        <v>2240293</v>
      </c>
    </row>
    <row r="1164" spans="1:6">
      <c r="A1164" s="28" t="s">
        <v>44</v>
      </c>
      <c r="B1164" s="28" t="s">
        <v>33</v>
      </c>
      <c r="C1164" s="28">
        <v>2012</v>
      </c>
      <c r="D1164" s="28" t="s">
        <v>1</v>
      </c>
      <c r="E1164" s="28" t="s">
        <v>3</v>
      </c>
      <c r="F1164" s="28">
        <v>2420803</v>
      </c>
    </row>
    <row r="1165" spans="1:6">
      <c r="A1165" s="28" t="s">
        <v>44</v>
      </c>
      <c r="B1165" s="28" t="s">
        <v>33</v>
      </c>
      <c r="C1165" s="28">
        <v>2013</v>
      </c>
      <c r="D1165" s="28" t="s">
        <v>1</v>
      </c>
      <c r="E1165" s="28" t="s">
        <v>3</v>
      </c>
      <c r="F1165" s="28">
        <v>2862670</v>
      </c>
    </row>
    <row r="1166" spans="1:6">
      <c r="A1166" s="28" t="s">
        <v>44</v>
      </c>
      <c r="B1166" s="28" t="s">
        <v>33</v>
      </c>
      <c r="C1166" s="28">
        <v>2014</v>
      </c>
      <c r="D1166" s="28" t="s">
        <v>1</v>
      </c>
      <c r="E1166" s="28" t="s">
        <v>3</v>
      </c>
      <c r="F1166" s="28">
        <v>3461155</v>
      </c>
    </row>
    <row r="1167" spans="1:6">
      <c r="A1167" s="28" t="s">
        <v>44</v>
      </c>
      <c r="B1167" s="28" t="s">
        <v>33</v>
      </c>
      <c r="C1167" s="28">
        <v>2015</v>
      </c>
      <c r="D1167" s="28" t="s">
        <v>1</v>
      </c>
      <c r="E1167" s="28" t="s">
        <v>3</v>
      </c>
      <c r="F1167" s="28">
        <v>3993722</v>
      </c>
    </row>
    <row r="1168" spans="1:6">
      <c r="A1168" s="28" t="s">
        <v>44</v>
      </c>
      <c r="B1168" s="28" t="s">
        <v>33</v>
      </c>
      <c r="C1168" s="28">
        <v>2016</v>
      </c>
      <c r="D1168" s="28" t="s">
        <v>1</v>
      </c>
      <c r="E1168" s="28" t="s">
        <v>3</v>
      </c>
      <c r="F1168" s="28">
        <v>3234346</v>
      </c>
    </row>
    <row r="1169" spans="1:6">
      <c r="A1169" s="28" t="s">
        <v>44</v>
      </c>
      <c r="B1169" s="28" t="s">
        <v>33</v>
      </c>
      <c r="C1169" s="28">
        <v>2017</v>
      </c>
      <c r="D1169" s="28" t="s">
        <v>1</v>
      </c>
      <c r="E1169" s="28" t="s">
        <v>3</v>
      </c>
      <c r="F1169" s="28">
        <v>3469266</v>
      </c>
    </row>
    <row r="1170" spans="1:6">
      <c r="A1170" s="28" t="s">
        <v>44</v>
      </c>
      <c r="B1170" s="28" t="s">
        <v>33</v>
      </c>
      <c r="C1170" s="28">
        <v>2010</v>
      </c>
      <c r="D1170" s="28" t="s">
        <v>1</v>
      </c>
      <c r="E1170" s="28" t="s">
        <v>5</v>
      </c>
      <c r="F1170" s="28">
        <v>9235993</v>
      </c>
    </row>
    <row r="1171" spans="1:6">
      <c r="A1171" s="28" t="s">
        <v>44</v>
      </c>
      <c r="B1171" s="28" t="s">
        <v>33</v>
      </c>
      <c r="C1171" s="28">
        <v>2011</v>
      </c>
      <c r="D1171" s="28" t="s">
        <v>1</v>
      </c>
      <c r="E1171" s="28" t="s">
        <v>5</v>
      </c>
      <c r="F1171" s="28">
        <v>10900696</v>
      </c>
    </row>
    <row r="1172" spans="1:6">
      <c r="A1172" s="28" t="s">
        <v>44</v>
      </c>
      <c r="B1172" s="28" t="s">
        <v>33</v>
      </c>
      <c r="C1172" s="28">
        <v>2012</v>
      </c>
      <c r="D1172" s="28" t="s">
        <v>1</v>
      </c>
      <c r="E1172" s="28" t="s">
        <v>5</v>
      </c>
      <c r="F1172" s="28">
        <v>11956836</v>
      </c>
    </row>
    <row r="1173" spans="1:6">
      <c r="A1173" s="28" t="s">
        <v>44</v>
      </c>
      <c r="B1173" s="28" t="s">
        <v>33</v>
      </c>
      <c r="C1173" s="28">
        <v>2013</v>
      </c>
      <c r="D1173" s="28" t="s">
        <v>1</v>
      </c>
      <c r="E1173" s="28" t="s">
        <v>5</v>
      </c>
      <c r="F1173" s="28">
        <v>13436236</v>
      </c>
    </row>
    <row r="1174" spans="1:6">
      <c r="A1174" s="28" t="s">
        <v>44</v>
      </c>
      <c r="B1174" s="28" t="s">
        <v>33</v>
      </c>
      <c r="C1174" s="28">
        <v>2014</v>
      </c>
      <c r="D1174" s="28" t="s">
        <v>1</v>
      </c>
      <c r="E1174" s="28" t="s">
        <v>5</v>
      </c>
      <c r="F1174" s="28">
        <v>15177470</v>
      </c>
    </row>
    <row r="1175" spans="1:6">
      <c r="A1175" s="28" t="s">
        <v>44</v>
      </c>
      <c r="B1175" s="28" t="s">
        <v>33</v>
      </c>
      <c r="C1175" s="28">
        <v>2015</v>
      </c>
      <c r="D1175" s="28" t="s">
        <v>1</v>
      </c>
      <c r="E1175" s="28" t="s">
        <v>5</v>
      </c>
      <c r="F1175" s="28">
        <v>17052040</v>
      </c>
    </row>
    <row r="1176" spans="1:6">
      <c r="A1176" s="28" t="s">
        <v>44</v>
      </c>
      <c r="B1176" s="28" t="s">
        <v>33</v>
      </c>
      <c r="C1176" s="28">
        <v>2016</v>
      </c>
      <c r="D1176" s="28" t="s">
        <v>1</v>
      </c>
      <c r="E1176" s="28" t="s">
        <v>5</v>
      </c>
      <c r="F1176" s="28">
        <v>16918938</v>
      </c>
    </row>
    <row r="1177" spans="1:6">
      <c r="A1177" s="28" t="s">
        <v>44</v>
      </c>
      <c r="B1177" s="28" t="s">
        <v>33</v>
      </c>
      <c r="C1177" s="28">
        <v>2017</v>
      </c>
      <c r="D1177" s="28" t="s">
        <v>1</v>
      </c>
      <c r="E1177" s="28" t="s">
        <v>5</v>
      </c>
      <c r="F1177" s="28">
        <v>18238770</v>
      </c>
    </row>
    <row r="1178" spans="1:6">
      <c r="A1178" s="28" t="s">
        <v>44</v>
      </c>
      <c r="B1178" s="28" t="s">
        <v>33</v>
      </c>
      <c r="C1178" s="28">
        <v>2010</v>
      </c>
      <c r="D1178" s="28" t="s">
        <v>1</v>
      </c>
      <c r="E1178" s="28" t="s">
        <v>6</v>
      </c>
      <c r="F1178" s="28">
        <v>6536361</v>
      </c>
    </row>
    <row r="1179" spans="1:6">
      <c r="A1179" s="28" t="s">
        <v>44</v>
      </c>
      <c r="B1179" s="28" t="s">
        <v>33</v>
      </c>
      <c r="C1179" s="28">
        <v>2011</v>
      </c>
      <c r="D1179" s="28" t="s">
        <v>1</v>
      </c>
      <c r="E1179" s="28" t="s">
        <v>6</v>
      </c>
      <c r="F1179" s="28">
        <v>7760991</v>
      </c>
    </row>
    <row r="1180" spans="1:6">
      <c r="A1180" s="28" t="s">
        <v>44</v>
      </c>
      <c r="B1180" s="28" t="s">
        <v>33</v>
      </c>
      <c r="C1180" s="28">
        <v>2012</v>
      </c>
      <c r="D1180" s="28" t="s">
        <v>1</v>
      </c>
      <c r="E1180" s="28" t="s">
        <v>6</v>
      </c>
      <c r="F1180" s="28">
        <v>8479945</v>
      </c>
    </row>
    <row r="1181" spans="1:6">
      <c r="A1181" s="28" t="s">
        <v>44</v>
      </c>
      <c r="B1181" s="28" t="s">
        <v>33</v>
      </c>
      <c r="C1181" s="28">
        <v>2013</v>
      </c>
      <c r="D1181" s="28" t="s">
        <v>1</v>
      </c>
      <c r="E1181" s="28" t="s">
        <v>6</v>
      </c>
      <c r="F1181" s="28">
        <v>9634354</v>
      </c>
    </row>
    <row r="1182" spans="1:6">
      <c r="A1182" s="28" t="s">
        <v>44</v>
      </c>
      <c r="B1182" s="28" t="s">
        <v>33</v>
      </c>
      <c r="C1182" s="28">
        <v>2014</v>
      </c>
      <c r="D1182" s="28" t="s">
        <v>1</v>
      </c>
      <c r="E1182" s="28" t="s">
        <v>6</v>
      </c>
      <c r="F1182" s="28">
        <v>10120021</v>
      </c>
    </row>
    <row r="1183" spans="1:6">
      <c r="A1183" s="28" t="s">
        <v>44</v>
      </c>
      <c r="B1183" s="28" t="s">
        <v>33</v>
      </c>
      <c r="C1183" s="28">
        <v>2015</v>
      </c>
      <c r="D1183" s="28" t="s">
        <v>1</v>
      </c>
      <c r="E1183" s="28" t="s">
        <v>6</v>
      </c>
      <c r="F1183" s="28">
        <v>10914622</v>
      </c>
    </row>
    <row r="1184" spans="1:6">
      <c r="A1184" s="28" t="s">
        <v>44</v>
      </c>
      <c r="B1184" s="28" t="s">
        <v>33</v>
      </c>
      <c r="C1184" s="28">
        <v>2016</v>
      </c>
      <c r="D1184" s="28" t="s">
        <v>1</v>
      </c>
      <c r="E1184" s="28" t="s">
        <v>6</v>
      </c>
      <c r="F1184" s="28">
        <v>11441839</v>
      </c>
    </row>
    <row r="1185" spans="1:6">
      <c r="A1185" s="28" t="s">
        <v>44</v>
      </c>
      <c r="B1185" s="28" t="s">
        <v>33</v>
      </c>
      <c r="C1185" s="28">
        <v>2017</v>
      </c>
      <c r="D1185" s="28" t="s">
        <v>1</v>
      </c>
      <c r="E1185" s="28" t="s">
        <v>6</v>
      </c>
      <c r="F1185" s="28">
        <v>12015481</v>
      </c>
    </row>
    <row r="1186" spans="1:6">
      <c r="A1186" s="28" t="s">
        <v>44</v>
      </c>
      <c r="B1186" s="28" t="s">
        <v>33</v>
      </c>
      <c r="C1186" s="28">
        <v>2010</v>
      </c>
      <c r="D1186" s="28" t="s">
        <v>1</v>
      </c>
      <c r="E1186" s="28" t="s">
        <v>8</v>
      </c>
      <c r="F1186" s="28">
        <v>1688371</v>
      </c>
    </row>
    <row r="1187" spans="1:6">
      <c r="A1187" s="28" t="s">
        <v>44</v>
      </c>
      <c r="B1187" s="28" t="s">
        <v>33</v>
      </c>
      <c r="C1187" s="28">
        <v>2011</v>
      </c>
      <c r="D1187" s="28" t="s">
        <v>1</v>
      </c>
      <c r="E1187" s="28" t="s">
        <v>8</v>
      </c>
      <c r="F1187" s="28">
        <v>1830450</v>
      </c>
    </row>
    <row r="1188" spans="1:6">
      <c r="A1188" s="28" t="s">
        <v>44</v>
      </c>
      <c r="B1188" s="28" t="s">
        <v>33</v>
      </c>
      <c r="C1188" s="28">
        <v>2012</v>
      </c>
      <c r="D1188" s="28" t="s">
        <v>1</v>
      </c>
      <c r="E1188" s="28" t="s">
        <v>8</v>
      </c>
      <c r="F1188" s="28">
        <v>1984825</v>
      </c>
    </row>
    <row r="1189" spans="1:6">
      <c r="A1189" s="28" t="s">
        <v>44</v>
      </c>
      <c r="B1189" s="28" t="s">
        <v>33</v>
      </c>
      <c r="C1189" s="28">
        <v>2013</v>
      </c>
      <c r="D1189" s="28" t="s">
        <v>1</v>
      </c>
      <c r="E1189" s="28" t="s">
        <v>8</v>
      </c>
      <c r="F1189" s="28">
        <v>2410417</v>
      </c>
    </row>
    <row r="1190" spans="1:6">
      <c r="A1190" s="28" t="s">
        <v>44</v>
      </c>
      <c r="B1190" s="28" t="s">
        <v>33</v>
      </c>
      <c r="C1190" s="28">
        <v>2014</v>
      </c>
      <c r="D1190" s="28" t="s">
        <v>1</v>
      </c>
      <c r="E1190" s="28" t="s">
        <v>8</v>
      </c>
      <c r="F1190" s="28">
        <v>3201502</v>
      </c>
    </row>
    <row r="1191" spans="1:6">
      <c r="A1191" s="28" t="s">
        <v>44</v>
      </c>
      <c r="B1191" s="28" t="s">
        <v>33</v>
      </c>
      <c r="C1191" s="28">
        <v>2015</v>
      </c>
      <c r="D1191" s="28" t="s">
        <v>1</v>
      </c>
      <c r="E1191" s="28" t="s">
        <v>8</v>
      </c>
      <c r="F1191" s="28">
        <v>4012717</v>
      </c>
    </row>
    <row r="1192" spans="1:6">
      <c r="A1192" s="28" t="s">
        <v>44</v>
      </c>
      <c r="B1192" s="28" t="s">
        <v>33</v>
      </c>
      <c r="C1192" s="28">
        <v>2016</v>
      </c>
      <c r="D1192" s="28" t="s">
        <v>1</v>
      </c>
      <c r="E1192" s="28" t="s">
        <v>8</v>
      </c>
      <c r="F1192" s="28">
        <v>3555291</v>
      </c>
    </row>
    <row r="1193" spans="1:6">
      <c r="A1193" s="28" t="s">
        <v>44</v>
      </c>
      <c r="B1193" s="28" t="s">
        <v>33</v>
      </c>
      <c r="C1193" s="28">
        <v>2017</v>
      </c>
      <c r="D1193" s="28" t="s">
        <v>1</v>
      </c>
      <c r="E1193" s="28" t="s">
        <v>8</v>
      </c>
      <c r="F1193" s="28">
        <v>3633773</v>
      </c>
    </row>
    <row r="1194" spans="1:6">
      <c r="A1194" s="28" t="s">
        <v>44</v>
      </c>
      <c r="B1194" s="28" t="s">
        <v>33</v>
      </c>
      <c r="C1194" s="28">
        <v>2010</v>
      </c>
      <c r="D1194" s="28" t="s">
        <v>1</v>
      </c>
      <c r="E1194" s="28" t="s">
        <v>9</v>
      </c>
      <c r="F1194" s="28">
        <v>1011261</v>
      </c>
    </row>
    <row r="1195" spans="1:6">
      <c r="A1195" s="28" t="s">
        <v>44</v>
      </c>
      <c r="B1195" s="28" t="s">
        <v>33</v>
      </c>
      <c r="C1195" s="28">
        <v>2011</v>
      </c>
      <c r="D1195" s="28" t="s">
        <v>1</v>
      </c>
      <c r="E1195" s="28" t="s">
        <v>9</v>
      </c>
      <c r="F1195" s="28">
        <v>1309255</v>
      </c>
    </row>
    <row r="1196" spans="1:6">
      <c r="A1196" s="28" t="s">
        <v>44</v>
      </c>
      <c r="B1196" s="28" t="s">
        <v>33</v>
      </c>
      <c r="C1196" s="28">
        <v>2012</v>
      </c>
      <c r="D1196" s="28" t="s">
        <v>1</v>
      </c>
      <c r="E1196" s="28" t="s">
        <v>9</v>
      </c>
      <c r="F1196" s="28">
        <v>1492066</v>
      </c>
    </row>
    <row r="1197" spans="1:6">
      <c r="A1197" s="28" t="s">
        <v>44</v>
      </c>
      <c r="B1197" s="28" t="s">
        <v>33</v>
      </c>
      <c r="C1197" s="28">
        <v>2013</v>
      </c>
      <c r="D1197" s="28" t="s">
        <v>1</v>
      </c>
      <c r="E1197" s="28" t="s">
        <v>9</v>
      </c>
      <c r="F1197" s="28">
        <v>1391465</v>
      </c>
    </row>
    <row r="1198" spans="1:6">
      <c r="A1198" s="28" t="s">
        <v>44</v>
      </c>
      <c r="B1198" s="28" t="s">
        <v>33</v>
      </c>
      <c r="C1198" s="28">
        <v>2014</v>
      </c>
      <c r="D1198" s="28" t="s">
        <v>1</v>
      </c>
      <c r="E1198" s="28" t="s">
        <v>9</v>
      </c>
      <c r="F1198" s="28">
        <v>1855947</v>
      </c>
    </row>
    <row r="1199" spans="1:6">
      <c r="A1199" s="28" t="s">
        <v>44</v>
      </c>
      <c r="B1199" s="28" t="s">
        <v>33</v>
      </c>
      <c r="C1199" s="28">
        <v>2015</v>
      </c>
      <c r="D1199" s="28" t="s">
        <v>1</v>
      </c>
      <c r="E1199" s="28" t="s">
        <v>9</v>
      </c>
      <c r="F1199" s="28">
        <v>2124701</v>
      </c>
    </row>
    <row r="1200" spans="1:6">
      <c r="A1200" s="28" t="s">
        <v>44</v>
      </c>
      <c r="B1200" s="28" t="s">
        <v>33</v>
      </c>
      <c r="C1200" s="28">
        <v>2016</v>
      </c>
      <c r="D1200" s="28" t="s">
        <v>1</v>
      </c>
      <c r="E1200" s="28" t="s">
        <v>9</v>
      </c>
      <c r="F1200" s="28">
        <v>1921808</v>
      </c>
    </row>
    <row r="1201" spans="1:6">
      <c r="A1201" s="28" t="s">
        <v>44</v>
      </c>
      <c r="B1201" s="28" t="s">
        <v>33</v>
      </c>
      <c r="C1201" s="28">
        <v>2017</v>
      </c>
      <c r="D1201" s="28" t="s">
        <v>1</v>
      </c>
      <c r="E1201" s="28" t="s">
        <v>9</v>
      </c>
      <c r="F1201" s="28">
        <v>2589516</v>
      </c>
    </row>
    <row r="1202" spans="1:6">
      <c r="A1202" s="28" t="s">
        <v>44</v>
      </c>
      <c r="B1202" s="28" t="s">
        <v>33</v>
      </c>
      <c r="C1202" s="28">
        <v>2010</v>
      </c>
      <c r="D1202" s="28" t="s">
        <v>1</v>
      </c>
      <c r="E1202" s="28" t="s">
        <v>10</v>
      </c>
      <c r="F1202" s="28">
        <v>9235993</v>
      </c>
    </row>
    <row r="1203" spans="1:6">
      <c r="A1203" s="28" t="s">
        <v>44</v>
      </c>
      <c r="B1203" s="28" t="s">
        <v>33</v>
      </c>
      <c r="C1203" s="28">
        <v>2011</v>
      </c>
      <c r="D1203" s="28" t="s">
        <v>1</v>
      </c>
      <c r="E1203" s="28" t="s">
        <v>10</v>
      </c>
      <c r="F1203" s="28">
        <v>10900696</v>
      </c>
    </row>
    <row r="1204" spans="1:6">
      <c r="A1204" s="28" t="s">
        <v>44</v>
      </c>
      <c r="B1204" s="28" t="s">
        <v>33</v>
      </c>
      <c r="C1204" s="28">
        <v>2012</v>
      </c>
      <c r="D1204" s="28" t="s">
        <v>1</v>
      </c>
      <c r="E1204" s="28" t="s">
        <v>10</v>
      </c>
      <c r="F1204" s="28">
        <v>11956836</v>
      </c>
    </row>
    <row r="1205" spans="1:6">
      <c r="A1205" s="28" t="s">
        <v>44</v>
      </c>
      <c r="B1205" s="28" t="s">
        <v>33</v>
      </c>
      <c r="C1205" s="28">
        <v>2013</v>
      </c>
      <c r="D1205" s="28" t="s">
        <v>1</v>
      </c>
      <c r="E1205" s="28" t="s">
        <v>10</v>
      </c>
      <c r="F1205" s="28">
        <v>13436236</v>
      </c>
    </row>
    <row r="1206" spans="1:6">
      <c r="A1206" s="28" t="s">
        <v>44</v>
      </c>
      <c r="B1206" s="28" t="s">
        <v>33</v>
      </c>
      <c r="C1206" s="28">
        <v>2014</v>
      </c>
      <c r="D1206" s="28" t="s">
        <v>1</v>
      </c>
      <c r="E1206" s="28" t="s">
        <v>10</v>
      </c>
      <c r="F1206" s="28">
        <v>15177470</v>
      </c>
    </row>
    <row r="1207" spans="1:6">
      <c r="A1207" s="28" t="s">
        <v>44</v>
      </c>
      <c r="B1207" s="28" t="s">
        <v>33</v>
      </c>
      <c r="C1207" s="28">
        <v>2015</v>
      </c>
      <c r="D1207" s="28" t="s">
        <v>1</v>
      </c>
      <c r="E1207" s="28" t="s">
        <v>10</v>
      </c>
      <c r="F1207" s="28">
        <v>17052040</v>
      </c>
    </row>
    <row r="1208" spans="1:6">
      <c r="A1208" s="28" t="s">
        <v>44</v>
      </c>
      <c r="B1208" s="28" t="s">
        <v>33</v>
      </c>
      <c r="C1208" s="28">
        <v>2016</v>
      </c>
      <c r="D1208" s="28" t="s">
        <v>1</v>
      </c>
      <c r="E1208" s="28" t="s">
        <v>10</v>
      </c>
      <c r="F1208" s="28">
        <v>16918938</v>
      </c>
    </row>
    <row r="1209" spans="1:6">
      <c r="A1209" s="28" t="s">
        <v>44</v>
      </c>
      <c r="B1209" s="28" t="s">
        <v>33</v>
      </c>
      <c r="C1209" s="28">
        <v>2017</v>
      </c>
      <c r="D1209" s="28" t="s">
        <v>1</v>
      </c>
      <c r="E1209" s="28" t="s">
        <v>10</v>
      </c>
      <c r="F1209" s="28">
        <v>18238770</v>
      </c>
    </row>
    <row r="1210" spans="1:6">
      <c r="A1210" s="28" t="s">
        <v>44</v>
      </c>
      <c r="B1210" s="28" t="s">
        <v>33</v>
      </c>
      <c r="C1210" s="28">
        <v>2010</v>
      </c>
      <c r="D1210" s="28" t="s">
        <v>1</v>
      </c>
      <c r="E1210" s="28" t="s">
        <v>11</v>
      </c>
      <c r="F1210" s="28">
        <v>0.29229472131475198</v>
      </c>
    </row>
    <row r="1211" spans="1:6">
      <c r="A1211" s="28" t="s">
        <v>44</v>
      </c>
      <c r="B1211" s="28" t="s">
        <v>33</v>
      </c>
      <c r="C1211" s="28">
        <v>2011</v>
      </c>
      <c r="D1211" s="28" t="s">
        <v>1</v>
      </c>
      <c r="E1211" s="28" t="s">
        <v>11</v>
      </c>
      <c r="F1211" s="28">
        <v>0.28802793876647897</v>
      </c>
    </row>
    <row r="1212" spans="1:6">
      <c r="A1212" s="28" t="s">
        <v>44</v>
      </c>
      <c r="B1212" s="28" t="s">
        <v>33</v>
      </c>
      <c r="C1212" s="28">
        <v>2012</v>
      </c>
      <c r="D1212" s="28" t="s">
        <v>1</v>
      </c>
      <c r="E1212" s="28" t="s">
        <v>11</v>
      </c>
      <c r="F1212" s="28">
        <v>0.29078687706346401</v>
      </c>
    </row>
    <row r="1213" spans="1:6">
      <c r="A1213" s="28" t="s">
        <v>44</v>
      </c>
      <c r="B1213" s="28" t="s">
        <v>33</v>
      </c>
      <c r="C1213" s="28">
        <v>2013</v>
      </c>
      <c r="D1213" s="28" t="s">
        <v>1</v>
      </c>
      <c r="E1213" s="28" t="s">
        <v>11</v>
      </c>
      <c r="F1213" s="28">
        <v>0.28295736990627401</v>
      </c>
    </row>
    <row r="1214" spans="1:6">
      <c r="A1214" s="28" t="s">
        <v>44</v>
      </c>
      <c r="B1214" s="28" t="s">
        <v>33</v>
      </c>
      <c r="C1214" s="28">
        <v>2014</v>
      </c>
      <c r="D1214" s="28" t="s">
        <v>1</v>
      </c>
      <c r="E1214" s="28" t="s">
        <v>11</v>
      </c>
      <c r="F1214" s="28">
        <v>0.333220820070802</v>
      </c>
    </row>
    <row r="1215" spans="1:6">
      <c r="A1215" s="28" t="s">
        <v>44</v>
      </c>
      <c r="B1215" s="28" t="s">
        <v>33</v>
      </c>
      <c r="C1215" s="28">
        <v>2015</v>
      </c>
      <c r="D1215" s="28" t="s">
        <v>1</v>
      </c>
      <c r="E1215" s="28" t="s">
        <v>11</v>
      </c>
      <c r="F1215" s="28">
        <v>0.35992280102556601</v>
      </c>
    </row>
    <row r="1216" spans="1:6">
      <c r="A1216" s="28" t="s">
        <v>44</v>
      </c>
      <c r="B1216" s="28" t="s">
        <v>33</v>
      </c>
      <c r="C1216" s="28">
        <v>2016</v>
      </c>
      <c r="D1216" s="28" t="s">
        <v>1</v>
      </c>
      <c r="E1216" s="28" t="s">
        <v>11</v>
      </c>
      <c r="F1216" s="28">
        <v>0.32372593362538499</v>
      </c>
    </row>
    <row r="1217" spans="1:6">
      <c r="A1217" s="28" t="s">
        <v>44</v>
      </c>
      <c r="B1217" s="28" t="s">
        <v>33</v>
      </c>
      <c r="C1217" s="28">
        <v>2017</v>
      </c>
      <c r="D1217" s="28" t="s">
        <v>1</v>
      </c>
      <c r="E1217" s="28" t="s">
        <v>11</v>
      </c>
      <c r="F1217" s="28">
        <v>0.34121209928081803</v>
      </c>
    </row>
    <row r="1218" spans="1:6">
      <c r="A1218" s="28" t="s">
        <v>44</v>
      </c>
      <c r="B1218" s="28" t="s">
        <v>33</v>
      </c>
      <c r="C1218" s="28">
        <v>2010</v>
      </c>
      <c r="D1218" s="28" t="s">
        <v>4</v>
      </c>
      <c r="E1218" s="28" t="s">
        <v>12</v>
      </c>
      <c r="F1218" s="28">
        <v>3597054</v>
      </c>
    </row>
    <row r="1219" spans="1:6">
      <c r="A1219" s="28" t="s">
        <v>44</v>
      </c>
      <c r="B1219" s="28" t="s">
        <v>33</v>
      </c>
      <c r="C1219" s="28">
        <v>2011</v>
      </c>
      <c r="D1219" s="28" t="s">
        <v>4</v>
      </c>
      <c r="E1219" s="28" t="s">
        <v>12</v>
      </c>
      <c r="F1219" s="28">
        <v>4637090</v>
      </c>
    </row>
    <row r="1220" spans="1:6">
      <c r="A1220" s="28" t="s">
        <v>44</v>
      </c>
      <c r="B1220" s="28" t="s">
        <v>33</v>
      </c>
      <c r="C1220" s="28">
        <v>2012</v>
      </c>
      <c r="D1220" s="28" t="s">
        <v>4</v>
      </c>
      <c r="E1220" s="28" t="s">
        <v>12</v>
      </c>
      <c r="F1220" s="28">
        <v>4764411</v>
      </c>
    </row>
    <row r="1221" spans="1:6">
      <c r="A1221" s="28" t="s">
        <v>44</v>
      </c>
      <c r="B1221" s="28" t="s">
        <v>33</v>
      </c>
      <c r="C1221" s="28">
        <v>2013</v>
      </c>
      <c r="D1221" s="28" t="s">
        <v>4</v>
      </c>
      <c r="E1221" s="28" t="s">
        <v>12</v>
      </c>
      <c r="F1221" s="28">
        <v>5249965</v>
      </c>
    </row>
    <row r="1222" spans="1:6">
      <c r="A1222" s="28" t="s">
        <v>44</v>
      </c>
      <c r="B1222" s="28" t="s">
        <v>33</v>
      </c>
      <c r="C1222" s="28">
        <v>2014</v>
      </c>
      <c r="D1222" s="28" t="s">
        <v>4</v>
      </c>
      <c r="E1222" s="28" t="s">
        <v>12</v>
      </c>
      <c r="F1222" s="28">
        <v>5589811</v>
      </c>
    </row>
    <row r="1223" spans="1:6">
      <c r="A1223" s="28" t="s">
        <v>44</v>
      </c>
      <c r="B1223" s="28" t="s">
        <v>33</v>
      </c>
      <c r="C1223" s="28">
        <v>2015</v>
      </c>
      <c r="D1223" s="28" t="s">
        <v>4</v>
      </c>
      <c r="E1223" s="28" t="s">
        <v>12</v>
      </c>
      <c r="F1223" s="28">
        <v>6073318</v>
      </c>
    </row>
    <row r="1224" spans="1:6">
      <c r="A1224" s="28" t="s">
        <v>44</v>
      </c>
      <c r="B1224" s="28" t="s">
        <v>33</v>
      </c>
      <c r="C1224" s="28">
        <v>2016</v>
      </c>
      <c r="D1224" s="28" t="s">
        <v>4</v>
      </c>
      <c r="E1224" s="28" t="s">
        <v>12</v>
      </c>
      <c r="F1224" s="28">
        <v>6111051</v>
      </c>
    </row>
    <row r="1225" spans="1:6">
      <c r="A1225" s="28" t="s">
        <v>44</v>
      </c>
      <c r="B1225" s="28" t="s">
        <v>33</v>
      </c>
      <c r="C1225" s="28">
        <v>2017</v>
      </c>
      <c r="D1225" s="28" t="s">
        <v>4</v>
      </c>
      <c r="E1225" s="28" t="s">
        <v>12</v>
      </c>
      <c r="F1225" s="28">
        <v>6546143</v>
      </c>
    </row>
    <row r="1226" spans="1:6">
      <c r="A1226" s="28" t="s">
        <v>44</v>
      </c>
      <c r="B1226" s="28" t="s">
        <v>33</v>
      </c>
      <c r="C1226" s="28">
        <v>2010</v>
      </c>
      <c r="D1226" s="28" t="s">
        <v>4</v>
      </c>
      <c r="E1226" s="28" t="s">
        <v>13</v>
      </c>
      <c r="F1226" s="28">
        <v>997993</v>
      </c>
    </row>
    <row r="1227" spans="1:6">
      <c r="A1227" s="28" t="s">
        <v>44</v>
      </c>
      <c r="B1227" s="28" t="s">
        <v>33</v>
      </c>
      <c r="C1227" s="28">
        <v>2011</v>
      </c>
      <c r="D1227" s="28" t="s">
        <v>4</v>
      </c>
      <c r="E1227" s="28" t="s">
        <v>13</v>
      </c>
      <c r="F1227" s="28">
        <v>1342442</v>
      </c>
    </row>
    <row r="1228" spans="1:6">
      <c r="A1228" s="28" t="s">
        <v>44</v>
      </c>
      <c r="B1228" s="28" t="s">
        <v>33</v>
      </c>
      <c r="C1228" s="28">
        <v>2012</v>
      </c>
      <c r="D1228" s="28" t="s">
        <v>4</v>
      </c>
      <c r="E1228" s="28" t="s">
        <v>13</v>
      </c>
      <c r="F1228" s="28">
        <v>1210566</v>
      </c>
    </row>
    <row r="1229" spans="1:6">
      <c r="A1229" s="28" t="s">
        <v>44</v>
      </c>
      <c r="B1229" s="28" t="s">
        <v>33</v>
      </c>
      <c r="C1229" s="28">
        <v>2013</v>
      </c>
      <c r="D1229" s="28" t="s">
        <v>4</v>
      </c>
      <c r="E1229" s="28" t="s">
        <v>13</v>
      </c>
      <c r="F1229" s="28">
        <v>1165705</v>
      </c>
    </row>
    <row r="1230" spans="1:6">
      <c r="A1230" s="28" t="s">
        <v>44</v>
      </c>
      <c r="B1230" s="28" t="s">
        <v>33</v>
      </c>
      <c r="C1230" s="28">
        <v>2014</v>
      </c>
      <c r="D1230" s="28" t="s">
        <v>4</v>
      </c>
      <c r="E1230" s="28" t="s">
        <v>13</v>
      </c>
      <c r="F1230" s="28">
        <v>157192</v>
      </c>
    </row>
    <row r="1231" spans="1:6">
      <c r="A1231" s="28" t="s">
        <v>44</v>
      </c>
      <c r="B1231" s="28" t="s">
        <v>33</v>
      </c>
      <c r="C1231" s="28">
        <v>2015</v>
      </c>
      <c r="D1231" s="28" t="s">
        <v>4</v>
      </c>
      <c r="E1231" s="28" t="s">
        <v>13</v>
      </c>
      <c r="F1231" s="28">
        <v>805199</v>
      </c>
    </row>
    <row r="1232" spans="1:6">
      <c r="A1232" s="28" t="s">
        <v>44</v>
      </c>
      <c r="B1232" s="28" t="s">
        <v>33</v>
      </c>
      <c r="C1232" s="28">
        <v>2016</v>
      </c>
      <c r="D1232" s="28" t="s">
        <v>4</v>
      </c>
      <c r="E1232" s="28" t="s">
        <v>13</v>
      </c>
      <c r="F1232" s="28">
        <v>997104</v>
      </c>
    </row>
    <row r="1233" spans="1:6">
      <c r="A1233" s="28" t="s">
        <v>44</v>
      </c>
      <c r="B1233" s="28" t="s">
        <v>33</v>
      </c>
      <c r="C1233" s="28">
        <v>2017</v>
      </c>
      <c r="D1233" s="28" t="s">
        <v>4</v>
      </c>
      <c r="E1233" s="28" t="s">
        <v>13</v>
      </c>
      <c r="F1233" s="28">
        <v>766879</v>
      </c>
    </row>
    <row r="1234" spans="1:6">
      <c r="A1234" s="28" t="s">
        <v>44</v>
      </c>
      <c r="B1234" s="28" t="s">
        <v>33</v>
      </c>
      <c r="C1234" s="28">
        <v>2010</v>
      </c>
      <c r="D1234" s="28" t="s">
        <v>4</v>
      </c>
      <c r="E1234" s="28" t="s">
        <v>14</v>
      </c>
      <c r="F1234" s="28">
        <v>118025.586591812</v>
      </c>
    </row>
    <row r="1235" spans="1:6">
      <c r="A1235" s="28" t="s">
        <v>44</v>
      </c>
      <c r="B1235" s="28" t="s">
        <v>33</v>
      </c>
      <c r="C1235" s="28">
        <v>2011</v>
      </c>
      <c r="D1235" s="28" t="s">
        <v>4</v>
      </c>
      <c r="E1235" s="28" t="s">
        <v>14</v>
      </c>
      <c r="F1235" s="28">
        <v>144026.45040859</v>
      </c>
    </row>
    <row r="1236" spans="1:6">
      <c r="A1236" s="28" t="s">
        <v>44</v>
      </c>
      <c r="B1236" s="28" t="s">
        <v>33</v>
      </c>
      <c r="C1236" s="28">
        <v>2012</v>
      </c>
      <c r="D1236" s="28" t="s">
        <v>4</v>
      </c>
      <c r="E1236" s="28" t="s">
        <v>14</v>
      </c>
      <c r="F1236" s="28">
        <v>156864.91487421299</v>
      </c>
    </row>
    <row r="1237" spans="1:6">
      <c r="A1237" s="28" t="s">
        <v>44</v>
      </c>
      <c r="B1237" s="28" t="s">
        <v>33</v>
      </c>
      <c r="C1237" s="28">
        <v>2013</v>
      </c>
      <c r="D1237" s="28" t="s">
        <v>4</v>
      </c>
      <c r="E1237" s="28" t="s">
        <v>14</v>
      </c>
      <c r="F1237" s="28">
        <v>160406.151082214</v>
      </c>
    </row>
    <row r="1238" spans="1:6">
      <c r="A1238" s="28" t="s">
        <v>44</v>
      </c>
      <c r="B1238" s="28" t="s">
        <v>33</v>
      </c>
      <c r="C1238" s="28">
        <v>2014</v>
      </c>
      <c r="D1238" s="28" t="s">
        <v>4</v>
      </c>
      <c r="E1238" s="28" t="s">
        <v>14</v>
      </c>
      <c r="F1238" s="28">
        <v>99359.580080485801</v>
      </c>
    </row>
    <row r="1239" spans="1:6">
      <c r="A1239" s="28" t="s">
        <v>44</v>
      </c>
      <c r="B1239" s="28" t="s">
        <v>33</v>
      </c>
      <c r="C1239" s="28">
        <v>2015</v>
      </c>
      <c r="D1239" s="28" t="s">
        <v>4</v>
      </c>
      <c r="E1239" s="28" t="s">
        <v>14</v>
      </c>
      <c r="F1239" s="28">
        <v>83330.035797246805</v>
      </c>
    </row>
    <row r="1240" spans="1:6">
      <c r="A1240" s="28" t="s">
        <v>44</v>
      </c>
      <c r="B1240" s="28" t="s">
        <v>33</v>
      </c>
      <c r="C1240" s="28">
        <v>2016</v>
      </c>
      <c r="D1240" s="28" t="s">
        <v>4</v>
      </c>
      <c r="E1240" s="28" t="s">
        <v>14</v>
      </c>
      <c r="F1240" s="28">
        <v>100747.829183489</v>
      </c>
    </row>
    <row r="1241" spans="1:6">
      <c r="A1241" s="28" t="s">
        <v>44</v>
      </c>
      <c r="B1241" s="28" t="s">
        <v>33</v>
      </c>
      <c r="C1241" s="28">
        <v>2017</v>
      </c>
      <c r="D1241" s="28" t="s">
        <v>4</v>
      </c>
      <c r="E1241" s="28" t="s">
        <v>14</v>
      </c>
      <c r="F1241" s="28">
        <v>113647.921361384</v>
      </c>
    </row>
    <row r="1242" spans="1:6">
      <c r="A1242" s="28" t="s">
        <v>44</v>
      </c>
      <c r="B1242" s="28" t="s">
        <v>33</v>
      </c>
      <c r="C1242" s="28">
        <v>2010</v>
      </c>
      <c r="D1242" s="28" t="s">
        <v>4</v>
      </c>
      <c r="E1242" s="28" t="s">
        <v>15</v>
      </c>
      <c r="F1242" s="28">
        <v>32745.8829474126</v>
      </c>
    </row>
    <row r="1243" spans="1:6">
      <c r="A1243" s="28" t="s">
        <v>44</v>
      </c>
      <c r="B1243" s="28" t="s">
        <v>33</v>
      </c>
      <c r="C1243" s="28">
        <v>2011</v>
      </c>
      <c r="D1243" s="28" t="s">
        <v>4</v>
      </c>
      <c r="E1243" s="28" t="s">
        <v>15</v>
      </c>
      <c r="F1243" s="28">
        <v>41695.7954534866</v>
      </c>
    </row>
    <row r="1244" spans="1:6">
      <c r="A1244" s="28" t="s">
        <v>44</v>
      </c>
      <c r="B1244" s="28" t="s">
        <v>33</v>
      </c>
      <c r="C1244" s="28">
        <v>2012</v>
      </c>
      <c r="D1244" s="28" t="s">
        <v>4</v>
      </c>
      <c r="E1244" s="28" t="s">
        <v>15</v>
      </c>
      <c r="F1244" s="28">
        <v>39857.042673190103</v>
      </c>
    </row>
    <row r="1245" spans="1:6">
      <c r="A1245" s="28" t="s">
        <v>44</v>
      </c>
      <c r="B1245" s="28" t="s">
        <v>33</v>
      </c>
      <c r="C1245" s="28">
        <v>2013</v>
      </c>
      <c r="D1245" s="28" t="s">
        <v>4</v>
      </c>
      <c r="E1245" s="28" t="s">
        <v>15</v>
      </c>
      <c r="F1245" s="28">
        <v>35616.666462975001</v>
      </c>
    </row>
    <row r="1246" spans="1:6">
      <c r="A1246" s="28" t="s">
        <v>44</v>
      </c>
      <c r="B1246" s="28" t="s">
        <v>33</v>
      </c>
      <c r="C1246" s="28">
        <v>2014</v>
      </c>
      <c r="D1246" s="28" t="s">
        <v>4</v>
      </c>
      <c r="E1246" s="28" t="s">
        <v>15</v>
      </c>
      <c r="F1246" s="28">
        <v>2794.1071911039098</v>
      </c>
    </row>
    <row r="1247" spans="1:6">
      <c r="A1247" s="28" t="s">
        <v>44</v>
      </c>
      <c r="B1247" s="28" t="s">
        <v>33</v>
      </c>
      <c r="C1247" s="28">
        <v>2015</v>
      </c>
      <c r="D1247" s="28" t="s">
        <v>4</v>
      </c>
      <c r="E1247" s="28" t="s">
        <v>15</v>
      </c>
      <c r="F1247" s="28">
        <v>11047.8755589461</v>
      </c>
    </row>
    <row r="1248" spans="1:6">
      <c r="A1248" s="28" t="s">
        <v>44</v>
      </c>
      <c r="B1248" s="28" t="s">
        <v>33</v>
      </c>
      <c r="C1248" s="28">
        <v>2016</v>
      </c>
      <c r="D1248" s="28" t="s">
        <v>4</v>
      </c>
      <c r="E1248" s="28" t="s">
        <v>15</v>
      </c>
      <c r="F1248" s="28">
        <v>16438.426625824901</v>
      </c>
    </row>
    <row r="1249" spans="1:6">
      <c r="A1249" s="28" t="s">
        <v>44</v>
      </c>
      <c r="B1249" s="28" t="s">
        <v>33</v>
      </c>
      <c r="C1249" s="28">
        <v>2017</v>
      </c>
      <c r="D1249" s="28" t="s">
        <v>4</v>
      </c>
      <c r="E1249" s="28" t="s">
        <v>15</v>
      </c>
      <c r="F1249" s="28">
        <v>13313.8252992177</v>
      </c>
    </row>
    <row r="1250" spans="1:6">
      <c r="A1250" s="28" t="s">
        <v>44</v>
      </c>
      <c r="B1250" s="28" t="s">
        <v>33</v>
      </c>
      <c r="C1250" s="28">
        <v>2010</v>
      </c>
      <c r="D1250" s="28" t="s">
        <v>7</v>
      </c>
      <c r="E1250" s="28" t="s">
        <v>16</v>
      </c>
      <c r="F1250" s="28">
        <v>1219216</v>
      </c>
    </row>
    <row r="1251" spans="1:6">
      <c r="A1251" s="28" t="s">
        <v>44</v>
      </c>
      <c r="B1251" s="28" t="s">
        <v>33</v>
      </c>
      <c r="C1251" s="28">
        <v>2011</v>
      </c>
      <c r="D1251" s="28" t="s">
        <v>7</v>
      </c>
      <c r="E1251" s="28" t="s">
        <v>16</v>
      </c>
      <c r="F1251" s="28">
        <v>1661214</v>
      </c>
    </row>
    <row r="1252" spans="1:6">
      <c r="A1252" s="28" t="s">
        <v>44</v>
      </c>
      <c r="B1252" s="28" t="s">
        <v>33</v>
      </c>
      <c r="C1252" s="28">
        <v>2012</v>
      </c>
      <c r="D1252" s="28" t="s">
        <v>7</v>
      </c>
      <c r="E1252" s="28" t="s">
        <v>16</v>
      </c>
      <c r="F1252" s="28">
        <v>1415286</v>
      </c>
    </row>
    <row r="1253" spans="1:6">
      <c r="A1253" s="28" t="s">
        <v>44</v>
      </c>
      <c r="B1253" s="28" t="s">
        <v>33</v>
      </c>
      <c r="C1253" s="28">
        <v>2013</v>
      </c>
      <c r="D1253" s="28" t="s">
        <v>7</v>
      </c>
      <c r="E1253" s="28" t="s">
        <v>16</v>
      </c>
      <c r="F1253" s="28">
        <v>1902556</v>
      </c>
    </row>
    <row r="1254" spans="1:6">
      <c r="A1254" s="28" t="s">
        <v>44</v>
      </c>
      <c r="B1254" s="28" t="s">
        <v>33</v>
      </c>
      <c r="C1254" s="28">
        <v>2014</v>
      </c>
      <c r="D1254" s="28" t="s">
        <v>7</v>
      </c>
      <c r="E1254" s="28" t="s">
        <v>16</v>
      </c>
      <c r="F1254" s="28">
        <v>1952736</v>
      </c>
    </row>
    <row r="1255" spans="1:6">
      <c r="A1255" s="28" t="s">
        <v>44</v>
      </c>
      <c r="B1255" s="28" t="s">
        <v>33</v>
      </c>
      <c r="C1255" s="28">
        <v>2015</v>
      </c>
      <c r="D1255" s="28" t="s">
        <v>7</v>
      </c>
      <c r="E1255" s="28" t="s">
        <v>16</v>
      </c>
      <c r="F1255" s="28">
        <v>1894651</v>
      </c>
    </row>
    <row r="1256" spans="1:6">
      <c r="A1256" s="28" t="s">
        <v>44</v>
      </c>
      <c r="B1256" s="28" t="s">
        <v>33</v>
      </c>
      <c r="C1256" s="28">
        <v>2016</v>
      </c>
      <c r="D1256" s="28" t="s">
        <v>7</v>
      </c>
      <c r="E1256" s="28" t="s">
        <v>16</v>
      </c>
      <c r="F1256" s="28">
        <v>1462494</v>
      </c>
    </row>
    <row r="1257" spans="1:6">
      <c r="A1257" s="28" t="s">
        <v>44</v>
      </c>
      <c r="B1257" s="28" t="s">
        <v>33</v>
      </c>
      <c r="C1257" s="28">
        <v>2017</v>
      </c>
      <c r="D1257" s="28" t="s">
        <v>7</v>
      </c>
      <c r="E1257" s="28" t="s">
        <v>16</v>
      </c>
      <c r="F1257" s="28">
        <v>1271841</v>
      </c>
    </row>
    <row r="1258" spans="1:6">
      <c r="A1258" s="28" t="s">
        <v>44</v>
      </c>
      <c r="B1258" s="28" t="s">
        <v>33</v>
      </c>
      <c r="C1258" s="28">
        <v>2010</v>
      </c>
      <c r="D1258" s="28" t="s">
        <v>7</v>
      </c>
      <c r="E1258" s="28" t="s">
        <v>17</v>
      </c>
      <c r="F1258" s="28">
        <v>40004.593643054199</v>
      </c>
    </row>
    <row r="1259" spans="1:6">
      <c r="A1259" s="28" t="s">
        <v>44</v>
      </c>
      <c r="B1259" s="28" t="s">
        <v>33</v>
      </c>
      <c r="C1259" s="28">
        <v>2011</v>
      </c>
      <c r="D1259" s="28" t="s">
        <v>7</v>
      </c>
      <c r="E1259" s="28" t="s">
        <v>17</v>
      </c>
      <c r="F1259" s="28">
        <v>51596.746189755897</v>
      </c>
    </row>
    <row r="1260" spans="1:6">
      <c r="A1260" s="28" t="s">
        <v>44</v>
      </c>
      <c r="B1260" s="28" t="s">
        <v>33</v>
      </c>
      <c r="C1260" s="28">
        <v>2012</v>
      </c>
      <c r="D1260" s="28" t="s">
        <v>7</v>
      </c>
      <c r="E1260" s="28" t="s">
        <v>17</v>
      </c>
      <c r="F1260" s="28">
        <v>46597.306133468497</v>
      </c>
    </row>
    <row r="1261" spans="1:6">
      <c r="A1261" s="28" t="s">
        <v>44</v>
      </c>
      <c r="B1261" s="28" t="s">
        <v>33</v>
      </c>
      <c r="C1261" s="28">
        <v>2013</v>
      </c>
      <c r="D1261" s="28" t="s">
        <v>7</v>
      </c>
      <c r="E1261" s="28" t="s">
        <v>17</v>
      </c>
      <c r="F1261" s="28">
        <v>58130.232330762701</v>
      </c>
    </row>
    <row r="1262" spans="1:6">
      <c r="A1262" s="28" t="s">
        <v>44</v>
      </c>
      <c r="B1262" s="28" t="s">
        <v>33</v>
      </c>
      <c r="C1262" s="28">
        <v>2014</v>
      </c>
      <c r="D1262" s="28" t="s">
        <v>7</v>
      </c>
      <c r="E1262" s="28" t="s">
        <v>17</v>
      </c>
      <c r="F1262" s="28">
        <v>34710.1232882556</v>
      </c>
    </row>
    <row r="1263" spans="1:6">
      <c r="A1263" s="28" t="s">
        <v>44</v>
      </c>
      <c r="B1263" s="28" t="s">
        <v>33</v>
      </c>
      <c r="C1263" s="28">
        <v>2015</v>
      </c>
      <c r="D1263" s="28" t="s">
        <v>7</v>
      </c>
      <c r="E1263" s="28" t="s">
        <v>17</v>
      </c>
      <c r="F1263" s="28">
        <v>25995.894773382399</v>
      </c>
    </row>
    <row r="1264" spans="1:6">
      <c r="A1264" s="28" t="s">
        <v>44</v>
      </c>
      <c r="B1264" s="28" t="s">
        <v>33</v>
      </c>
      <c r="C1264" s="28">
        <v>2016</v>
      </c>
      <c r="D1264" s="28" t="s">
        <v>7</v>
      </c>
      <c r="E1264" s="28" t="s">
        <v>17</v>
      </c>
      <c r="F1264" s="28">
        <v>24110.9255501023</v>
      </c>
    </row>
    <row r="1265" spans="1:6">
      <c r="A1265" s="28" t="s">
        <v>44</v>
      </c>
      <c r="B1265" s="28" t="s">
        <v>33</v>
      </c>
      <c r="C1265" s="28">
        <v>2017</v>
      </c>
      <c r="D1265" s="28" t="s">
        <v>7</v>
      </c>
      <c r="E1265" s="28" t="s">
        <v>17</v>
      </c>
      <c r="F1265" s="28">
        <v>22080.496248276901</v>
      </c>
    </row>
    <row r="1266" spans="1:6">
      <c r="A1266" s="28" t="s">
        <v>44</v>
      </c>
      <c r="B1266" s="28" t="s">
        <v>33</v>
      </c>
      <c r="C1266" s="28">
        <v>2010</v>
      </c>
      <c r="D1266" s="28" t="s">
        <v>20</v>
      </c>
      <c r="E1266" s="28" t="s">
        <v>18</v>
      </c>
      <c r="F1266" s="28">
        <v>22900</v>
      </c>
    </row>
    <row r="1267" spans="1:6">
      <c r="A1267" s="28" t="s">
        <v>44</v>
      </c>
      <c r="B1267" s="28" t="s">
        <v>33</v>
      </c>
      <c r="C1267" s="28">
        <v>2011</v>
      </c>
      <c r="D1267" s="28" t="s">
        <v>20</v>
      </c>
      <c r="E1267" s="28" t="s">
        <v>18</v>
      </c>
      <c r="F1267" s="28">
        <v>22900</v>
      </c>
    </row>
    <row r="1268" spans="1:6">
      <c r="A1268" s="28" t="s">
        <v>44</v>
      </c>
      <c r="B1268" s="28" t="s">
        <v>33</v>
      </c>
      <c r="C1268" s="28">
        <v>2012</v>
      </c>
      <c r="D1268" s="28" t="s">
        <v>20</v>
      </c>
      <c r="E1268" s="28" t="s">
        <v>18</v>
      </c>
      <c r="F1268" s="28">
        <v>22900</v>
      </c>
    </row>
    <row r="1269" spans="1:6">
      <c r="A1269" s="28" t="s">
        <v>44</v>
      </c>
      <c r="B1269" s="28" t="s">
        <v>33</v>
      </c>
      <c r="C1269" s="28">
        <v>2013</v>
      </c>
      <c r="D1269" s="28" t="s">
        <v>20</v>
      </c>
      <c r="E1269" s="28" t="s">
        <v>18</v>
      </c>
      <c r="F1269" s="28">
        <v>22900</v>
      </c>
    </row>
    <row r="1270" spans="1:6">
      <c r="A1270" s="28" t="s">
        <v>44</v>
      </c>
      <c r="B1270" s="28" t="s">
        <v>33</v>
      </c>
      <c r="C1270" s="28">
        <v>2014</v>
      </c>
      <c r="D1270" s="28" t="s">
        <v>20</v>
      </c>
      <c r="E1270" s="28" t="s">
        <v>18</v>
      </c>
      <c r="F1270" s="28">
        <v>23000</v>
      </c>
    </row>
    <row r="1271" spans="1:6">
      <c r="A1271" s="28" t="s">
        <v>44</v>
      </c>
      <c r="B1271" s="28" t="s">
        <v>33</v>
      </c>
      <c r="C1271" s="28">
        <v>2015</v>
      </c>
      <c r="D1271" s="28" t="s">
        <v>20</v>
      </c>
      <c r="E1271" s="28" t="s">
        <v>18</v>
      </c>
      <c r="F1271" s="28">
        <v>23000</v>
      </c>
    </row>
    <row r="1272" spans="1:6">
      <c r="A1272" s="28" t="s">
        <v>44</v>
      </c>
      <c r="B1272" s="28" t="s">
        <v>33</v>
      </c>
      <c r="C1272" s="28">
        <v>2016</v>
      </c>
      <c r="D1272" s="28" t="s">
        <v>20</v>
      </c>
      <c r="E1272" s="28" t="s">
        <v>18</v>
      </c>
      <c r="F1272" s="28">
        <v>22600</v>
      </c>
    </row>
    <row r="1273" spans="1:6">
      <c r="A1273" s="28" t="s">
        <v>44</v>
      </c>
      <c r="B1273" s="28" t="s">
        <v>33</v>
      </c>
      <c r="C1273" s="28">
        <v>2017</v>
      </c>
      <c r="D1273" s="28" t="s">
        <v>20</v>
      </c>
      <c r="E1273" s="28" t="s">
        <v>18</v>
      </c>
      <c r="F1273" s="28">
        <v>22100</v>
      </c>
    </row>
    <row r="1274" spans="1:6">
      <c r="A1274" s="28" t="s">
        <v>44</v>
      </c>
      <c r="B1274" s="28" t="s">
        <v>33</v>
      </c>
      <c r="C1274" s="28">
        <v>2010</v>
      </c>
      <c r="D1274" s="28" t="s">
        <v>20</v>
      </c>
      <c r="E1274" s="28" t="s">
        <v>19</v>
      </c>
      <c r="F1274" s="28">
        <v>193.5</v>
      </c>
    </row>
    <row r="1275" spans="1:6">
      <c r="A1275" s="28" t="s">
        <v>44</v>
      </c>
      <c r="B1275" s="28" t="s">
        <v>33</v>
      </c>
      <c r="C1275" s="28">
        <v>2011</v>
      </c>
      <c r="D1275" s="28" t="s">
        <v>20</v>
      </c>
      <c r="E1275" s="28" t="s">
        <v>19</v>
      </c>
      <c r="F1275" s="28">
        <v>171.3</v>
      </c>
    </row>
    <row r="1276" spans="1:6">
      <c r="A1276" s="28" t="s">
        <v>44</v>
      </c>
      <c r="B1276" s="28" t="s">
        <v>33</v>
      </c>
      <c r="C1276" s="28">
        <v>2012</v>
      </c>
      <c r="D1276" s="28" t="s">
        <v>20</v>
      </c>
      <c r="E1276" s="28" t="s">
        <v>19</v>
      </c>
      <c r="F1276" s="28">
        <v>143.69999999999999</v>
      </c>
    </row>
    <row r="1277" spans="1:6">
      <c r="A1277" s="28" t="s">
        <v>44</v>
      </c>
      <c r="B1277" s="28" t="s">
        <v>33</v>
      </c>
      <c r="C1277" s="28">
        <v>2013</v>
      </c>
      <c r="D1277" s="28" t="s">
        <v>20</v>
      </c>
      <c r="E1277" s="28" t="s">
        <v>19</v>
      </c>
      <c r="F1277" s="28">
        <v>138.75</v>
      </c>
    </row>
    <row r="1278" spans="1:6">
      <c r="A1278" s="28" t="s">
        <v>44</v>
      </c>
      <c r="B1278" s="28" t="s">
        <v>33</v>
      </c>
      <c r="C1278" s="28">
        <v>2014</v>
      </c>
      <c r="D1278" s="28" t="s">
        <v>20</v>
      </c>
      <c r="E1278" s="28" t="s">
        <v>19</v>
      </c>
      <c r="F1278" s="28">
        <v>130.31</v>
      </c>
    </row>
    <row r="1279" spans="1:6">
      <c r="A1279" s="28" t="s">
        <v>44</v>
      </c>
      <c r="B1279" s="28" t="s">
        <v>33</v>
      </c>
      <c r="C1279" s="28">
        <v>2015</v>
      </c>
      <c r="D1279" s="28" t="s">
        <v>20</v>
      </c>
      <c r="E1279" s="28" t="s">
        <v>19</v>
      </c>
      <c r="F1279" s="28">
        <v>136.09</v>
      </c>
    </row>
    <row r="1280" spans="1:6">
      <c r="A1280" s="28" t="s">
        <v>44</v>
      </c>
      <c r="B1280" s="28" t="s">
        <v>33</v>
      </c>
      <c r="C1280" s="28">
        <v>2016</v>
      </c>
      <c r="D1280" s="28" t="s">
        <v>20</v>
      </c>
      <c r="E1280" s="28" t="s">
        <v>19</v>
      </c>
      <c r="F1280" s="28">
        <v>154.55000000000001</v>
      </c>
    </row>
    <row r="1281" spans="1:6">
      <c r="A1281" s="28" t="s">
        <v>44</v>
      </c>
      <c r="B1281" s="28" t="s">
        <v>33</v>
      </c>
      <c r="C1281" s="28">
        <v>2017</v>
      </c>
      <c r="D1281" s="28" t="s">
        <v>20</v>
      </c>
      <c r="E1281" s="28" t="s">
        <v>19</v>
      </c>
      <c r="F1281" s="28">
        <v>130.5</v>
      </c>
    </row>
    <row r="1282" spans="1:6">
      <c r="A1282" s="28" t="s">
        <v>45</v>
      </c>
      <c r="B1282" s="28" t="s">
        <v>33</v>
      </c>
      <c r="C1282" s="28">
        <v>2010</v>
      </c>
      <c r="D1282" s="28" t="s">
        <v>1</v>
      </c>
      <c r="E1282" s="28" t="s">
        <v>2</v>
      </c>
      <c r="F1282" s="28">
        <v>1932235.46</v>
      </c>
    </row>
    <row r="1283" spans="1:6">
      <c r="A1283" s="28" t="s">
        <v>45</v>
      </c>
      <c r="B1283" s="28" t="s">
        <v>33</v>
      </c>
      <c r="C1283" s="28">
        <v>2011</v>
      </c>
      <c r="D1283" s="28" t="s">
        <v>1</v>
      </c>
      <c r="E1283" s="28" t="s">
        <v>2</v>
      </c>
      <c r="F1283" s="28">
        <v>2178484.7143000001</v>
      </c>
    </row>
    <row r="1284" spans="1:6">
      <c r="A1284" s="28" t="s">
        <v>45</v>
      </c>
      <c r="B1284" s="28" t="s">
        <v>33</v>
      </c>
      <c r="C1284" s="28">
        <v>2012</v>
      </c>
      <c r="D1284" s="28" t="s">
        <v>1</v>
      </c>
      <c r="E1284" s="28" t="s">
        <v>2</v>
      </c>
      <c r="F1284" s="28">
        <v>2268476.2176000001</v>
      </c>
    </row>
    <row r="1285" spans="1:6">
      <c r="A1285" s="28" t="s">
        <v>45</v>
      </c>
      <c r="B1285" s="28" t="s">
        <v>33</v>
      </c>
      <c r="C1285" s="28">
        <v>2013</v>
      </c>
      <c r="D1285" s="28" t="s">
        <v>1</v>
      </c>
      <c r="E1285" s="28" t="s">
        <v>2</v>
      </c>
      <c r="F1285" s="28">
        <v>2816151.2848</v>
      </c>
    </row>
    <row r="1286" spans="1:6">
      <c r="A1286" s="28" t="s">
        <v>45</v>
      </c>
      <c r="B1286" s="28" t="s">
        <v>33</v>
      </c>
      <c r="C1286" s="28">
        <v>2014</v>
      </c>
      <c r="D1286" s="28" t="s">
        <v>1</v>
      </c>
      <c r="E1286" s="28" t="s">
        <v>2</v>
      </c>
      <c r="F1286" s="28">
        <v>3502726</v>
      </c>
    </row>
    <row r="1287" spans="1:6">
      <c r="A1287" s="28" t="s">
        <v>45</v>
      </c>
      <c r="B1287" s="28" t="s">
        <v>33</v>
      </c>
      <c r="C1287" s="28">
        <v>2015</v>
      </c>
      <c r="D1287" s="28" t="s">
        <v>1</v>
      </c>
      <c r="E1287" s="28" t="s">
        <v>2</v>
      </c>
      <c r="F1287" s="28">
        <v>3806960</v>
      </c>
    </row>
    <row r="1288" spans="1:6">
      <c r="A1288" s="28" t="s">
        <v>45</v>
      </c>
      <c r="B1288" s="28" t="s">
        <v>33</v>
      </c>
      <c r="C1288" s="28">
        <v>2016</v>
      </c>
      <c r="D1288" s="28" t="s">
        <v>1</v>
      </c>
      <c r="E1288" s="28" t="s">
        <v>2</v>
      </c>
      <c r="F1288" s="28">
        <v>3759032</v>
      </c>
    </row>
    <row r="1289" spans="1:6">
      <c r="A1289" s="28" t="s">
        <v>45</v>
      </c>
      <c r="B1289" s="28" t="s">
        <v>33</v>
      </c>
      <c r="C1289" s="28">
        <v>2017</v>
      </c>
      <c r="D1289" s="28" t="s">
        <v>1</v>
      </c>
      <c r="E1289" s="28" t="s">
        <v>2</v>
      </c>
      <c r="F1289" s="28">
        <v>3918101</v>
      </c>
    </row>
    <row r="1290" spans="1:6">
      <c r="A1290" s="28" t="s">
        <v>45</v>
      </c>
      <c r="B1290" s="28" t="s">
        <v>33</v>
      </c>
      <c r="C1290" s="28">
        <v>2010</v>
      </c>
      <c r="D1290" s="28" t="s">
        <v>1</v>
      </c>
      <c r="E1290" s="28" t="s">
        <v>3</v>
      </c>
      <c r="F1290" s="28">
        <v>628342.24730000005</v>
      </c>
    </row>
    <row r="1291" spans="1:6">
      <c r="A1291" s="28" t="s">
        <v>45</v>
      </c>
      <c r="B1291" s="28" t="s">
        <v>33</v>
      </c>
      <c r="C1291" s="28">
        <v>2011</v>
      </c>
      <c r="D1291" s="28" t="s">
        <v>1</v>
      </c>
      <c r="E1291" s="28" t="s">
        <v>3</v>
      </c>
      <c r="F1291" s="28">
        <v>757542.03689999995</v>
      </c>
    </row>
    <row r="1292" spans="1:6">
      <c r="A1292" s="28" t="s">
        <v>45</v>
      </c>
      <c r="B1292" s="28" t="s">
        <v>33</v>
      </c>
      <c r="C1292" s="28">
        <v>2012</v>
      </c>
      <c r="D1292" s="28" t="s">
        <v>1</v>
      </c>
      <c r="E1292" s="28" t="s">
        <v>3</v>
      </c>
      <c r="F1292" s="28">
        <v>737236.54709999997</v>
      </c>
    </row>
    <row r="1293" spans="1:6">
      <c r="A1293" s="28" t="s">
        <v>45</v>
      </c>
      <c r="B1293" s="28" t="s">
        <v>33</v>
      </c>
      <c r="C1293" s="28">
        <v>2013</v>
      </c>
      <c r="D1293" s="28" t="s">
        <v>1</v>
      </c>
      <c r="E1293" s="28" t="s">
        <v>3</v>
      </c>
      <c r="F1293" s="28">
        <v>765699.63399999996</v>
      </c>
    </row>
    <row r="1294" spans="1:6">
      <c r="A1294" s="28" t="s">
        <v>45</v>
      </c>
      <c r="B1294" s="28" t="s">
        <v>33</v>
      </c>
      <c r="C1294" s="28">
        <v>2014</v>
      </c>
      <c r="D1294" s="28" t="s">
        <v>1</v>
      </c>
      <c r="E1294" s="28" t="s">
        <v>3</v>
      </c>
      <c r="F1294" s="28">
        <v>1236227</v>
      </c>
    </row>
    <row r="1295" spans="1:6">
      <c r="A1295" s="28" t="s">
        <v>45</v>
      </c>
      <c r="B1295" s="28" t="s">
        <v>33</v>
      </c>
      <c r="C1295" s="28">
        <v>2015</v>
      </c>
      <c r="D1295" s="28" t="s">
        <v>1</v>
      </c>
      <c r="E1295" s="28" t="s">
        <v>3</v>
      </c>
      <c r="F1295" s="28">
        <v>1213647</v>
      </c>
    </row>
    <row r="1296" spans="1:6">
      <c r="A1296" s="28" t="s">
        <v>45</v>
      </c>
      <c r="B1296" s="28" t="s">
        <v>33</v>
      </c>
      <c r="C1296" s="28">
        <v>2016</v>
      </c>
      <c r="D1296" s="28" t="s">
        <v>1</v>
      </c>
      <c r="E1296" s="28" t="s">
        <v>3</v>
      </c>
      <c r="F1296" s="28">
        <v>1255641</v>
      </c>
    </row>
    <row r="1297" spans="1:6">
      <c r="A1297" s="28" t="s">
        <v>45</v>
      </c>
      <c r="B1297" s="28" t="s">
        <v>33</v>
      </c>
      <c r="C1297" s="28">
        <v>2017</v>
      </c>
      <c r="D1297" s="28" t="s">
        <v>1</v>
      </c>
      <c r="E1297" s="28" t="s">
        <v>3</v>
      </c>
      <c r="F1297" s="28">
        <v>1308114</v>
      </c>
    </row>
    <row r="1298" spans="1:6">
      <c r="A1298" s="28" t="s">
        <v>45</v>
      </c>
      <c r="B1298" s="28" t="s">
        <v>33</v>
      </c>
      <c r="C1298" s="28">
        <v>2010</v>
      </c>
      <c r="D1298" s="28" t="s">
        <v>1</v>
      </c>
      <c r="E1298" s="28" t="s">
        <v>5</v>
      </c>
      <c r="F1298" s="28">
        <v>2560577.7072999999</v>
      </c>
    </row>
    <row r="1299" spans="1:6">
      <c r="A1299" s="28" t="s">
        <v>45</v>
      </c>
      <c r="B1299" s="28" t="s">
        <v>33</v>
      </c>
      <c r="C1299" s="28">
        <v>2011</v>
      </c>
      <c r="D1299" s="28" t="s">
        <v>1</v>
      </c>
      <c r="E1299" s="28" t="s">
        <v>5</v>
      </c>
      <c r="F1299" s="28">
        <v>2936026.7511999998</v>
      </c>
    </row>
    <row r="1300" spans="1:6">
      <c r="A1300" s="28" t="s">
        <v>45</v>
      </c>
      <c r="B1300" s="28" t="s">
        <v>33</v>
      </c>
      <c r="C1300" s="28">
        <v>2012</v>
      </c>
      <c r="D1300" s="28" t="s">
        <v>1</v>
      </c>
      <c r="E1300" s="28" t="s">
        <v>5</v>
      </c>
      <c r="F1300" s="28">
        <v>3005712.7647000002</v>
      </c>
    </row>
    <row r="1301" spans="1:6">
      <c r="A1301" s="28" t="s">
        <v>45</v>
      </c>
      <c r="B1301" s="28" t="s">
        <v>33</v>
      </c>
      <c r="C1301" s="28">
        <v>2013</v>
      </c>
      <c r="D1301" s="28" t="s">
        <v>1</v>
      </c>
      <c r="E1301" s="28" t="s">
        <v>5</v>
      </c>
      <c r="F1301" s="28">
        <v>3581850.9188000001</v>
      </c>
    </row>
    <row r="1302" spans="1:6">
      <c r="A1302" s="28" t="s">
        <v>45</v>
      </c>
      <c r="B1302" s="28" t="s">
        <v>33</v>
      </c>
      <c r="C1302" s="28">
        <v>2014</v>
      </c>
      <c r="D1302" s="28" t="s">
        <v>1</v>
      </c>
      <c r="E1302" s="28" t="s">
        <v>5</v>
      </c>
      <c r="F1302" s="28">
        <v>4738953</v>
      </c>
    </row>
    <row r="1303" spans="1:6">
      <c r="A1303" s="28" t="s">
        <v>45</v>
      </c>
      <c r="B1303" s="28" t="s">
        <v>33</v>
      </c>
      <c r="C1303" s="28">
        <v>2015</v>
      </c>
      <c r="D1303" s="28" t="s">
        <v>1</v>
      </c>
      <c r="E1303" s="28" t="s">
        <v>5</v>
      </c>
      <c r="F1303" s="28">
        <v>5020607</v>
      </c>
    </row>
    <row r="1304" spans="1:6">
      <c r="A1304" s="28" t="s">
        <v>45</v>
      </c>
      <c r="B1304" s="28" t="s">
        <v>33</v>
      </c>
      <c r="C1304" s="28">
        <v>2016</v>
      </c>
      <c r="D1304" s="28" t="s">
        <v>1</v>
      </c>
      <c r="E1304" s="28" t="s">
        <v>5</v>
      </c>
      <c r="F1304" s="28">
        <v>5014673</v>
      </c>
    </row>
    <row r="1305" spans="1:6">
      <c r="A1305" s="28" t="s">
        <v>45</v>
      </c>
      <c r="B1305" s="28" t="s">
        <v>33</v>
      </c>
      <c r="C1305" s="28">
        <v>2017</v>
      </c>
      <c r="D1305" s="28" t="s">
        <v>1</v>
      </c>
      <c r="E1305" s="28" t="s">
        <v>5</v>
      </c>
      <c r="F1305" s="28">
        <v>5226215</v>
      </c>
    </row>
    <row r="1306" spans="1:6">
      <c r="A1306" s="28" t="s">
        <v>45</v>
      </c>
      <c r="B1306" s="28" t="s">
        <v>33</v>
      </c>
      <c r="C1306" s="28">
        <v>2010</v>
      </c>
      <c r="D1306" s="28" t="s">
        <v>1</v>
      </c>
      <c r="E1306" s="28" t="s">
        <v>6</v>
      </c>
      <c r="F1306" s="28">
        <v>1816667.0552000001</v>
      </c>
    </row>
    <row r="1307" spans="1:6">
      <c r="A1307" s="28" t="s">
        <v>45</v>
      </c>
      <c r="B1307" s="28" t="s">
        <v>33</v>
      </c>
      <c r="C1307" s="28">
        <v>2011</v>
      </c>
      <c r="D1307" s="28" t="s">
        <v>1</v>
      </c>
      <c r="E1307" s="28" t="s">
        <v>6</v>
      </c>
      <c r="F1307" s="28">
        <v>2172142.0825999998</v>
      </c>
    </row>
    <row r="1308" spans="1:6">
      <c r="A1308" s="28" t="s">
        <v>45</v>
      </c>
      <c r="B1308" s="28" t="s">
        <v>33</v>
      </c>
      <c r="C1308" s="28">
        <v>2012</v>
      </c>
      <c r="D1308" s="28" t="s">
        <v>1</v>
      </c>
      <c r="E1308" s="28" t="s">
        <v>6</v>
      </c>
      <c r="F1308" s="28">
        <v>2253289.8676</v>
      </c>
    </row>
    <row r="1309" spans="1:6">
      <c r="A1309" s="28" t="s">
        <v>45</v>
      </c>
      <c r="B1309" s="28" t="s">
        <v>33</v>
      </c>
      <c r="C1309" s="28">
        <v>2013</v>
      </c>
      <c r="D1309" s="28" t="s">
        <v>1</v>
      </c>
      <c r="E1309" s="28" t="s">
        <v>6</v>
      </c>
      <c r="F1309" s="28">
        <v>2580861.0660000001</v>
      </c>
    </row>
    <row r="1310" spans="1:6">
      <c r="A1310" s="28" t="s">
        <v>45</v>
      </c>
      <c r="B1310" s="28" t="s">
        <v>33</v>
      </c>
      <c r="C1310" s="28">
        <v>2014</v>
      </c>
      <c r="D1310" s="28" t="s">
        <v>1</v>
      </c>
      <c r="E1310" s="28" t="s">
        <v>6</v>
      </c>
      <c r="F1310" s="28">
        <v>3049542</v>
      </c>
    </row>
    <row r="1311" spans="1:6">
      <c r="A1311" s="28" t="s">
        <v>45</v>
      </c>
      <c r="B1311" s="28" t="s">
        <v>33</v>
      </c>
      <c r="C1311" s="28">
        <v>2015</v>
      </c>
      <c r="D1311" s="28" t="s">
        <v>1</v>
      </c>
      <c r="E1311" s="28" t="s">
        <v>6</v>
      </c>
      <c r="F1311" s="28">
        <v>3231374</v>
      </c>
    </row>
    <row r="1312" spans="1:6">
      <c r="A1312" s="28" t="s">
        <v>45</v>
      </c>
      <c r="B1312" s="28" t="s">
        <v>33</v>
      </c>
      <c r="C1312" s="28">
        <v>2016</v>
      </c>
      <c r="D1312" s="28" t="s">
        <v>1</v>
      </c>
      <c r="E1312" s="28" t="s">
        <v>6</v>
      </c>
      <c r="F1312" s="28">
        <v>3227664</v>
      </c>
    </row>
    <row r="1313" spans="1:6">
      <c r="A1313" s="28" t="s">
        <v>45</v>
      </c>
      <c r="B1313" s="28" t="s">
        <v>33</v>
      </c>
      <c r="C1313" s="28">
        <v>2017</v>
      </c>
      <c r="D1313" s="28" t="s">
        <v>1</v>
      </c>
      <c r="E1313" s="28" t="s">
        <v>6</v>
      </c>
      <c r="F1313" s="28">
        <v>3490399</v>
      </c>
    </row>
    <row r="1314" spans="1:6">
      <c r="A1314" s="28" t="s">
        <v>45</v>
      </c>
      <c r="B1314" s="28" t="s">
        <v>33</v>
      </c>
      <c r="C1314" s="28">
        <v>2010</v>
      </c>
      <c r="D1314" s="28" t="s">
        <v>1</v>
      </c>
      <c r="E1314" s="28" t="s">
        <v>8</v>
      </c>
      <c r="F1314" s="28">
        <v>415522.05459999997</v>
      </c>
    </row>
    <row r="1315" spans="1:6">
      <c r="A1315" s="28" t="s">
        <v>45</v>
      </c>
      <c r="B1315" s="28" t="s">
        <v>33</v>
      </c>
      <c r="C1315" s="28">
        <v>2011</v>
      </c>
      <c r="D1315" s="28" t="s">
        <v>1</v>
      </c>
      <c r="E1315" s="28" t="s">
        <v>8</v>
      </c>
      <c r="F1315" s="28">
        <v>406250.3898</v>
      </c>
    </row>
    <row r="1316" spans="1:6">
      <c r="A1316" s="28" t="s">
        <v>45</v>
      </c>
      <c r="B1316" s="28" t="s">
        <v>33</v>
      </c>
      <c r="C1316" s="28">
        <v>2012</v>
      </c>
      <c r="D1316" s="28" t="s">
        <v>1</v>
      </c>
      <c r="E1316" s="28" t="s">
        <v>8</v>
      </c>
      <c r="F1316" s="28">
        <v>374191.66399999999</v>
      </c>
    </row>
    <row r="1317" spans="1:6">
      <c r="A1317" s="28" t="s">
        <v>45</v>
      </c>
      <c r="B1317" s="28" t="s">
        <v>33</v>
      </c>
      <c r="C1317" s="28">
        <v>2013</v>
      </c>
      <c r="D1317" s="28" t="s">
        <v>1</v>
      </c>
      <c r="E1317" s="28" t="s">
        <v>8</v>
      </c>
      <c r="F1317" s="28">
        <v>572335.52040000004</v>
      </c>
    </row>
    <row r="1318" spans="1:6">
      <c r="A1318" s="28" t="s">
        <v>45</v>
      </c>
      <c r="B1318" s="28" t="s">
        <v>33</v>
      </c>
      <c r="C1318" s="28">
        <v>2014</v>
      </c>
      <c r="D1318" s="28" t="s">
        <v>1</v>
      </c>
      <c r="E1318" s="28" t="s">
        <v>8</v>
      </c>
      <c r="F1318" s="28">
        <v>909965</v>
      </c>
    </row>
    <row r="1319" spans="1:6">
      <c r="A1319" s="28" t="s">
        <v>45</v>
      </c>
      <c r="B1319" s="28" t="s">
        <v>33</v>
      </c>
      <c r="C1319" s="28">
        <v>2015</v>
      </c>
      <c r="D1319" s="28" t="s">
        <v>1</v>
      </c>
      <c r="E1319" s="28" t="s">
        <v>8</v>
      </c>
      <c r="F1319" s="28">
        <v>1094065</v>
      </c>
    </row>
    <row r="1320" spans="1:6">
      <c r="A1320" s="28" t="s">
        <v>45</v>
      </c>
      <c r="B1320" s="28" t="s">
        <v>33</v>
      </c>
      <c r="C1320" s="28">
        <v>2016</v>
      </c>
      <c r="D1320" s="28" t="s">
        <v>1</v>
      </c>
      <c r="E1320" s="28" t="s">
        <v>8</v>
      </c>
      <c r="F1320" s="28">
        <v>956323</v>
      </c>
    </row>
    <row r="1321" spans="1:6">
      <c r="A1321" s="28" t="s">
        <v>45</v>
      </c>
      <c r="B1321" s="28" t="s">
        <v>33</v>
      </c>
      <c r="C1321" s="28">
        <v>2017</v>
      </c>
      <c r="D1321" s="28" t="s">
        <v>1</v>
      </c>
      <c r="E1321" s="28" t="s">
        <v>8</v>
      </c>
      <c r="F1321" s="28">
        <v>776969</v>
      </c>
    </row>
    <row r="1322" spans="1:6">
      <c r="A1322" s="28" t="s">
        <v>45</v>
      </c>
      <c r="B1322" s="28" t="s">
        <v>33</v>
      </c>
      <c r="C1322" s="28">
        <v>2010</v>
      </c>
      <c r="D1322" s="28" t="s">
        <v>1</v>
      </c>
      <c r="E1322" s="28" t="s">
        <v>9</v>
      </c>
      <c r="F1322" s="28">
        <v>328388.59749999997</v>
      </c>
    </row>
    <row r="1323" spans="1:6">
      <c r="A1323" s="28" t="s">
        <v>45</v>
      </c>
      <c r="B1323" s="28" t="s">
        <v>33</v>
      </c>
      <c r="C1323" s="28">
        <v>2011</v>
      </c>
      <c r="D1323" s="28" t="s">
        <v>1</v>
      </c>
      <c r="E1323" s="28" t="s">
        <v>9</v>
      </c>
      <c r="F1323" s="28">
        <v>357634.27879999997</v>
      </c>
    </row>
    <row r="1324" spans="1:6">
      <c r="A1324" s="28" t="s">
        <v>45</v>
      </c>
      <c r="B1324" s="28" t="s">
        <v>33</v>
      </c>
      <c r="C1324" s="28">
        <v>2012</v>
      </c>
      <c r="D1324" s="28" t="s">
        <v>1</v>
      </c>
      <c r="E1324" s="28" t="s">
        <v>9</v>
      </c>
      <c r="F1324" s="28">
        <v>378231.23310000001</v>
      </c>
    </row>
    <row r="1325" spans="1:6">
      <c r="A1325" s="28" t="s">
        <v>45</v>
      </c>
      <c r="B1325" s="28" t="s">
        <v>33</v>
      </c>
      <c r="C1325" s="28">
        <v>2013</v>
      </c>
      <c r="D1325" s="28" t="s">
        <v>1</v>
      </c>
      <c r="E1325" s="28" t="s">
        <v>9</v>
      </c>
      <c r="F1325" s="28">
        <v>428654.33240000001</v>
      </c>
    </row>
    <row r="1326" spans="1:6">
      <c r="A1326" s="28" t="s">
        <v>45</v>
      </c>
      <c r="B1326" s="28" t="s">
        <v>33</v>
      </c>
      <c r="C1326" s="28">
        <v>2014</v>
      </c>
      <c r="D1326" s="28" t="s">
        <v>1</v>
      </c>
      <c r="E1326" s="28" t="s">
        <v>9</v>
      </c>
      <c r="F1326" s="28">
        <v>779446</v>
      </c>
    </row>
    <row r="1327" spans="1:6">
      <c r="A1327" s="28" t="s">
        <v>45</v>
      </c>
      <c r="B1327" s="28" t="s">
        <v>33</v>
      </c>
      <c r="C1327" s="28">
        <v>2015</v>
      </c>
      <c r="D1327" s="28" t="s">
        <v>1</v>
      </c>
      <c r="E1327" s="28" t="s">
        <v>9</v>
      </c>
      <c r="F1327" s="28">
        <v>695168</v>
      </c>
    </row>
    <row r="1328" spans="1:6">
      <c r="A1328" s="28" t="s">
        <v>45</v>
      </c>
      <c r="B1328" s="28" t="s">
        <v>33</v>
      </c>
      <c r="C1328" s="28">
        <v>2016</v>
      </c>
      <c r="D1328" s="28" t="s">
        <v>1</v>
      </c>
      <c r="E1328" s="28" t="s">
        <v>9</v>
      </c>
      <c r="F1328" s="28">
        <v>830686</v>
      </c>
    </row>
    <row r="1329" spans="1:6">
      <c r="A1329" s="28" t="s">
        <v>45</v>
      </c>
      <c r="B1329" s="28" t="s">
        <v>33</v>
      </c>
      <c r="C1329" s="28">
        <v>2017</v>
      </c>
      <c r="D1329" s="28" t="s">
        <v>1</v>
      </c>
      <c r="E1329" s="28" t="s">
        <v>9</v>
      </c>
      <c r="F1329" s="28">
        <v>958847</v>
      </c>
    </row>
    <row r="1330" spans="1:6">
      <c r="A1330" s="28" t="s">
        <v>45</v>
      </c>
      <c r="B1330" s="28" t="s">
        <v>33</v>
      </c>
      <c r="C1330" s="28">
        <v>2010</v>
      </c>
      <c r="D1330" s="28" t="s">
        <v>1</v>
      </c>
      <c r="E1330" s="28" t="s">
        <v>10</v>
      </c>
      <c r="F1330" s="28">
        <v>2560577.7072999999</v>
      </c>
    </row>
    <row r="1331" spans="1:6">
      <c r="A1331" s="28" t="s">
        <v>45</v>
      </c>
      <c r="B1331" s="28" t="s">
        <v>33</v>
      </c>
      <c r="C1331" s="28">
        <v>2011</v>
      </c>
      <c r="D1331" s="28" t="s">
        <v>1</v>
      </c>
      <c r="E1331" s="28" t="s">
        <v>10</v>
      </c>
      <c r="F1331" s="28">
        <v>2936026.7511999998</v>
      </c>
    </row>
    <row r="1332" spans="1:6">
      <c r="A1332" s="28" t="s">
        <v>45</v>
      </c>
      <c r="B1332" s="28" t="s">
        <v>33</v>
      </c>
      <c r="C1332" s="28">
        <v>2012</v>
      </c>
      <c r="D1332" s="28" t="s">
        <v>1</v>
      </c>
      <c r="E1332" s="28" t="s">
        <v>10</v>
      </c>
      <c r="F1332" s="28">
        <v>3005712.7647000002</v>
      </c>
    </row>
    <row r="1333" spans="1:6">
      <c r="A1333" s="28" t="s">
        <v>45</v>
      </c>
      <c r="B1333" s="28" t="s">
        <v>33</v>
      </c>
      <c r="C1333" s="28">
        <v>2013</v>
      </c>
      <c r="D1333" s="28" t="s">
        <v>1</v>
      </c>
      <c r="E1333" s="28" t="s">
        <v>10</v>
      </c>
      <c r="F1333" s="28">
        <v>3581850.9188000001</v>
      </c>
    </row>
    <row r="1334" spans="1:6">
      <c r="A1334" s="28" t="s">
        <v>45</v>
      </c>
      <c r="B1334" s="28" t="s">
        <v>33</v>
      </c>
      <c r="C1334" s="28">
        <v>2014</v>
      </c>
      <c r="D1334" s="28" t="s">
        <v>1</v>
      </c>
      <c r="E1334" s="28" t="s">
        <v>10</v>
      </c>
      <c r="F1334" s="28">
        <v>4738953</v>
      </c>
    </row>
    <row r="1335" spans="1:6">
      <c r="A1335" s="28" t="s">
        <v>45</v>
      </c>
      <c r="B1335" s="28" t="s">
        <v>33</v>
      </c>
      <c r="C1335" s="28">
        <v>2015</v>
      </c>
      <c r="D1335" s="28" t="s">
        <v>1</v>
      </c>
      <c r="E1335" s="28" t="s">
        <v>10</v>
      </c>
      <c r="F1335" s="28">
        <v>5020607</v>
      </c>
    </row>
    <row r="1336" spans="1:6">
      <c r="A1336" s="28" t="s">
        <v>45</v>
      </c>
      <c r="B1336" s="28" t="s">
        <v>33</v>
      </c>
      <c r="C1336" s="28">
        <v>2016</v>
      </c>
      <c r="D1336" s="28" t="s">
        <v>1</v>
      </c>
      <c r="E1336" s="28" t="s">
        <v>10</v>
      </c>
      <c r="F1336" s="28">
        <v>5014673</v>
      </c>
    </row>
    <row r="1337" spans="1:6">
      <c r="A1337" s="28" t="s">
        <v>45</v>
      </c>
      <c r="B1337" s="28" t="s">
        <v>33</v>
      </c>
      <c r="C1337" s="28">
        <v>2017</v>
      </c>
      <c r="D1337" s="28" t="s">
        <v>1</v>
      </c>
      <c r="E1337" s="28" t="s">
        <v>10</v>
      </c>
      <c r="F1337" s="28">
        <v>5226215</v>
      </c>
    </row>
    <row r="1338" spans="1:6">
      <c r="A1338" s="28" t="s">
        <v>45</v>
      </c>
      <c r="B1338" s="28" t="s">
        <v>33</v>
      </c>
      <c r="C1338" s="28">
        <v>2010</v>
      </c>
      <c r="D1338" s="28" t="s">
        <v>1</v>
      </c>
      <c r="E1338" s="28" t="s">
        <v>11</v>
      </c>
      <c r="F1338" s="28">
        <v>0.290524536700906</v>
      </c>
    </row>
    <row r="1339" spans="1:6">
      <c r="A1339" s="28" t="s">
        <v>45</v>
      </c>
      <c r="B1339" s="28" t="s">
        <v>33</v>
      </c>
      <c r="C1339" s="28">
        <v>2011</v>
      </c>
      <c r="D1339" s="28" t="s">
        <v>1</v>
      </c>
      <c r="E1339" s="28" t="s">
        <v>11</v>
      </c>
      <c r="F1339" s="28">
        <v>0.26017633125712802</v>
      </c>
    </row>
    <row r="1340" spans="1:6">
      <c r="A1340" s="28" t="s">
        <v>45</v>
      </c>
      <c r="B1340" s="28" t="s">
        <v>33</v>
      </c>
      <c r="C1340" s="28">
        <v>2012</v>
      </c>
      <c r="D1340" s="28" t="s">
        <v>1</v>
      </c>
      <c r="E1340" s="28" t="s">
        <v>11</v>
      </c>
      <c r="F1340" s="28">
        <v>0.25033093845050097</v>
      </c>
    </row>
    <row r="1341" spans="1:6">
      <c r="A1341" s="28" t="s">
        <v>45</v>
      </c>
      <c r="B1341" s="28" t="s">
        <v>33</v>
      </c>
      <c r="C1341" s="28">
        <v>2013</v>
      </c>
      <c r="D1341" s="28" t="s">
        <v>1</v>
      </c>
      <c r="E1341" s="28" t="s">
        <v>11</v>
      </c>
      <c r="F1341" s="28">
        <v>0.27946161788759</v>
      </c>
    </row>
    <row r="1342" spans="1:6">
      <c r="A1342" s="28" t="s">
        <v>45</v>
      </c>
      <c r="B1342" s="28" t="s">
        <v>33</v>
      </c>
      <c r="C1342" s="28">
        <v>2014</v>
      </c>
      <c r="D1342" s="28" t="s">
        <v>1</v>
      </c>
      <c r="E1342" s="28" t="s">
        <v>11</v>
      </c>
      <c r="F1342" s="28">
        <v>0.35649456747091601</v>
      </c>
    </row>
    <row r="1343" spans="1:6">
      <c r="A1343" s="28" t="s">
        <v>45</v>
      </c>
      <c r="B1343" s="28" t="s">
        <v>33</v>
      </c>
      <c r="C1343" s="28">
        <v>2015</v>
      </c>
      <c r="D1343" s="28" t="s">
        <v>1</v>
      </c>
      <c r="E1343" s="28" t="s">
        <v>11</v>
      </c>
      <c r="F1343" s="28">
        <v>0.35637782443437599</v>
      </c>
    </row>
    <row r="1344" spans="1:6">
      <c r="A1344" s="28" t="s">
        <v>45</v>
      </c>
      <c r="B1344" s="28" t="s">
        <v>33</v>
      </c>
      <c r="C1344" s="28">
        <v>2016</v>
      </c>
      <c r="D1344" s="28" t="s">
        <v>1</v>
      </c>
      <c r="E1344" s="28" t="s">
        <v>11</v>
      </c>
      <c r="F1344" s="28">
        <v>0.35635603757214102</v>
      </c>
    </row>
    <row r="1345" spans="1:6">
      <c r="A1345" s="28" t="s">
        <v>45</v>
      </c>
      <c r="B1345" s="28" t="s">
        <v>33</v>
      </c>
      <c r="C1345" s="28">
        <v>2017</v>
      </c>
      <c r="D1345" s="28" t="s">
        <v>1</v>
      </c>
      <c r="E1345" s="28" t="s">
        <v>11</v>
      </c>
      <c r="F1345" s="28">
        <v>0.332136354895465</v>
      </c>
    </row>
    <row r="1346" spans="1:6">
      <c r="A1346" s="28" t="s">
        <v>45</v>
      </c>
      <c r="B1346" s="28" t="s">
        <v>33</v>
      </c>
      <c r="C1346" s="28">
        <v>2010</v>
      </c>
      <c r="D1346" s="28" t="s">
        <v>4</v>
      </c>
      <c r="E1346" s="28" t="s">
        <v>12</v>
      </c>
      <c r="F1346" s="28">
        <v>3198733.5164000001</v>
      </c>
    </row>
    <row r="1347" spans="1:6">
      <c r="A1347" s="28" t="s">
        <v>45</v>
      </c>
      <c r="B1347" s="28" t="s">
        <v>33</v>
      </c>
      <c r="C1347" s="28">
        <v>2011</v>
      </c>
      <c r="D1347" s="28" t="s">
        <v>4</v>
      </c>
      <c r="E1347" s="28" t="s">
        <v>12</v>
      </c>
      <c r="F1347" s="28">
        <v>4303008.7649999997</v>
      </c>
    </row>
    <row r="1348" spans="1:6">
      <c r="A1348" s="28" t="s">
        <v>45</v>
      </c>
      <c r="B1348" s="28" t="s">
        <v>33</v>
      </c>
      <c r="C1348" s="28">
        <v>2012</v>
      </c>
      <c r="D1348" s="28" t="s">
        <v>4</v>
      </c>
      <c r="E1348" s="28" t="s">
        <v>12</v>
      </c>
      <c r="F1348" s="28">
        <v>4226999.0317000002</v>
      </c>
    </row>
    <row r="1349" spans="1:6">
      <c r="A1349" s="28" t="s">
        <v>45</v>
      </c>
      <c r="B1349" s="28" t="s">
        <v>33</v>
      </c>
      <c r="C1349" s="28">
        <v>2013</v>
      </c>
      <c r="D1349" s="28" t="s">
        <v>4</v>
      </c>
      <c r="E1349" s="28" t="s">
        <v>12</v>
      </c>
      <c r="F1349" s="28">
        <v>4956902.7983999997</v>
      </c>
    </row>
    <row r="1350" spans="1:6">
      <c r="A1350" s="28" t="s">
        <v>45</v>
      </c>
      <c r="B1350" s="28" t="s">
        <v>33</v>
      </c>
      <c r="C1350" s="28">
        <v>2014</v>
      </c>
      <c r="D1350" s="28" t="s">
        <v>4</v>
      </c>
      <c r="E1350" s="28" t="s">
        <v>12</v>
      </c>
      <c r="F1350" s="28">
        <v>5504856</v>
      </c>
    </row>
    <row r="1351" spans="1:6">
      <c r="A1351" s="28" t="s">
        <v>45</v>
      </c>
      <c r="B1351" s="28" t="s">
        <v>33</v>
      </c>
      <c r="C1351" s="28">
        <v>2015</v>
      </c>
      <c r="D1351" s="28" t="s">
        <v>4</v>
      </c>
      <c r="E1351" s="28" t="s">
        <v>12</v>
      </c>
      <c r="F1351" s="28">
        <v>5749050</v>
      </c>
    </row>
    <row r="1352" spans="1:6">
      <c r="A1352" s="28" t="s">
        <v>45</v>
      </c>
      <c r="B1352" s="28" t="s">
        <v>33</v>
      </c>
      <c r="C1352" s="28">
        <v>2016</v>
      </c>
      <c r="D1352" s="28" t="s">
        <v>4</v>
      </c>
      <c r="E1352" s="28" t="s">
        <v>12</v>
      </c>
      <c r="F1352" s="28">
        <v>5227045</v>
      </c>
    </row>
    <row r="1353" spans="1:6">
      <c r="A1353" s="28" t="s">
        <v>45</v>
      </c>
      <c r="B1353" s="28" t="s">
        <v>33</v>
      </c>
      <c r="C1353" s="28">
        <v>2017</v>
      </c>
      <c r="D1353" s="28" t="s">
        <v>4</v>
      </c>
      <c r="E1353" s="28" t="s">
        <v>12</v>
      </c>
      <c r="F1353" s="28">
        <v>5936705</v>
      </c>
    </row>
    <row r="1354" spans="1:6">
      <c r="A1354" s="28" t="s">
        <v>45</v>
      </c>
      <c r="B1354" s="28" t="s">
        <v>33</v>
      </c>
      <c r="C1354" s="28">
        <v>2010</v>
      </c>
      <c r="D1354" s="28" t="s">
        <v>4</v>
      </c>
      <c r="E1354" s="28" t="s">
        <v>13</v>
      </c>
      <c r="F1354" s="28">
        <v>274474.96139999997</v>
      </c>
    </row>
    <row r="1355" spans="1:6">
      <c r="A1355" s="28" t="s">
        <v>45</v>
      </c>
      <c r="B1355" s="28" t="s">
        <v>33</v>
      </c>
      <c r="C1355" s="28">
        <v>2011</v>
      </c>
      <c r="D1355" s="28" t="s">
        <v>4</v>
      </c>
      <c r="E1355" s="28" t="s">
        <v>13</v>
      </c>
      <c r="F1355" s="28">
        <v>333455.00770000002</v>
      </c>
    </row>
    <row r="1356" spans="1:6">
      <c r="A1356" s="28" t="s">
        <v>45</v>
      </c>
      <c r="B1356" s="28" t="s">
        <v>33</v>
      </c>
      <c r="C1356" s="28">
        <v>2012</v>
      </c>
      <c r="D1356" s="28" t="s">
        <v>4</v>
      </c>
      <c r="E1356" s="28" t="s">
        <v>13</v>
      </c>
      <c r="F1356" s="28">
        <v>334221.19079999998</v>
      </c>
    </row>
    <row r="1357" spans="1:6">
      <c r="A1357" s="28" t="s">
        <v>45</v>
      </c>
      <c r="B1357" s="28" t="s">
        <v>33</v>
      </c>
      <c r="C1357" s="28">
        <v>2013</v>
      </c>
      <c r="D1357" s="28" t="s">
        <v>4</v>
      </c>
      <c r="E1357" s="28" t="s">
        <v>13</v>
      </c>
      <c r="F1357" s="28">
        <v>256335.0944</v>
      </c>
    </row>
    <row r="1358" spans="1:6">
      <c r="A1358" s="28" t="s">
        <v>45</v>
      </c>
      <c r="B1358" s="28" t="s">
        <v>33</v>
      </c>
      <c r="C1358" s="28">
        <v>2014</v>
      </c>
      <c r="D1358" s="28" t="s">
        <v>4</v>
      </c>
      <c r="E1358" s="28" t="s">
        <v>13</v>
      </c>
      <c r="F1358" s="28">
        <v>488519</v>
      </c>
    </row>
    <row r="1359" spans="1:6">
      <c r="A1359" s="28" t="s">
        <v>45</v>
      </c>
      <c r="B1359" s="28" t="s">
        <v>33</v>
      </c>
      <c r="C1359" s="28">
        <v>2015</v>
      </c>
      <c r="D1359" s="28" t="s">
        <v>4</v>
      </c>
      <c r="E1359" s="28" t="s">
        <v>13</v>
      </c>
      <c r="F1359" s="28">
        <v>301831</v>
      </c>
    </row>
    <row r="1360" spans="1:6">
      <c r="A1360" s="28" t="s">
        <v>45</v>
      </c>
      <c r="B1360" s="28" t="s">
        <v>33</v>
      </c>
      <c r="C1360" s="28">
        <v>2016</v>
      </c>
      <c r="D1360" s="28" t="s">
        <v>4</v>
      </c>
      <c r="E1360" s="28" t="s">
        <v>13</v>
      </c>
      <c r="F1360" s="28">
        <v>206794</v>
      </c>
    </row>
    <row r="1361" spans="1:6">
      <c r="A1361" s="28" t="s">
        <v>45</v>
      </c>
      <c r="B1361" s="28" t="s">
        <v>33</v>
      </c>
      <c r="C1361" s="28">
        <v>2017</v>
      </c>
      <c r="D1361" s="28" t="s">
        <v>4</v>
      </c>
      <c r="E1361" s="28" t="s">
        <v>13</v>
      </c>
      <c r="F1361" s="28">
        <v>418805</v>
      </c>
    </row>
    <row r="1362" spans="1:6">
      <c r="A1362" s="28" t="s">
        <v>45</v>
      </c>
      <c r="B1362" s="28" t="s">
        <v>33</v>
      </c>
      <c r="C1362" s="28">
        <v>2010</v>
      </c>
      <c r="D1362" s="28" t="s">
        <v>4</v>
      </c>
      <c r="E1362" s="28" t="s">
        <v>14</v>
      </c>
      <c r="F1362" s="28">
        <v>104956</v>
      </c>
    </row>
    <row r="1363" spans="1:6">
      <c r="A1363" s="28" t="s">
        <v>45</v>
      </c>
      <c r="B1363" s="28" t="s">
        <v>33</v>
      </c>
      <c r="C1363" s="28">
        <v>2011</v>
      </c>
      <c r="D1363" s="28" t="s">
        <v>4</v>
      </c>
      <c r="E1363" s="28" t="s">
        <v>14</v>
      </c>
      <c r="F1363" s="28">
        <v>133650</v>
      </c>
    </row>
    <row r="1364" spans="1:6">
      <c r="A1364" s="28" t="s">
        <v>45</v>
      </c>
      <c r="B1364" s="28" t="s">
        <v>33</v>
      </c>
      <c r="C1364" s="28">
        <v>2012</v>
      </c>
      <c r="D1364" s="28" t="s">
        <v>4</v>
      </c>
      <c r="E1364" s="28" t="s">
        <v>14</v>
      </c>
      <c r="F1364" s="28">
        <v>139171</v>
      </c>
    </row>
    <row r="1365" spans="1:6">
      <c r="A1365" s="28" t="s">
        <v>45</v>
      </c>
      <c r="B1365" s="28" t="s">
        <v>33</v>
      </c>
      <c r="C1365" s="28">
        <v>2013</v>
      </c>
      <c r="D1365" s="28" t="s">
        <v>4</v>
      </c>
      <c r="E1365" s="28" t="s">
        <v>14</v>
      </c>
      <c r="F1365" s="28">
        <v>151452</v>
      </c>
    </row>
    <row r="1366" spans="1:6">
      <c r="A1366" s="28" t="s">
        <v>45</v>
      </c>
      <c r="B1366" s="28" t="s">
        <v>33</v>
      </c>
      <c r="C1366" s="28">
        <v>2014</v>
      </c>
      <c r="D1366" s="28" t="s">
        <v>4</v>
      </c>
      <c r="E1366" s="28" t="s">
        <v>14</v>
      </c>
      <c r="F1366" s="28">
        <v>97849.494475491694</v>
      </c>
    </row>
    <row r="1367" spans="1:6">
      <c r="A1367" s="28" t="s">
        <v>45</v>
      </c>
      <c r="B1367" s="28" t="s">
        <v>33</v>
      </c>
      <c r="C1367" s="28">
        <v>2015</v>
      </c>
      <c r="D1367" s="28" t="s">
        <v>4</v>
      </c>
      <c r="E1367" s="28" t="s">
        <v>14</v>
      </c>
      <c r="F1367" s="28">
        <v>78880.859243688799</v>
      </c>
    </row>
    <row r="1368" spans="1:6">
      <c r="A1368" s="28" t="s">
        <v>45</v>
      </c>
      <c r="B1368" s="28" t="s">
        <v>33</v>
      </c>
      <c r="C1368" s="28">
        <v>2016</v>
      </c>
      <c r="D1368" s="28" t="s">
        <v>4</v>
      </c>
      <c r="E1368" s="28" t="s">
        <v>14</v>
      </c>
      <c r="F1368" s="28">
        <v>86173.9554774477</v>
      </c>
    </row>
    <row r="1369" spans="1:6">
      <c r="A1369" s="28" t="s">
        <v>45</v>
      </c>
      <c r="B1369" s="28" t="s">
        <v>33</v>
      </c>
      <c r="C1369" s="28">
        <v>2017</v>
      </c>
      <c r="D1369" s="28" t="s">
        <v>4</v>
      </c>
      <c r="E1369" s="28" t="s">
        <v>14</v>
      </c>
      <c r="F1369" s="28">
        <v>103067.43726584299</v>
      </c>
    </row>
    <row r="1370" spans="1:6">
      <c r="A1370" s="28" t="s">
        <v>45</v>
      </c>
      <c r="B1370" s="28" t="s">
        <v>33</v>
      </c>
      <c r="C1370" s="28">
        <v>2010</v>
      </c>
      <c r="D1370" s="28" t="s">
        <v>4</v>
      </c>
      <c r="E1370" s="28" t="s">
        <v>15</v>
      </c>
      <c r="F1370" s="28">
        <v>9006</v>
      </c>
    </row>
    <row r="1371" spans="1:6">
      <c r="A1371" s="28" t="s">
        <v>45</v>
      </c>
      <c r="B1371" s="28" t="s">
        <v>33</v>
      </c>
      <c r="C1371" s="28">
        <v>2011</v>
      </c>
      <c r="D1371" s="28" t="s">
        <v>4</v>
      </c>
      <c r="E1371" s="28" t="s">
        <v>15</v>
      </c>
      <c r="F1371" s="28">
        <v>10357</v>
      </c>
    </row>
    <row r="1372" spans="1:6">
      <c r="A1372" s="28" t="s">
        <v>45</v>
      </c>
      <c r="B1372" s="28" t="s">
        <v>33</v>
      </c>
      <c r="C1372" s="28">
        <v>2012</v>
      </c>
      <c r="D1372" s="28" t="s">
        <v>4</v>
      </c>
      <c r="E1372" s="28" t="s">
        <v>15</v>
      </c>
      <c r="F1372" s="28">
        <v>11004</v>
      </c>
    </row>
    <row r="1373" spans="1:6">
      <c r="A1373" s="28" t="s">
        <v>45</v>
      </c>
      <c r="B1373" s="28" t="s">
        <v>33</v>
      </c>
      <c r="C1373" s="28">
        <v>2013</v>
      </c>
      <c r="D1373" s="28" t="s">
        <v>4</v>
      </c>
      <c r="E1373" s="28" t="s">
        <v>15</v>
      </c>
      <c r="F1373" s="28">
        <v>7832</v>
      </c>
    </row>
    <row r="1374" spans="1:6">
      <c r="A1374" s="28" t="s">
        <v>45</v>
      </c>
      <c r="B1374" s="28" t="s">
        <v>33</v>
      </c>
      <c r="C1374" s="28">
        <v>2014</v>
      </c>
      <c r="D1374" s="28" t="s">
        <v>4</v>
      </c>
      <c r="E1374" s="28" t="s">
        <v>15</v>
      </c>
      <c r="F1374" s="28">
        <v>8683.4854883892895</v>
      </c>
    </row>
    <row r="1375" spans="1:6">
      <c r="A1375" s="28" t="s">
        <v>45</v>
      </c>
      <c r="B1375" s="28" t="s">
        <v>33</v>
      </c>
      <c r="C1375" s="28">
        <v>2015</v>
      </c>
      <c r="D1375" s="28" t="s">
        <v>4</v>
      </c>
      <c r="E1375" s="28" t="s">
        <v>15</v>
      </c>
      <c r="F1375" s="28">
        <v>4141.3257192722003</v>
      </c>
    </row>
    <row r="1376" spans="1:6">
      <c r="A1376" s="28" t="s">
        <v>45</v>
      </c>
      <c r="B1376" s="28" t="s">
        <v>33</v>
      </c>
      <c r="C1376" s="28">
        <v>2016</v>
      </c>
      <c r="D1376" s="28" t="s">
        <v>4</v>
      </c>
      <c r="E1376" s="28" t="s">
        <v>15</v>
      </c>
      <c r="F1376" s="28">
        <v>3409.24115805457</v>
      </c>
    </row>
    <row r="1377" spans="1:6">
      <c r="A1377" s="28" t="s">
        <v>45</v>
      </c>
      <c r="B1377" s="28" t="s">
        <v>33</v>
      </c>
      <c r="C1377" s="28">
        <v>2017</v>
      </c>
      <c r="D1377" s="28" t="s">
        <v>4</v>
      </c>
      <c r="E1377" s="28" t="s">
        <v>15</v>
      </c>
      <c r="F1377" s="28">
        <v>7270.8948927260699</v>
      </c>
    </row>
    <row r="1378" spans="1:6">
      <c r="A1378" s="28" t="s">
        <v>45</v>
      </c>
      <c r="B1378" s="28" t="s">
        <v>33</v>
      </c>
      <c r="C1378" s="28">
        <v>2010</v>
      </c>
      <c r="D1378" s="28" t="s">
        <v>7</v>
      </c>
      <c r="E1378" s="28" t="s">
        <v>16</v>
      </c>
      <c r="F1378" s="28">
        <v>351185.3187</v>
      </c>
    </row>
    <row r="1379" spans="1:6">
      <c r="A1379" s="28" t="s">
        <v>45</v>
      </c>
      <c r="B1379" s="28" t="s">
        <v>33</v>
      </c>
      <c r="C1379" s="28">
        <v>2011</v>
      </c>
      <c r="D1379" s="28" t="s">
        <v>7</v>
      </c>
      <c r="E1379" s="28" t="s">
        <v>16</v>
      </c>
      <c r="F1379" s="28">
        <v>445980.37719999999</v>
      </c>
    </row>
    <row r="1380" spans="1:6">
      <c r="A1380" s="28" t="s">
        <v>45</v>
      </c>
      <c r="B1380" s="28" t="s">
        <v>33</v>
      </c>
      <c r="C1380" s="28">
        <v>2012</v>
      </c>
      <c r="D1380" s="28" t="s">
        <v>7</v>
      </c>
      <c r="E1380" s="28" t="s">
        <v>16</v>
      </c>
      <c r="F1380" s="28">
        <v>417169.03450000001</v>
      </c>
    </row>
    <row r="1381" spans="1:6">
      <c r="A1381" s="28" t="s">
        <v>45</v>
      </c>
      <c r="B1381" s="28" t="s">
        <v>33</v>
      </c>
      <c r="C1381" s="28">
        <v>2013</v>
      </c>
      <c r="D1381" s="28" t="s">
        <v>7</v>
      </c>
      <c r="E1381" s="28" t="s">
        <v>16</v>
      </c>
      <c r="F1381" s="28">
        <v>479646.42599999998</v>
      </c>
    </row>
    <row r="1382" spans="1:6">
      <c r="A1382" s="28" t="s">
        <v>45</v>
      </c>
      <c r="B1382" s="28" t="s">
        <v>33</v>
      </c>
      <c r="C1382" s="28">
        <v>2014</v>
      </c>
      <c r="D1382" s="28" t="s">
        <v>7</v>
      </c>
      <c r="E1382" s="28" t="s">
        <v>16</v>
      </c>
      <c r="F1382" s="28">
        <v>664977</v>
      </c>
    </row>
    <row r="1383" spans="1:6">
      <c r="A1383" s="28" t="s">
        <v>45</v>
      </c>
      <c r="B1383" s="28" t="s">
        <v>33</v>
      </c>
      <c r="C1383" s="28">
        <v>2015</v>
      </c>
      <c r="D1383" s="28" t="s">
        <v>7</v>
      </c>
      <c r="E1383" s="28" t="s">
        <v>16</v>
      </c>
      <c r="F1383" s="28">
        <v>738804</v>
      </c>
    </row>
    <row r="1384" spans="1:6">
      <c r="A1384" s="28" t="s">
        <v>45</v>
      </c>
      <c r="B1384" s="28" t="s">
        <v>33</v>
      </c>
      <c r="C1384" s="28">
        <v>2016</v>
      </c>
      <c r="D1384" s="28" t="s">
        <v>7</v>
      </c>
      <c r="E1384" s="28" t="s">
        <v>16</v>
      </c>
      <c r="F1384" s="28">
        <v>652291</v>
      </c>
    </row>
    <row r="1385" spans="1:6">
      <c r="A1385" s="28" t="s">
        <v>45</v>
      </c>
      <c r="B1385" s="28" t="s">
        <v>33</v>
      </c>
      <c r="C1385" s="28">
        <v>2017</v>
      </c>
      <c r="D1385" s="28" t="s">
        <v>7</v>
      </c>
      <c r="E1385" s="28" t="s">
        <v>16</v>
      </c>
      <c r="F1385" s="28">
        <v>745601</v>
      </c>
    </row>
    <row r="1386" spans="1:6">
      <c r="A1386" s="28" t="s">
        <v>45</v>
      </c>
      <c r="B1386" s="28" t="s">
        <v>33</v>
      </c>
      <c r="C1386" s="28">
        <v>2010</v>
      </c>
      <c r="D1386" s="28" t="s">
        <v>7</v>
      </c>
      <c r="E1386" s="28" t="s">
        <v>17</v>
      </c>
      <c r="F1386" s="28">
        <v>11523</v>
      </c>
    </row>
    <row r="1387" spans="1:6">
      <c r="A1387" s="28" t="s">
        <v>45</v>
      </c>
      <c r="B1387" s="28" t="s">
        <v>33</v>
      </c>
      <c r="C1387" s="28">
        <v>2011</v>
      </c>
      <c r="D1387" s="28" t="s">
        <v>7</v>
      </c>
      <c r="E1387" s="28" t="s">
        <v>17</v>
      </c>
      <c r="F1387" s="28">
        <v>13852</v>
      </c>
    </row>
    <row r="1388" spans="1:6">
      <c r="A1388" s="28" t="s">
        <v>45</v>
      </c>
      <c r="B1388" s="28" t="s">
        <v>33</v>
      </c>
      <c r="C1388" s="28">
        <v>2012</v>
      </c>
      <c r="D1388" s="28" t="s">
        <v>7</v>
      </c>
      <c r="E1388" s="28" t="s">
        <v>17</v>
      </c>
      <c r="F1388" s="28">
        <v>13735</v>
      </c>
    </row>
    <row r="1389" spans="1:6">
      <c r="A1389" s="28" t="s">
        <v>45</v>
      </c>
      <c r="B1389" s="28" t="s">
        <v>33</v>
      </c>
      <c r="C1389" s="28">
        <v>2013</v>
      </c>
      <c r="D1389" s="28" t="s">
        <v>7</v>
      </c>
      <c r="E1389" s="28" t="s">
        <v>17</v>
      </c>
      <c r="F1389" s="28">
        <v>14655</v>
      </c>
    </row>
    <row r="1390" spans="1:6">
      <c r="A1390" s="28" t="s">
        <v>45</v>
      </c>
      <c r="B1390" s="28" t="s">
        <v>33</v>
      </c>
      <c r="C1390" s="28">
        <v>2014</v>
      </c>
      <c r="D1390" s="28" t="s">
        <v>7</v>
      </c>
      <c r="E1390" s="28" t="s">
        <v>17</v>
      </c>
      <c r="F1390" s="28">
        <v>11820.048206134599</v>
      </c>
    </row>
    <row r="1391" spans="1:6">
      <c r="A1391" s="28" t="s">
        <v>45</v>
      </c>
      <c r="B1391" s="28" t="s">
        <v>33</v>
      </c>
      <c r="C1391" s="28">
        <v>2015</v>
      </c>
      <c r="D1391" s="28" t="s">
        <v>7</v>
      </c>
      <c r="E1391" s="28" t="s">
        <v>17</v>
      </c>
      <c r="F1391" s="28">
        <v>10136.891196401901</v>
      </c>
    </row>
    <row r="1392" spans="1:6">
      <c r="A1392" s="28" t="s">
        <v>45</v>
      </c>
      <c r="B1392" s="28" t="s">
        <v>33</v>
      </c>
      <c r="C1392" s="28">
        <v>2016</v>
      </c>
      <c r="D1392" s="28" t="s">
        <v>7</v>
      </c>
      <c r="E1392" s="28" t="s">
        <v>17</v>
      </c>
      <c r="F1392" s="28">
        <v>10753.780691067301</v>
      </c>
    </row>
    <row r="1393" spans="1:6">
      <c r="A1393" s="28" t="s">
        <v>45</v>
      </c>
      <c r="B1393" s="28" t="s">
        <v>33</v>
      </c>
      <c r="C1393" s="28">
        <v>2017</v>
      </c>
      <c r="D1393" s="28" t="s">
        <v>7</v>
      </c>
      <c r="E1393" s="28" t="s">
        <v>17</v>
      </c>
      <c r="F1393" s="28">
        <v>12944.416859663699</v>
      </c>
    </row>
    <row r="1394" spans="1:6">
      <c r="A1394" s="28" t="s">
        <v>45</v>
      </c>
      <c r="B1394" s="28" t="s">
        <v>33</v>
      </c>
      <c r="C1394" s="28">
        <v>2010</v>
      </c>
      <c r="D1394" s="28" t="s">
        <v>20</v>
      </c>
      <c r="E1394" s="28" t="s">
        <v>18</v>
      </c>
      <c r="F1394" s="28">
        <v>781.35500000000002</v>
      </c>
    </row>
    <row r="1395" spans="1:6">
      <c r="A1395" s="28" t="s">
        <v>45</v>
      </c>
      <c r="B1395" s="28" t="s">
        <v>33</v>
      </c>
      <c r="C1395" s="28">
        <v>2011</v>
      </c>
      <c r="D1395" s="28" t="s">
        <v>20</v>
      </c>
      <c r="E1395" s="28" t="s">
        <v>18</v>
      </c>
      <c r="F1395" s="28">
        <v>774.46199999999999</v>
      </c>
    </row>
    <row r="1396" spans="1:6">
      <c r="A1396" s="28" t="s">
        <v>45</v>
      </c>
      <c r="B1396" s="28" t="s">
        <v>33</v>
      </c>
      <c r="C1396" s="28">
        <v>2012</v>
      </c>
      <c r="D1396" s="28" t="s">
        <v>20</v>
      </c>
      <c r="E1396" s="28" t="s">
        <v>18</v>
      </c>
      <c r="F1396" s="28">
        <v>754.86599999999999</v>
      </c>
    </row>
    <row r="1397" spans="1:6">
      <c r="A1397" s="28" t="s">
        <v>45</v>
      </c>
      <c r="B1397" s="28" t="s">
        <v>33</v>
      </c>
      <c r="C1397" s="28">
        <v>2013</v>
      </c>
      <c r="D1397" s="28" t="s">
        <v>20</v>
      </c>
      <c r="E1397" s="28" t="s">
        <v>18</v>
      </c>
      <c r="F1397" s="28">
        <v>754.86599999999999</v>
      </c>
    </row>
    <row r="1398" spans="1:6">
      <c r="A1398" s="28" t="s">
        <v>45</v>
      </c>
      <c r="B1398" s="28" t="s">
        <v>33</v>
      </c>
      <c r="C1398" s="28">
        <v>2014</v>
      </c>
      <c r="D1398" s="28" t="s">
        <v>20</v>
      </c>
      <c r="E1398" s="28" t="s">
        <v>18</v>
      </c>
      <c r="F1398" s="28">
        <v>734.55</v>
      </c>
    </row>
    <row r="1399" spans="1:6">
      <c r="A1399" s="28" t="s">
        <v>45</v>
      </c>
      <c r="B1399" s="28" t="s">
        <v>33</v>
      </c>
      <c r="C1399" s="28">
        <v>2015</v>
      </c>
      <c r="D1399" s="28" t="s">
        <v>20</v>
      </c>
      <c r="E1399" s="28" t="s">
        <v>18</v>
      </c>
      <c r="F1399" s="28">
        <v>722.82299999999998</v>
      </c>
    </row>
    <row r="1400" spans="1:6">
      <c r="A1400" s="28" t="s">
        <v>45</v>
      </c>
      <c r="B1400" s="28" t="s">
        <v>33</v>
      </c>
      <c r="C1400" s="28">
        <v>2016</v>
      </c>
      <c r="D1400" s="28" t="s">
        <v>20</v>
      </c>
      <c r="E1400" s="28" t="s">
        <v>18</v>
      </c>
      <c r="F1400" s="28">
        <v>712.93299999999999</v>
      </c>
    </row>
    <row r="1401" spans="1:6">
      <c r="A1401" s="28" t="s">
        <v>45</v>
      </c>
      <c r="B1401" s="28" t="s">
        <v>33</v>
      </c>
      <c r="C1401" s="28">
        <v>2017</v>
      </c>
      <c r="D1401" s="28" t="s">
        <v>20</v>
      </c>
      <c r="E1401" s="28" t="s">
        <v>18</v>
      </c>
      <c r="F1401" s="28">
        <v>709.66300000000001</v>
      </c>
    </row>
    <row r="1402" spans="1:6">
      <c r="A1402" s="28" t="s">
        <v>45</v>
      </c>
      <c r="B1402" s="28" t="s">
        <v>33</v>
      </c>
      <c r="C1402" s="28">
        <v>2010</v>
      </c>
      <c r="D1402" s="28" t="s">
        <v>20</v>
      </c>
      <c r="E1402" s="28" t="s">
        <v>19</v>
      </c>
      <c r="F1402" s="28">
        <v>1742</v>
      </c>
    </row>
    <row r="1403" spans="1:6">
      <c r="A1403" s="28" t="s">
        <v>45</v>
      </c>
      <c r="B1403" s="28" t="s">
        <v>33</v>
      </c>
      <c r="C1403" s="28">
        <v>2011</v>
      </c>
      <c r="D1403" s="28" t="s">
        <v>20</v>
      </c>
      <c r="E1403" s="28" t="s">
        <v>19</v>
      </c>
      <c r="F1403" s="28">
        <v>1702.5</v>
      </c>
    </row>
    <row r="1404" spans="1:6">
      <c r="A1404" s="28" t="s">
        <v>45</v>
      </c>
      <c r="B1404" s="28" t="s">
        <v>33</v>
      </c>
      <c r="C1404" s="28">
        <v>2012</v>
      </c>
      <c r="D1404" s="28" t="s">
        <v>20</v>
      </c>
      <c r="E1404" s="28" t="s">
        <v>19</v>
      </c>
      <c r="F1404" s="28">
        <v>2000</v>
      </c>
    </row>
    <row r="1405" spans="1:6">
      <c r="A1405" s="28" t="s">
        <v>45</v>
      </c>
      <c r="B1405" s="28" t="s">
        <v>33</v>
      </c>
      <c r="C1405" s="28">
        <v>2013</v>
      </c>
      <c r="D1405" s="28" t="s">
        <v>20</v>
      </c>
      <c r="E1405" s="28" t="s">
        <v>19</v>
      </c>
      <c r="F1405" s="28">
        <v>2040</v>
      </c>
    </row>
    <row r="1406" spans="1:6">
      <c r="A1406" s="28" t="s">
        <v>45</v>
      </c>
      <c r="B1406" s="28" t="s">
        <v>33</v>
      </c>
      <c r="C1406" s="28">
        <v>2014</v>
      </c>
      <c r="D1406" s="28" t="s">
        <v>20</v>
      </c>
      <c r="E1406" s="28" t="s">
        <v>19</v>
      </c>
      <c r="F1406" s="28">
        <v>2225</v>
      </c>
    </row>
    <row r="1407" spans="1:6">
      <c r="A1407" s="28" t="s">
        <v>45</v>
      </c>
      <c r="B1407" s="28" t="s">
        <v>33</v>
      </c>
      <c r="C1407" s="28">
        <v>2015</v>
      </c>
      <c r="D1407" s="28" t="s">
        <v>20</v>
      </c>
      <c r="E1407" s="28" t="s">
        <v>19</v>
      </c>
      <c r="F1407" s="28">
        <v>2346</v>
      </c>
    </row>
    <row r="1408" spans="1:6">
      <c r="A1408" s="28" t="s">
        <v>45</v>
      </c>
      <c r="B1408" s="28" t="s">
        <v>33</v>
      </c>
      <c r="C1408" s="28">
        <v>2016</v>
      </c>
      <c r="D1408" s="28" t="s">
        <v>20</v>
      </c>
      <c r="E1408" s="28" t="s">
        <v>19</v>
      </c>
      <c r="F1408" s="28">
        <v>3449</v>
      </c>
    </row>
    <row r="1409" spans="1:6">
      <c r="A1409" s="28" t="s">
        <v>45</v>
      </c>
      <c r="B1409" s="28" t="s">
        <v>33</v>
      </c>
      <c r="C1409" s="28">
        <v>2017</v>
      </c>
      <c r="D1409" s="28" t="s">
        <v>20</v>
      </c>
      <c r="E1409" s="28" t="s">
        <v>19</v>
      </c>
      <c r="F1409" s="28">
        <v>3334.5</v>
      </c>
    </row>
    <row r="1410" spans="1:6">
      <c r="A1410" s="28" t="s">
        <v>46</v>
      </c>
      <c r="B1410" s="28" t="s">
        <v>33</v>
      </c>
      <c r="C1410" s="28">
        <v>2010</v>
      </c>
      <c r="D1410" s="28" t="s">
        <v>1</v>
      </c>
      <c r="E1410" s="28" t="s">
        <v>2</v>
      </c>
      <c r="F1410" s="28">
        <v>255608</v>
      </c>
    </row>
    <row r="1411" spans="1:6">
      <c r="A1411" s="28" t="s">
        <v>46</v>
      </c>
      <c r="B1411" s="28" t="s">
        <v>33</v>
      </c>
      <c r="C1411" s="28">
        <v>2011</v>
      </c>
      <c r="D1411" s="28" t="s">
        <v>1</v>
      </c>
      <c r="E1411" s="28" t="s">
        <v>2</v>
      </c>
      <c r="F1411" s="28">
        <v>325116</v>
      </c>
    </row>
    <row r="1412" spans="1:6">
      <c r="A1412" s="28" t="s">
        <v>46</v>
      </c>
      <c r="B1412" s="28" t="s">
        <v>33</v>
      </c>
      <c r="C1412" s="28">
        <v>2012</v>
      </c>
      <c r="D1412" s="28" t="s">
        <v>1</v>
      </c>
      <c r="E1412" s="28" t="s">
        <v>2</v>
      </c>
      <c r="F1412" s="28">
        <v>404890</v>
      </c>
    </row>
    <row r="1413" spans="1:6">
      <c r="A1413" s="28" t="s">
        <v>46</v>
      </c>
      <c r="B1413" s="28" t="s">
        <v>33</v>
      </c>
      <c r="C1413" s="28">
        <v>2013</v>
      </c>
      <c r="D1413" s="28" t="s">
        <v>1</v>
      </c>
      <c r="E1413" s="28" t="s">
        <v>2</v>
      </c>
      <c r="F1413" s="28">
        <v>515569</v>
      </c>
    </row>
    <row r="1414" spans="1:6">
      <c r="A1414" s="28" t="s">
        <v>46</v>
      </c>
      <c r="B1414" s="28" t="s">
        <v>33</v>
      </c>
      <c r="C1414" s="28">
        <v>2014</v>
      </c>
      <c r="D1414" s="28" t="s">
        <v>1</v>
      </c>
      <c r="E1414" s="28" t="s">
        <v>2</v>
      </c>
      <c r="F1414" s="28">
        <v>572548</v>
      </c>
    </row>
    <row r="1415" spans="1:6">
      <c r="A1415" s="28" t="s">
        <v>46</v>
      </c>
      <c r="B1415" s="28" t="s">
        <v>33</v>
      </c>
      <c r="C1415" s="28">
        <v>2015</v>
      </c>
      <c r="D1415" s="28" t="s">
        <v>1</v>
      </c>
      <c r="E1415" s="28" t="s">
        <v>2</v>
      </c>
      <c r="F1415" s="28">
        <v>751552</v>
      </c>
    </row>
    <row r="1416" spans="1:6">
      <c r="A1416" s="28" t="s">
        <v>46</v>
      </c>
      <c r="B1416" s="28" t="s">
        <v>33</v>
      </c>
      <c r="C1416" s="28">
        <v>2016</v>
      </c>
      <c r="D1416" s="28" t="s">
        <v>1</v>
      </c>
      <c r="E1416" s="28" t="s">
        <v>2</v>
      </c>
      <c r="F1416" s="28">
        <v>831074</v>
      </c>
    </row>
    <row r="1417" spans="1:6">
      <c r="A1417" s="28" t="s">
        <v>46</v>
      </c>
      <c r="B1417" s="28" t="s">
        <v>33</v>
      </c>
      <c r="C1417" s="28">
        <v>2017</v>
      </c>
      <c r="D1417" s="28" t="s">
        <v>1</v>
      </c>
      <c r="E1417" s="28" t="s">
        <v>2</v>
      </c>
      <c r="F1417" s="28">
        <v>890726</v>
      </c>
    </row>
    <row r="1418" spans="1:6">
      <c r="A1418" s="28" t="s">
        <v>46</v>
      </c>
      <c r="B1418" s="28" t="s">
        <v>33</v>
      </c>
      <c r="C1418" s="28">
        <v>2010</v>
      </c>
      <c r="D1418" s="28" t="s">
        <v>1</v>
      </c>
      <c r="E1418" s="28" t="s">
        <v>3</v>
      </c>
      <c r="F1418" s="28">
        <v>29565</v>
      </c>
    </row>
    <row r="1419" spans="1:6">
      <c r="A1419" s="28" t="s">
        <v>46</v>
      </c>
      <c r="B1419" s="28" t="s">
        <v>33</v>
      </c>
      <c r="C1419" s="28">
        <v>2011</v>
      </c>
      <c r="D1419" s="28" t="s">
        <v>1</v>
      </c>
      <c r="E1419" s="28" t="s">
        <v>3</v>
      </c>
      <c r="F1419" s="28">
        <v>58316</v>
      </c>
    </row>
    <row r="1420" spans="1:6">
      <c r="A1420" s="28" t="s">
        <v>46</v>
      </c>
      <c r="B1420" s="28" t="s">
        <v>33</v>
      </c>
      <c r="C1420" s="28">
        <v>2012</v>
      </c>
      <c r="D1420" s="28" t="s">
        <v>1</v>
      </c>
      <c r="E1420" s="28" t="s">
        <v>3</v>
      </c>
      <c r="F1420" s="28">
        <v>58243</v>
      </c>
    </row>
    <row r="1421" spans="1:6">
      <c r="A1421" s="28" t="s">
        <v>46</v>
      </c>
      <c r="B1421" s="28" t="s">
        <v>33</v>
      </c>
      <c r="C1421" s="28">
        <v>2013</v>
      </c>
      <c r="D1421" s="28" t="s">
        <v>1</v>
      </c>
      <c r="E1421" s="28" t="s">
        <v>3</v>
      </c>
      <c r="F1421" s="28">
        <v>82426</v>
      </c>
    </row>
    <row r="1422" spans="1:6">
      <c r="A1422" s="28" t="s">
        <v>46</v>
      </c>
      <c r="B1422" s="28" t="s">
        <v>33</v>
      </c>
      <c r="C1422" s="28">
        <v>2014</v>
      </c>
      <c r="D1422" s="28" t="s">
        <v>1</v>
      </c>
      <c r="E1422" s="28" t="s">
        <v>3</v>
      </c>
      <c r="F1422" s="28">
        <v>126591</v>
      </c>
    </row>
    <row r="1423" spans="1:6">
      <c r="A1423" s="28" t="s">
        <v>46</v>
      </c>
      <c r="B1423" s="28" t="s">
        <v>33</v>
      </c>
      <c r="C1423" s="28">
        <v>2015</v>
      </c>
      <c r="D1423" s="28" t="s">
        <v>1</v>
      </c>
      <c r="E1423" s="28" t="s">
        <v>3</v>
      </c>
      <c r="F1423" s="28">
        <v>128472</v>
      </c>
    </row>
    <row r="1424" spans="1:6">
      <c r="A1424" s="28" t="s">
        <v>46</v>
      </c>
      <c r="B1424" s="28" t="s">
        <v>33</v>
      </c>
      <c r="C1424" s="28">
        <v>2016</v>
      </c>
      <c r="D1424" s="28" t="s">
        <v>1</v>
      </c>
      <c r="E1424" s="28" t="s">
        <v>3</v>
      </c>
      <c r="F1424" s="28">
        <v>132760</v>
      </c>
    </row>
    <row r="1425" spans="1:6">
      <c r="A1425" s="28" t="s">
        <v>46</v>
      </c>
      <c r="B1425" s="28" t="s">
        <v>33</v>
      </c>
      <c r="C1425" s="28">
        <v>2017</v>
      </c>
      <c r="D1425" s="28" t="s">
        <v>1</v>
      </c>
      <c r="E1425" s="28" t="s">
        <v>3</v>
      </c>
      <c r="F1425" s="28">
        <v>153436</v>
      </c>
    </row>
    <row r="1426" spans="1:6">
      <c r="A1426" s="28" t="s">
        <v>46</v>
      </c>
      <c r="B1426" s="28" t="s">
        <v>33</v>
      </c>
      <c r="C1426" s="28">
        <v>2010</v>
      </c>
      <c r="D1426" s="28" t="s">
        <v>1</v>
      </c>
      <c r="E1426" s="28" t="s">
        <v>5</v>
      </c>
      <c r="F1426" s="28">
        <v>285173</v>
      </c>
    </row>
    <row r="1427" spans="1:6">
      <c r="A1427" s="28" t="s">
        <v>46</v>
      </c>
      <c r="B1427" s="28" t="s">
        <v>33</v>
      </c>
      <c r="C1427" s="28">
        <v>2011</v>
      </c>
      <c r="D1427" s="28" t="s">
        <v>1</v>
      </c>
      <c r="E1427" s="28" t="s">
        <v>5</v>
      </c>
      <c r="F1427" s="28">
        <v>383432</v>
      </c>
    </row>
    <row r="1428" spans="1:6">
      <c r="A1428" s="28" t="s">
        <v>46</v>
      </c>
      <c r="B1428" s="28" t="s">
        <v>33</v>
      </c>
      <c r="C1428" s="28">
        <v>2012</v>
      </c>
      <c r="D1428" s="28" t="s">
        <v>1</v>
      </c>
      <c r="E1428" s="28" t="s">
        <v>5</v>
      </c>
      <c r="F1428" s="28">
        <v>463133</v>
      </c>
    </row>
    <row r="1429" spans="1:6">
      <c r="A1429" s="28" t="s">
        <v>46</v>
      </c>
      <c r="B1429" s="28" t="s">
        <v>33</v>
      </c>
      <c r="C1429" s="28">
        <v>2013</v>
      </c>
      <c r="D1429" s="28" t="s">
        <v>1</v>
      </c>
      <c r="E1429" s="28" t="s">
        <v>5</v>
      </c>
      <c r="F1429" s="28">
        <v>597995</v>
      </c>
    </row>
    <row r="1430" spans="1:6">
      <c r="A1430" s="28" t="s">
        <v>46</v>
      </c>
      <c r="B1430" s="28" t="s">
        <v>33</v>
      </c>
      <c r="C1430" s="28">
        <v>2014</v>
      </c>
      <c r="D1430" s="28" t="s">
        <v>1</v>
      </c>
      <c r="E1430" s="28" t="s">
        <v>5</v>
      </c>
      <c r="F1430" s="28">
        <v>699139</v>
      </c>
    </row>
    <row r="1431" spans="1:6">
      <c r="A1431" s="28" t="s">
        <v>46</v>
      </c>
      <c r="B1431" s="28" t="s">
        <v>33</v>
      </c>
      <c r="C1431" s="28">
        <v>2015</v>
      </c>
      <c r="D1431" s="28" t="s">
        <v>1</v>
      </c>
      <c r="E1431" s="28" t="s">
        <v>5</v>
      </c>
      <c r="F1431" s="28">
        <v>880024</v>
      </c>
    </row>
    <row r="1432" spans="1:6">
      <c r="A1432" s="28" t="s">
        <v>46</v>
      </c>
      <c r="B1432" s="28" t="s">
        <v>33</v>
      </c>
      <c r="C1432" s="28">
        <v>2016</v>
      </c>
      <c r="D1432" s="28" t="s">
        <v>1</v>
      </c>
      <c r="E1432" s="28" t="s">
        <v>5</v>
      </c>
      <c r="F1432" s="28">
        <v>963834</v>
      </c>
    </row>
    <row r="1433" spans="1:6">
      <c r="A1433" s="28" t="s">
        <v>46</v>
      </c>
      <c r="B1433" s="28" t="s">
        <v>33</v>
      </c>
      <c r="C1433" s="28">
        <v>2017</v>
      </c>
      <c r="D1433" s="28" t="s">
        <v>1</v>
      </c>
      <c r="E1433" s="28" t="s">
        <v>5</v>
      </c>
      <c r="F1433" s="28">
        <v>1044162</v>
      </c>
    </row>
    <row r="1434" spans="1:6">
      <c r="A1434" s="28" t="s">
        <v>46</v>
      </c>
      <c r="B1434" s="28" t="s">
        <v>33</v>
      </c>
      <c r="C1434" s="28">
        <v>2010</v>
      </c>
      <c r="D1434" s="28" t="s">
        <v>1</v>
      </c>
      <c r="E1434" s="28" t="s">
        <v>6</v>
      </c>
      <c r="F1434" s="28">
        <v>167786</v>
      </c>
    </row>
    <row r="1435" spans="1:6">
      <c r="A1435" s="28" t="s">
        <v>46</v>
      </c>
      <c r="B1435" s="28" t="s">
        <v>33</v>
      </c>
      <c r="C1435" s="28">
        <v>2011</v>
      </c>
      <c r="D1435" s="28" t="s">
        <v>1</v>
      </c>
      <c r="E1435" s="28" t="s">
        <v>6</v>
      </c>
      <c r="F1435" s="28">
        <v>241682</v>
      </c>
    </row>
    <row r="1436" spans="1:6">
      <c r="A1436" s="28" t="s">
        <v>46</v>
      </c>
      <c r="B1436" s="28" t="s">
        <v>33</v>
      </c>
      <c r="C1436" s="28">
        <v>2012</v>
      </c>
      <c r="D1436" s="28" t="s">
        <v>1</v>
      </c>
      <c r="E1436" s="28" t="s">
        <v>6</v>
      </c>
      <c r="F1436" s="28">
        <v>291301</v>
      </c>
    </row>
    <row r="1437" spans="1:6">
      <c r="A1437" s="28" t="s">
        <v>46</v>
      </c>
      <c r="B1437" s="28" t="s">
        <v>33</v>
      </c>
      <c r="C1437" s="28">
        <v>2013</v>
      </c>
      <c r="D1437" s="28" t="s">
        <v>1</v>
      </c>
      <c r="E1437" s="28" t="s">
        <v>6</v>
      </c>
      <c r="F1437" s="28">
        <v>373057</v>
      </c>
    </row>
    <row r="1438" spans="1:6">
      <c r="A1438" s="28" t="s">
        <v>46</v>
      </c>
      <c r="B1438" s="28" t="s">
        <v>33</v>
      </c>
      <c r="C1438" s="28">
        <v>2014</v>
      </c>
      <c r="D1438" s="28" t="s">
        <v>1</v>
      </c>
      <c r="E1438" s="28" t="s">
        <v>6</v>
      </c>
      <c r="F1438" s="28">
        <v>387124</v>
      </c>
    </row>
    <row r="1439" spans="1:6">
      <c r="A1439" s="28" t="s">
        <v>46</v>
      </c>
      <c r="B1439" s="28" t="s">
        <v>33</v>
      </c>
      <c r="C1439" s="28">
        <v>2015</v>
      </c>
      <c r="D1439" s="28" t="s">
        <v>1</v>
      </c>
      <c r="E1439" s="28" t="s">
        <v>6</v>
      </c>
      <c r="F1439" s="28">
        <v>428171</v>
      </c>
    </row>
    <row r="1440" spans="1:6">
      <c r="A1440" s="28" t="s">
        <v>46</v>
      </c>
      <c r="B1440" s="28" t="s">
        <v>33</v>
      </c>
      <c r="C1440" s="28">
        <v>2016</v>
      </c>
      <c r="D1440" s="28" t="s">
        <v>1</v>
      </c>
      <c r="E1440" s="28" t="s">
        <v>6</v>
      </c>
      <c r="F1440" s="28">
        <v>657720</v>
      </c>
    </row>
    <row r="1441" spans="1:6">
      <c r="A1441" s="28" t="s">
        <v>46</v>
      </c>
      <c r="B1441" s="28" t="s">
        <v>33</v>
      </c>
      <c r="C1441" s="28">
        <v>2017</v>
      </c>
      <c r="D1441" s="28" t="s">
        <v>1</v>
      </c>
      <c r="E1441" s="28" t="s">
        <v>6</v>
      </c>
      <c r="F1441" s="28">
        <v>775659</v>
      </c>
    </row>
    <row r="1442" spans="1:6">
      <c r="A1442" s="28" t="s">
        <v>46</v>
      </c>
      <c r="B1442" s="28" t="s">
        <v>33</v>
      </c>
      <c r="C1442" s="28">
        <v>2010</v>
      </c>
      <c r="D1442" s="28" t="s">
        <v>1</v>
      </c>
      <c r="E1442" s="28" t="s">
        <v>8</v>
      </c>
      <c r="F1442" s="28">
        <v>59946</v>
      </c>
    </row>
    <row r="1443" spans="1:6">
      <c r="A1443" s="28" t="s">
        <v>46</v>
      </c>
      <c r="B1443" s="28" t="s">
        <v>33</v>
      </c>
      <c r="C1443" s="28">
        <v>2011</v>
      </c>
      <c r="D1443" s="28" t="s">
        <v>1</v>
      </c>
      <c r="E1443" s="28" t="s">
        <v>8</v>
      </c>
      <c r="F1443" s="28">
        <v>91636</v>
      </c>
    </row>
    <row r="1444" spans="1:6">
      <c r="A1444" s="28" t="s">
        <v>46</v>
      </c>
      <c r="B1444" s="28" t="s">
        <v>33</v>
      </c>
      <c r="C1444" s="28">
        <v>2012</v>
      </c>
      <c r="D1444" s="28" t="s">
        <v>1</v>
      </c>
      <c r="E1444" s="28" t="s">
        <v>8</v>
      </c>
      <c r="F1444" s="28">
        <v>116702</v>
      </c>
    </row>
    <row r="1445" spans="1:6">
      <c r="A1445" s="28" t="s">
        <v>46</v>
      </c>
      <c r="B1445" s="28" t="s">
        <v>33</v>
      </c>
      <c r="C1445" s="28">
        <v>2013</v>
      </c>
      <c r="D1445" s="28" t="s">
        <v>1</v>
      </c>
      <c r="E1445" s="28" t="s">
        <v>8</v>
      </c>
      <c r="F1445" s="28">
        <v>165065</v>
      </c>
    </row>
    <row r="1446" spans="1:6">
      <c r="A1446" s="28" t="s">
        <v>46</v>
      </c>
      <c r="B1446" s="28" t="s">
        <v>33</v>
      </c>
      <c r="C1446" s="28">
        <v>2014</v>
      </c>
      <c r="D1446" s="28" t="s">
        <v>1</v>
      </c>
      <c r="E1446" s="28" t="s">
        <v>8</v>
      </c>
      <c r="F1446" s="28">
        <v>230807</v>
      </c>
    </row>
    <row r="1447" spans="1:6">
      <c r="A1447" s="28" t="s">
        <v>46</v>
      </c>
      <c r="B1447" s="28" t="s">
        <v>33</v>
      </c>
      <c r="C1447" s="28">
        <v>2015</v>
      </c>
      <c r="D1447" s="28" t="s">
        <v>1</v>
      </c>
      <c r="E1447" s="28" t="s">
        <v>8</v>
      </c>
      <c r="F1447" s="28">
        <v>282178</v>
      </c>
    </row>
    <row r="1448" spans="1:6">
      <c r="A1448" s="28" t="s">
        <v>46</v>
      </c>
      <c r="B1448" s="28" t="s">
        <v>33</v>
      </c>
      <c r="C1448" s="28">
        <v>2016</v>
      </c>
      <c r="D1448" s="28" t="s">
        <v>1</v>
      </c>
      <c r="E1448" s="28" t="s">
        <v>8</v>
      </c>
      <c r="F1448" s="28">
        <v>197323</v>
      </c>
    </row>
    <row r="1449" spans="1:6">
      <c r="A1449" s="28" t="s">
        <v>46</v>
      </c>
      <c r="B1449" s="28" t="s">
        <v>33</v>
      </c>
      <c r="C1449" s="28">
        <v>2017</v>
      </c>
      <c r="D1449" s="28" t="s">
        <v>1</v>
      </c>
      <c r="E1449" s="28" t="s">
        <v>8</v>
      </c>
      <c r="F1449" s="28">
        <v>184545</v>
      </c>
    </row>
    <row r="1450" spans="1:6">
      <c r="A1450" s="28" t="s">
        <v>46</v>
      </c>
      <c r="B1450" s="28" t="s">
        <v>33</v>
      </c>
      <c r="C1450" s="28">
        <v>2010</v>
      </c>
      <c r="D1450" s="28" t="s">
        <v>1</v>
      </c>
      <c r="E1450" s="28" t="s">
        <v>9</v>
      </c>
      <c r="F1450" s="28">
        <v>57441</v>
      </c>
    </row>
    <row r="1451" spans="1:6">
      <c r="A1451" s="28" t="s">
        <v>46</v>
      </c>
      <c r="B1451" s="28" t="s">
        <v>33</v>
      </c>
      <c r="C1451" s="28">
        <v>2011</v>
      </c>
      <c r="D1451" s="28" t="s">
        <v>1</v>
      </c>
      <c r="E1451" s="28" t="s">
        <v>9</v>
      </c>
      <c r="F1451" s="28">
        <v>50114</v>
      </c>
    </row>
    <row r="1452" spans="1:6">
      <c r="A1452" s="28" t="s">
        <v>46</v>
      </c>
      <c r="B1452" s="28" t="s">
        <v>33</v>
      </c>
      <c r="C1452" s="28">
        <v>2012</v>
      </c>
      <c r="D1452" s="28" t="s">
        <v>1</v>
      </c>
      <c r="E1452" s="28" t="s">
        <v>9</v>
      </c>
      <c r="F1452" s="28">
        <v>55130</v>
      </c>
    </row>
    <row r="1453" spans="1:6">
      <c r="A1453" s="28" t="s">
        <v>46</v>
      </c>
      <c r="B1453" s="28" t="s">
        <v>33</v>
      </c>
      <c r="C1453" s="28">
        <v>2013</v>
      </c>
      <c r="D1453" s="28" t="s">
        <v>1</v>
      </c>
      <c r="E1453" s="28" t="s">
        <v>9</v>
      </c>
      <c r="F1453" s="28">
        <v>59873</v>
      </c>
    </row>
    <row r="1454" spans="1:6">
      <c r="A1454" s="28" t="s">
        <v>46</v>
      </c>
      <c r="B1454" s="28" t="s">
        <v>33</v>
      </c>
      <c r="C1454" s="28">
        <v>2014</v>
      </c>
      <c r="D1454" s="28" t="s">
        <v>1</v>
      </c>
      <c r="E1454" s="28" t="s">
        <v>9</v>
      </c>
      <c r="F1454" s="28">
        <v>81208</v>
      </c>
    </row>
    <row r="1455" spans="1:6">
      <c r="A1455" s="28" t="s">
        <v>46</v>
      </c>
      <c r="B1455" s="28" t="s">
        <v>33</v>
      </c>
      <c r="C1455" s="28">
        <v>2015</v>
      </c>
      <c r="D1455" s="28" t="s">
        <v>1</v>
      </c>
      <c r="E1455" s="28" t="s">
        <v>9</v>
      </c>
      <c r="F1455" s="28">
        <v>169675</v>
      </c>
    </row>
    <row r="1456" spans="1:6">
      <c r="A1456" s="28" t="s">
        <v>46</v>
      </c>
      <c r="B1456" s="28" t="s">
        <v>33</v>
      </c>
      <c r="C1456" s="28">
        <v>2016</v>
      </c>
      <c r="D1456" s="28" t="s">
        <v>1</v>
      </c>
      <c r="E1456" s="28" t="s">
        <v>9</v>
      </c>
      <c r="F1456" s="28">
        <v>108791</v>
      </c>
    </row>
    <row r="1457" spans="1:6">
      <c r="A1457" s="28" t="s">
        <v>46</v>
      </c>
      <c r="B1457" s="28" t="s">
        <v>33</v>
      </c>
      <c r="C1457" s="28">
        <v>2017</v>
      </c>
      <c r="D1457" s="28" t="s">
        <v>1</v>
      </c>
      <c r="E1457" s="28" t="s">
        <v>9</v>
      </c>
      <c r="F1457" s="28">
        <v>83958</v>
      </c>
    </row>
    <row r="1458" spans="1:6">
      <c r="A1458" s="28" t="s">
        <v>46</v>
      </c>
      <c r="B1458" s="28" t="s">
        <v>33</v>
      </c>
      <c r="C1458" s="28">
        <v>2010</v>
      </c>
      <c r="D1458" s="28" t="s">
        <v>1</v>
      </c>
      <c r="E1458" s="28" t="s">
        <v>10</v>
      </c>
      <c r="F1458" s="28">
        <v>285173</v>
      </c>
    </row>
    <row r="1459" spans="1:6">
      <c r="A1459" s="28" t="s">
        <v>46</v>
      </c>
      <c r="B1459" s="28" t="s">
        <v>33</v>
      </c>
      <c r="C1459" s="28">
        <v>2011</v>
      </c>
      <c r="D1459" s="28" t="s">
        <v>1</v>
      </c>
      <c r="E1459" s="28" t="s">
        <v>10</v>
      </c>
      <c r="F1459" s="28">
        <v>383432</v>
      </c>
    </row>
    <row r="1460" spans="1:6">
      <c r="A1460" s="28" t="s">
        <v>46</v>
      </c>
      <c r="B1460" s="28" t="s">
        <v>33</v>
      </c>
      <c r="C1460" s="28">
        <v>2012</v>
      </c>
      <c r="D1460" s="28" t="s">
        <v>1</v>
      </c>
      <c r="E1460" s="28" t="s">
        <v>10</v>
      </c>
      <c r="F1460" s="28">
        <v>463133</v>
      </c>
    </row>
    <row r="1461" spans="1:6">
      <c r="A1461" s="28" t="s">
        <v>46</v>
      </c>
      <c r="B1461" s="28" t="s">
        <v>33</v>
      </c>
      <c r="C1461" s="28">
        <v>2013</v>
      </c>
      <c r="D1461" s="28" t="s">
        <v>1</v>
      </c>
      <c r="E1461" s="28" t="s">
        <v>10</v>
      </c>
      <c r="F1461" s="28">
        <v>597995</v>
      </c>
    </row>
    <row r="1462" spans="1:6">
      <c r="A1462" s="28" t="s">
        <v>46</v>
      </c>
      <c r="B1462" s="28" t="s">
        <v>33</v>
      </c>
      <c r="C1462" s="28">
        <v>2014</v>
      </c>
      <c r="D1462" s="28" t="s">
        <v>1</v>
      </c>
      <c r="E1462" s="28" t="s">
        <v>10</v>
      </c>
      <c r="F1462" s="28">
        <v>699139</v>
      </c>
    </row>
    <row r="1463" spans="1:6">
      <c r="A1463" s="28" t="s">
        <v>46</v>
      </c>
      <c r="B1463" s="28" t="s">
        <v>33</v>
      </c>
      <c r="C1463" s="28">
        <v>2015</v>
      </c>
      <c r="D1463" s="28" t="s">
        <v>1</v>
      </c>
      <c r="E1463" s="28" t="s">
        <v>10</v>
      </c>
      <c r="F1463" s="28">
        <v>880024</v>
      </c>
    </row>
    <row r="1464" spans="1:6">
      <c r="A1464" s="28" t="s">
        <v>46</v>
      </c>
      <c r="B1464" s="28" t="s">
        <v>33</v>
      </c>
      <c r="C1464" s="28">
        <v>2016</v>
      </c>
      <c r="D1464" s="28" t="s">
        <v>1</v>
      </c>
      <c r="E1464" s="28" t="s">
        <v>10</v>
      </c>
      <c r="F1464" s="28">
        <v>963834</v>
      </c>
    </row>
    <row r="1465" spans="1:6">
      <c r="A1465" s="28" t="s">
        <v>46</v>
      </c>
      <c r="B1465" s="28" t="s">
        <v>33</v>
      </c>
      <c r="C1465" s="28">
        <v>2017</v>
      </c>
      <c r="D1465" s="28" t="s">
        <v>1</v>
      </c>
      <c r="E1465" s="28" t="s">
        <v>10</v>
      </c>
      <c r="F1465" s="28">
        <v>1044162</v>
      </c>
    </row>
    <row r="1466" spans="1:6">
      <c r="A1466" s="28" t="s">
        <v>46</v>
      </c>
      <c r="B1466" s="28" t="s">
        <v>33</v>
      </c>
      <c r="C1466" s="28">
        <v>2010</v>
      </c>
      <c r="D1466" s="28" t="s">
        <v>1</v>
      </c>
      <c r="E1466" s="28" t="s">
        <v>11</v>
      </c>
      <c r="F1466" s="28">
        <v>0.41163434125951598</v>
      </c>
    </row>
    <row r="1467" spans="1:6">
      <c r="A1467" s="28" t="s">
        <v>46</v>
      </c>
      <c r="B1467" s="28" t="s">
        <v>33</v>
      </c>
      <c r="C1467" s="28">
        <v>2011</v>
      </c>
      <c r="D1467" s="28" t="s">
        <v>1</v>
      </c>
      <c r="E1467" s="28" t="s">
        <v>11</v>
      </c>
      <c r="F1467" s="28">
        <v>0.36968745435957401</v>
      </c>
    </row>
    <row r="1468" spans="1:6">
      <c r="A1468" s="28" t="s">
        <v>46</v>
      </c>
      <c r="B1468" s="28" t="s">
        <v>33</v>
      </c>
      <c r="C1468" s="28">
        <v>2012</v>
      </c>
      <c r="D1468" s="28" t="s">
        <v>1</v>
      </c>
      <c r="E1468" s="28" t="s">
        <v>11</v>
      </c>
      <c r="F1468" s="28">
        <v>0.37102085146167502</v>
      </c>
    </row>
    <row r="1469" spans="1:6">
      <c r="A1469" s="28" t="s">
        <v>46</v>
      </c>
      <c r="B1469" s="28" t="s">
        <v>33</v>
      </c>
      <c r="C1469" s="28">
        <v>2013</v>
      </c>
      <c r="D1469" s="28" t="s">
        <v>1</v>
      </c>
      <c r="E1469" s="28" t="s">
        <v>11</v>
      </c>
      <c r="F1469" s="28">
        <v>0.37615364676962199</v>
      </c>
    </row>
    <row r="1470" spans="1:6">
      <c r="A1470" s="28" t="s">
        <v>46</v>
      </c>
      <c r="B1470" s="28" t="s">
        <v>33</v>
      </c>
      <c r="C1470" s="28">
        <v>2014</v>
      </c>
      <c r="D1470" s="28" t="s">
        <v>1</v>
      </c>
      <c r="E1470" s="28" t="s">
        <v>11</v>
      </c>
      <c r="F1470" s="28">
        <v>0.44628464439832399</v>
      </c>
    </row>
    <row r="1471" spans="1:6">
      <c r="A1471" s="28" t="s">
        <v>46</v>
      </c>
      <c r="B1471" s="28" t="s">
        <v>33</v>
      </c>
      <c r="C1471" s="28">
        <v>2015</v>
      </c>
      <c r="D1471" s="28" t="s">
        <v>1</v>
      </c>
      <c r="E1471" s="28" t="s">
        <v>11</v>
      </c>
      <c r="F1471" s="28">
        <v>0.51345531485504903</v>
      </c>
    </row>
    <row r="1472" spans="1:6">
      <c r="A1472" s="28" t="s">
        <v>46</v>
      </c>
      <c r="B1472" s="28" t="s">
        <v>33</v>
      </c>
      <c r="C1472" s="28">
        <v>2016</v>
      </c>
      <c r="D1472" s="28" t="s">
        <v>1</v>
      </c>
      <c r="E1472" s="28" t="s">
        <v>11</v>
      </c>
      <c r="F1472" s="28">
        <v>0.31760033366741602</v>
      </c>
    </row>
    <row r="1473" spans="1:6">
      <c r="A1473" s="28" t="s">
        <v>46</v>
      </c>
      <c r="B1473" s="28" t="s">
        <v>33</v>
      </c>
      <c r="C1473" s="28">
        <v>2017</v>
      </c>
      <c r="D1473" s="28" t="s">
        <v>1</v>
      </c>
      <c r="E1473" s="28" t="s">
        <v>11</v>
      </c>
      <c r="F1473" s="28">
        <v>0.257146879507203</v>
      </c>
    </row>
    <row r="1474" spans="1:6">
      <c r="A1474" s="28" t="s">
        <v>46</v>
      </c>
      <c r="B1474" s="28" t="s">
        <v>33</v>
      </c>
      <c r="C1474" s="28">
        <v>2010</v>
      </c>
      <c r="D1474" s="28" t="s">
        <v>4</v>
      </c>
      <c r="E1474" s="28" t="s">
        <v>12</v>
      </c>
      <c r="F1474" s="28">
        <v>117024</v>
      </c>
    </row>
    <row r="1475" spans="1:6">
      <c r="A1475" s="28" t="s">
        <v>46</v>
      </c>
      <c r="B1475" s="28" t="s">
        <v>33</v>
      </c>
      <c r="C1475" s="28">
        <v>2011</v>
      </c>
      <c r="D1475" s="28" t="s">
        <v>4</v>
      </c>
      <c r="E1475" s="28" t="s">
        <v>12</v>
      </c>
      <c r="F1475" s="28">
        <v>176064</v>
      </c>
    </row>
    <row r="1476" spans="1:6">
      <c r="A1476" s="28" t="s">
        <v>46</v>
      </c>
      <c r="B1476" s="28" t="s">
        <v>33</v>
      </c>
      <c r="C1476" s="28">
        <v>2012</v>
      </c>
      <c r="D1476" s="28" t="s">
        <v>4</v>
      </c>
      <c r="E1476" s="28" t="s">
        <v>12</v>
      </c>
      <c r="F1476" s="28">
        <v>210973</v>
      </c>
    </row>
    <row r="1477" spans="1:6">
      <c r="A1477" s="28" t="s">
        <v>46</v>
      </c>
      <c r="B1477" s="28" t="s">
        <v>33</v>
      </c>
      <c r="C1477" s="28">
        <v>2013</v>
      </c>
      <c r="D1477" s="28" t="s">
        <v>4</v>
      </c>
      <c r="E1477" s="28" t="s">
        <v>12</v>
      </c>
      <c r="F1477" s="28">
        <v>298158</v>
      </c>
    </row>
    <row r="1478" spans="1:6">
      <c r="A1478" s="28" t="s">
        <v>46</v>
      </c>
      <c r="B1478" s="28" t="s">
        <v>33</v>
      </c>
      <c r="C1478" s="28">
        <v>2014</v>
      </c>
      <c r="D1478" s="28" t="s">
        <v>4</v>
      </c>
      <c r="E1478" s="28" t="s">
        <v>12</v>
      </c>
      <c r="F1478" s="28">
        <v>357643</v>
      </c>
    </row>
    <row r="1479" spans="1:6">
      <c r="A1479" s="28" t="s">
        <v>46</v>
      </c>
      <c r="B1479" s="28" t="s">
        <v>33</v>
      </c>
      <c r="C1479" s="28">
        <v>2015</v>
      </c>
      <c r="D1479" s="28" t="s">
        <v>4</v>
      </c>
      <c r="E1479" s="28" t="s">
        <v>12</v>
      </c>
      <c r="F1479" s="28">
        <v>475325</v>
      </c>
    </row>
    <row r="1480" spans="1:6">
      <c r="A1480" s="28" t="s">
        <v>46</v>
      </c>
      <c r="B1480" s="28" t="s">
        <v>33</v>
      </c>
      <c r="C1480" s="28">
        <v>2016</v>
      </c>
      <c r="D1480" s="28" t="s">
        <v>4</v>
      </c>
      <c r="E1480" s="28" t="s">
        <v>12</v>
      </c>
      <c r="F1480" s="28">
        <v>537472</v>
      </c>
    </row>
    <row r="1481" spans="1:6">
      <c r="A1481" s="28" t="s">
        <v>46</v>
      </c>
      <c r="B1481" s="28" t="s">
        <v>33</v>
      </c>
      <c r="C1481" s="28">
        <v>2017</v>
      </c>
      <c r="D1481" s="28" t="s">
        <v>4</v>
      </c>
      <c r="E1481" s="28" t="s">
        <v>12</v>
      </c>
      <c r="F1481" s="28">
        <v>583186</v>
      </c>
    </row>
    <row r="1482" spans="1:6">
      <c r="A1482" s="28" t="s">
        <v>46</v>
      </c>
      <c r="B1482" s="28" t="s">
        <v>33</v>
      </c>
      <c r="C1482" s="28">
        <v>2010</v>
      </c>
      <c r="D1482" s="28" t="s">
        <v>4</v>
      </c>
      <c r="E1482" s="28" t="s">
        <v>13</v>
      </c>
      <c r="F1482" s="28">
        <v>40278</v>
      </c>
    </row>
    <row r="1483" spans="1:6">
      <c r="A1483" s="28" t="s">
        <v>46</v>
      </c>
      <c r="B1483" s="28" t="s">
        <v>33</v>
      </c>
      <c r="C1483" s="28">
        <v>2011</v>
      </c>
      <c r="D1483" s="28" t="s">
        <v>4</v>
      </c>
      <c r="E1483" s="28" t="s">
        <v>13</v>
      </c>
      <c r="F1483" s="28">
        <v>119291</v>
      </c>
    </row>
    <row r="1484" spans="1:6">
      <c r="A1484" s="28" t="s">
        <v>46</v>
      </c>
      <c r="B1484" s="28" t="s">
        <v>33</v>
      </c>
      <c r="C1484" s="28">
        <v>2012</v>
      </c>
      <c r="D1484" s="28" t="s">
        <v>4</v>
      </c>
      <c r="E1484" s="28" t="s">
        <v>13</v>
      </c>
      <c r="F1484" s="28">
        <v>69441</v>
      </c>
    </row>
    <row r="1485" spans="1:6">
      <c r="A1485" s="28" t="s">
        <v>46</v>
      </c>
      <c r="B1485" s="28" t="s">
        <v>33</v>
      </c>
      <c r="C1485" s="28">
        <v>2013</v>
      </c>
      <c r="D1485" s="28" t="s">
        <v>4</v>
      </c>
      <c r="E1485" s="28" t="s">
        <v>13</v>
      </c>
      <c r="F1485" s="28">
        <v>109945</v>
      </c>
    </row>
    <row r="1486" spans="1:6">
      <c r="A1486" s="28" t="s">
        <v>46</v>
      </c>
      <c r="B1486" s="28" t="s">
        <v>33</v>
      </c>
      <c r="C1486" s="28">
        <v>2014</v>
      </c>
      <c r="D1486" s="28" t="s">
        <v>4</v>
      </c>
      <c r="E1486" s="28" t="s">
        <v>13</v>
      </c>
      <c r="F1486" s="28">
        <v>36915</v>
      </c>
    </row>
    <row r="1487" spans="1:6">
      <c r="A1487" s="28" t="s">
        <v>46</v>
      </c>
      <c r="B1487" s="28" t="s">
        <v>33</v>
      </c>
      <c r="C1487" s="28">
        <v>2015</v>
      </c>
      <c r="D1487" s="28" t="s">
        <v>4</v>
      </c>
      <c r="E1487" s="28" t="s">
        <v>13</v>
      </c>
      <c r="F1487" s="28">
        <v>74119</v>
      </c>
    </row>
    <row r="1488" spans="1:6">
      <c r="A1488" s="28" t="s">
        <v>46</v>
      </c>
      <c r="B1488" s="28" t="s">
        <v>33</v>
      </c>
      <c r="C1488" s="28">
        <v>2016</v>
      </c>
      <c r="D1488" s="28" t="s">
        <v>4</v>
      </c>
      <c r="E1488" s="28" t="s">
        <v>13</v>
      </c>
      <c r="F1488" s="28">
        <v>265073</v>
      </c>
    </row>
    <row r="1489" spans="1:6">
      <c r="A1489" s="28" t="s">
        <v>46</v>
      </c>
      <c r="B1489" s="28" t="s">
        <v>33</v>
      </c>
      <c r="C1489" s="28">
        <v>2017</v>
      </c>
      <c r="D1489" s="28" t="s">
        <v>4</v>
      </c>
      <c r="E1489" s="28" t="s">
        <v>13</v>
      </c>
      <c r="F1489" s="28">
        <v>166470</v>
      </c>
    </row>
    <row r="1490" spans="1:6">
      <c r="A1490" s="28" t="s">
        <v>46</v>
      </c>
      <c r="B1490" s="28" t="s">
        <v>33</v>
      </c>
      <c r="C1490" s="28">
        <v>2010</v>
      </c>
      <c r="D1490" s="28" t="s">
        <v>4</v>
      </c>
      <c r="E1490" s="28" t="s">
        <v>14</v>
      </c>
      <c r="F1490" s="28">
        <v>3839.7606055734</v>
      </c>
    </row>
    <row r="1491" spans="1:6">
      <c r="A1491" s="28" t="s">
        <v>46</v>
      </c>
      <c r="B1491" s="28" t="s">
        <v>33</v>
      </c>
      <c r="C1491" s="28">
        <v>2011</v>
      </c>
      <c r="D1491" s="28" t="s">
        <v>4</v>
      </c>
      <c r="E1491" s="28" t="s">
        <v>14</v>
      </c>
      <c r="F1491" s="28">
        <v>5468.48841940483</v>
      </c>
    </row>
    <row r="1492" spans="1:6">
      <c r="A1492" s="28" t="s">
        <v>46</v>
      </c>
      <c r="B1492" s="28" t="s">
        <v>33</v>
      </c>
      <c r="C1492" s="28">
        <v>2012</v>
      </c>
      <c r="D1492" s="28" t="s">
        <v>4</v>
      </c>
      <c r="E1492" s="28" t="s">
        <v>14</v>
      </c>
      <c r="F1492" s="28">
        <v>6946.1391315227202</v>
      </c>
    </row>
    <row r="1493" spans="1:6">
      <c r="A1493" s="28" t="s">
        <v>46</v>
      </c>
      <c r="B1493" s="28" t="s">
        <v>33</v>
      </c>
      <c r="C1493" s="28">
        <v>2013</v>
      </c>
      <c r="D1493" s="28" t="s">
        <v>4</v>
      </c>
      <c r="E1493" s="28" t="s">
        <v>14</v>
      </c>
      <c r="F1493" s="28">
        <v>9109.8468645735302</v>
      </c>
    </row>
    <row r="1494" spans="1:6">
      <c r="A1494" s="28" t="s">
        <v>46</v>
      </c>
      <c r="B1494" s="28" t="s">
        <v>33</v>
      </c>
      <c r="C1494" s="28">
        <v>2014</v>
      </c>
      <c r="D1494" s="28" t="s">
        <v>4</v>
      </c>
      <c r="E1494" s="28" t="s">
        <v>14</v>
      </c>
      <c r="F1494" s="28">
        <v>6357.1484436102</v>
      </c>
    </row>
    <row r="1495" spans="1:6">
      <c r="A1495" s="28" t="s">
        <v>46</v>
      </c>
      <c r="B1495" s="28" t="s">
        <v>33</v>
      </c>
      <c r="C1495" s="28">
        <v>2015</v>
      </c>
      <c r="D1495" s="28" t="s">
        <v>4</v>
      </c>
      <c r="E1495" s="28" t="s">
        <v>14</v>
      </c>
      <c r="F1495" s="28">
        <v>6521.7808890175602</v>
      </c>
    </row>
    <row r="1496" spans="1:6">
      <c r="A1496" s="28" t="s">
        <v>46</v>
      </c>
      <c r="B1496" s="28" t="s">
        <v>33</v>
      </c>
      <c r="C1496" s="28">
        <v>2016</v>
      </c>
      <c r="D1496" s="28" t="s">
        <v>4</v>
      </c>
      <c r="E1496" s="28" t="s">
        <v>14</v>
      </c>
      <c r="F1496" s="28">
        <v>8860.8550717230792</v>
      </c>
    </row>
    <row r="1497" spans="1:6">
      <c r="A1497" s="28" t="s">
        <v>46</v>
      </c>
      <c r="B1497" s="28" t="s">
        <v>33</v>
      </c>
      <c r="C1497" s="28">
        <v>2017</v>
      </c>
      <c r="D1497" s="28" t="s">
        <v>4</v>
      </c>
      <c r="E1497" s="28" t="s">
        <v>14</v>
      </c>
      <c r="F1497" s="28">
        <v>10124.7217891605</v>
      </c>
    </row>
    <row r="1498" spans="1:6">
      <c r="A1498" s="28" t="s">
        <v>46</v>
      </c>
      <c r="B1498" s="28" t="s">
        <v>33</v>
      </c>
      <c r="C1498" s="28">
        <v>2010</v>
      </c>
      <c r="D1498" s="28" t="s">
        <v>4</v>
      </c>
      <c r="E1498" s="28" t="s">
        <v>15</v>
      </c>
      <c r="F1498" s="28">
        <v>1321.5911067070499</v>
      </c>
    </row>
    <row r="1499" spans="1:6">
      <c r="A1499" s="28" t="s">
        <v>46</v>
      </c>
      <c r="B1499" s="28" t="s">
        <v>33</v>
      </c>
      <c r="C1499" s="28">
        <v>2011</v>
      </c>
      <c r="D1499" s="28" t="s">
        <v>4</v>
      </c>
      <c r="E1499" s="28" t="s">
        <v>15</v>
      </c>
      <c r="F1499" s="28">
        <v>3705.1381999683199</v>
      </c>
    </row>
    <row r="1500" spans="1:6">
      <c r="A1500" s="28" t="s">
        <v>46</v>
      </c>
      <c r="B1500" s="28" t="s">
        <v>33</v>
      </c>
      <c r="C1500" s="28">
        <v>2012</v>
      </c>
      <c r="D1500" s="28" t="s">
        <v>4</v>
      </c>
      <c r="E1500" s="28" t="s">
        <v>15</v>
      </c>
      <c r="F1500" s="28">
        <v>2286.2965755431701</v>
      </c>
    </row>
    <row r="1501" spans="1:6">
      <c r="A1501" s="28" t="s">
        <v>46</v>
      </c>
      <c r="B1501" s="28" t="s">
        <v>33</v>
      </c>
      <c r="C1501" s="28">
        <v>2013</v>
      </c>
      <c r="D1501" s="28" t="s">
        <v>4</v>
      </c>
      <c r="E1501" s="28" t="s">
        <v>15</v>
      </c>
      <c r="F1501" s="28">
        <v>3359.23273407233</v>
      </c>
    </row>
    <row r="1502" spans="1:6">
      <c r="A1502" s="28" t="s">
        <v>46</v>
      </c>
      <c r="B1502" s="28" t="s">
        <v>33</v>
      </c>
      <c r="C1502" s="28">
        <v>2014</v>
      </c>
      <c r="D1502" s="28" t="s">
        <v>4</v>
      </c>
      <c r="E1502" s="28" t="s">
        <v>15</v>
      </c>
      <c r="F1502" s="28">
        <v>656.16867881063104</v>
      </c>
    </row>
    <row r="1503" spans="1:6">
      <c r="A1503" s="28" t="s">
        <v>46</v>
      </c>
      <c r="B1503" s="28" t="s">
        <v>33</v>
      </c>
      <c r="C1503" s="28">
        <v>2015</v>
      </c>
      <c r="D1503" s="28" t="s">
        <v>4</v>
      </c>
      <c r="E1503" s="28" t="s">
        <v>15</v>
      </c>
      <c r="F1503" s="28">
        <v>1016.96287321957</v>
      </c>
    </row>
    <row r="1504" spans="1:6">
      <c r="A1504" s="28" t="s">
        <v>46</v>
      </c>
      <c r="B1504" s="28" t="s">
        <v>33</v>
      </c>
      <c r="C1504" s="28">
        <v>2016</v>
      </c>
      <c r="D1504" s="28" t="s">
        <v>4</v>
      </c>
      <c r="E1504" s="28" t="s">
        <v>15</v>
      </c>
      <c r="F1504" s="28">
        <v>4370.0386930423401</v>
      </c>
    </row>
    <row r="1505" spans="1:6">
      <c r="A1505" s="28" t="s">
        <v>46</v>
      </c>
      <c r="B1505" s="28" t="s">
        <v>33</v>
      </c>
      <c r="C1505" s="28">
        <v>2017</v>
      </c>
      <c r="D1505" s="28" t="s">
        <v>4</v>
      </c>
      <c r="E1505" s="28" t="s">
        <v>15</v>
      </c>
      <c r="F1505" s="28">
        <v>2890.0941316175999</v>
      </c>
    </row>
    <row r="1506" spans="1:6">
      <c r="A1506" s="28" t="s">
        <v>46</v>
      </c>
      <c r="B1506" s="28" t="s">
        <v>33</v>
      </c>
      <c r="C1506" s="28">
        <v>2010</v>
      </c>
      <c r="D1506" s="28" t="s">
        <v>7</v>
      </c>
      <c r="E1506" s="28" t="s">
        <v>16</v>
      </c>
      <c r="F1506" s="28">
        <v>48957</v>
      </c>
    </row>
    <row r="1507" spans="1:6">
      <c r="A1507" s="28" t="s">
        <v>46</v>
      </c>
      <c r="B1507" s="28" t="s">
        <v>33</v>
      </c>
      <c r="C1507" s="28">
        <v>2011</v>
      </c>
      <c r="D1507" s="28" t="s">
        <v>7</v>
      </c>
      <c r="E1507" s="28" t="s">
        <v>16</v>
      </c>
      <c r="F1507" s="28">
        <v>76566</v>
      </c>
    </row>
    <row r="1508" spans="1:6">
      <c r="A1508" s="28" t="s">
        <v>46</v>
      </c>
      <c r="B1508" s="28" t="s">
        <v>33</v>
      </c>
      <c r="C1508" s="28">
        <v>2012</v>
      </c>
      <c r="D1508" s="28" t="s">
        <v>7</v>
      </c>
      <c r="E1508" s="28" t="s">
        <v>16</v>
      </c>
      <c r="F1508" s="28">
        <v>84118</v>
      </c>
    </row>
    <row r="1509" spans="1:6">
      <c r="A1509" s="28" t="s">
        <v>46</v>
      </c>
      <c r="B1509" s="28" t="s">
        <v>33</v>
      </c>
      <c r="C1509" s="28">
        <v>2013</v>
      </c>
      <c r="D1509" s="28" t="s">
        <v>7</v>
      </c>
      <c r="E1509" s="28" t="s">
        <v>16</v>
      </c>
      <c r="F1509" s="28">
        <v>104163</v>
      </c>
    </row>
    <row r="1510" spans="1:6">
      <c r="A1510" s="28" t="s">
        <v>46</v>
      </c>
      <c r="B1510" s="28" t="s">
        <v>33</v>
      </c>
      <c r="C1510" s="28">
        <v>2014</v>
      </c>
      <c r="D1510" s="28" t="s">
        <v>7</v>
      </c>
      <c r="E1510" s="28" t="s">
        <v>16</v>
      </c>
      <c r="F1510" s="28">
        <v>108864</v>
      </c>
    </row>
    <row r="1511" spans="1:6">
      <c r="A1511" s="28" t="s">
        <v>46</v>
      </c>
      <c r="B1511" s="28" t="s">
        <v>33</v>
      </c>
      <c r="C1511" s="28">
        <v>2015</v>
      </c>
      <c r="D1511" s="28" t="s">
        <v>7</v>
      </c>
      <c r="E1511" s="28" t="s">
        <v>16</v>
      </c>
      <c r="F1511" s="28">
        <v>130833</v>
      </c>
    </row>
    <row r="1512" spans="1:6">
      <c r="A1512" s="28" t="s">
        <v>46</v>
      </c>
      <c r="B1512" s="28" t="s">
        <v>33</v>
      </c>
      <c r="C1512" s="28">
        <v>2016</v>
      </c>
      <c r="D1512" s="28" t="s">
        <v>7</v>
      </c>
      <c r="E1512" s="28" t="s">
        <v>16</v>
      </c>
      <c r="F1512" s="28">
        <v>144292</v>
      </c>
    </row>
    <row r="1513" spans="1:6">
      <c r="A1513" s="28" t="s">
        <v>46</v>
      </c>
      <c r="B1513" s="28" t="s">
        <v>33</v>
      </c>
      <c r="C1513" s="28">
        <v>2017</v>
      </c>
      <c r="D1513" s="28" t="s">
        <v>7</v>
      </c>
      <c r="E1513" s="28" t="s">
        <v>16</v>
      </c>
      <c r="F1513" s="28">
        <v>168712</v>
      </c>
    </row>
    <row r="1514" spans="1:6">
      <c r="A1514" s="28" t="s">
        <v>46</v>
      </c>
      <c r="B1514" s="28" t="s">
        <v>33</v>
      </c>
      <c r="C1514" s="28">
        <v>2010</v>
      </c>
      <c r="D1514" s="28" t="s">
        <v>7</v>
      </c>
      <c r="E1514" s="28" t="s">
        <v>17</v>
      </c>
      <c r="F1514" s="28">
        <v>1606.3641643343001</v>
      </c>
    </row>
    <row r="1515" spans="1:6">
      <c r="A1515" s="28" t="s">
        <v>46</v>
      </c>
      <c r="B1515" s="28" t="s">
        <v>33</v>
      </c>
      <c r="C1515" s="28">
        <v>2011</v>
      </c>
      <c r="D1515" s="28" t="s">
        <v>7</v>
      </c>
      <c r="E1515" s="28" t="s">
        <v>17</v>
      </c>
      <c r="F1515" s="28">
        <v>2378.11411941198</v>
      </c>
    </row>
    <row r="1516" spans="1:6">
      <c r="A1516" s="28" t="s">
        <v>46</v>
      </c>
      <c r="B1516" s="28" t="s">
        <v>33</v>
      </c>
      <c r="C1516" s="28">
        <v>2012</v>
      </c>
      <c r="D1516" s="28" t="s">
        <v>7</v>
      </c>
      <c r="E1516" s="28" t="s">
        <v>17</v>
      </c>
      <c r="F1516" s="28">
        <v>2769.5265814366198</v>
      </c>
    </row>
    <row r="1517" spans="1:6">
      <c r="A1517" s="28" t="s">
        <v>46</v>
      </c>
      <c r="B1517" s="28" t="s">
        <v>33</v>
      </c>
      <c r="C1517" s="28">
        <v>2013</v>
      </c>
      <c r="D1517" s="28" t="s">
        <v>7</v>
      </c>
      <c r="E1517" s="28" t="s">
        <v>17</v>
      </c>
      <c r="F1517" s="28">
        <v>3182.5709152683198</v>
      </c>
    </row>
    <row r="1518" spans="1:6">
      <c r="A1518" s="28" t="s">
        <v>46</v>
      </c>
      <c r="B1518" s="28" t="s">
        <v>33</v>
      </c>
      <c r="C1518" s="28">
        <v>2014</v>
      </c>
      <c r="D1518" s="28" t="s">
        <v>7</v>
      </c>
      <c r="E1518" s="28" t="s">
        <v>17</v>
      </c>
      <c r="F1518" s="28">
        <v>1935.0710293929401</v>
      </c>
    </row>
    <row r="1519" spans="1:6">
      <c r="A1519" s="28" t="s">
        <v>46</v>
      </c>
      <c r="B1519" s="28" t="s">
        <v>33</v>
      </c>
      <c r="C1519" s="28">
        <v>2015</v>
      </c>
      <c r="D1519" s="28" t="s">
        <v>7</v>
      </c>
      <c r="E1519" s="28" t="s">
        <v>17</v>
      </c>
      <c r="F1519" s="28">
        <v>1795.1173598124101</v>
      </c>
    </row>
    <row r="1520" spans="1:6">
      <c r="A1520" s="28" t="s">
        <v>46</v>
      </c>
      <c r="B1520" s="28" t="s">
        <v>33</v>
      </c>
      <c r="C1520" s="28">
        <v>2016</v>
      </c>
      <c r="D1520" s="28" t="s">
        <v>7</v>
      </c>
      <c r="E1520" s="28" t="s">
        <v>17</v>
      </c>
      <c r="F1520" s="28">
        <v>2378.8225247251298</v>
      </c>
    </row>
    <row r="1521" spans="1:6">
      <c r="A1521" s="28" t="s">
        <v>46</v>
      </c>
      <c r="B1521" s="28" t="s">
        <v>33</v>
      </c>
      <c r="C1521" s="28">
        <v>2017</v>
      </c>
      <c r="D1521" s="28" t="s">
        <v>7</v>
      </c>
      <c r="E1521" s="28" t="s">
        <v>17</v>
      </c>
      <c r="F1521" s="28">
        <v>2929.0176075777499</v>
      </c>
    </row>
    <row r="1522" spans="1:6">
      <c r="A1522" s="28" t="s">
        <v>46</v>
      </c>
      <c r="B1522" s="28" t="s">
        <v>33</v>
      </c>
      <c r="C1522" s="28">
        <v>2010</v>
      </c>
      <c r="D1522" s="28" t="s">
        <v>20</v>
      </c>
      <c r="E1522" s="28" t="s">
        <v>18</v>
      </c>
      <c r="F1522" s="28">
        <v>3032.114</v>
      </c>
    </row>
    <row r="1523" spans="1:6">
      <c r="A1523" s="28" t="s">
        <v>46</v>
      </c>
      <c r="B1523" s="28" t="s">
        <v>33</v>
      </c>
      <c r="C1523" s="28">
        <v>2011</v>
      </c>
      <c r="D1523" s="28" t="s">
        <v>20</v>
      </c>
      <c r="E1523" s="28" t="s">
        <v>18</v>
      </c>
      <c r="F1523" s="28">
        <v>3033.3020000000001</v>
      </c>
    </row>
    <row r="1524" spans="1:6">
      <c r="A1524" s="28" t="s">
        <v>46</v>
      </c>
      <c r="B1524" s="28" t="s">
        <v>33</v>
      </c>
      <c r="C1524" s="28">
        <v>2012</v>
      </c>
      <c r="D1524" s="28" t="s">
        <v>20</v>
      </c>
      <c r="E1524" s="28" t="s">
        <v>18</v>
      </c>
      <c r="F1524" s="28">
        <v>3034.2449999999999</v>
      </c>
    </row>
    <row r="1525" spans="1:6">
      <c r="A1525" s="28" t="s">
        <v>46</v>
      </c>
      <c r="B1525" s="28" t="s">
        <v>33</v>
      </c>
      <c r="C1525" s="28">
        <v>2013</v>
      </c>
      <c r="D1525" s="28" t="s">
        <v>20</v>
      </c>
      <c r="E1525" s="28" t="s">
        <v>18</v>
      </c>
      <c r="F1525" s="28">
        <v>3029.5320000000002</v>
      </c>
    </row>
    <row r="1526" spans="1:6">
      <c r="A1526" s="28" t="s">
        <v>46</v>
      </c>
      <c r="B1526" s="28" t="s">
        <v>33</v>
      </c>
      <c r="C1526" s="28">
        <v>2014</v>
      </c>
      <c r="D1526" s="28" t="s">
        <v>20</v>
      </c>
      <c r="E1526" s="28" t="s">
        <v>18</v>
      </c>
      <c r="F1526" s="28">
        <v>3022.2</v>
      </c>
    </row>
    <row r="1527" spans="1:6">
      <c r="A1527" s="28" t="s">
        <v>46</v>
      </c>
      <c r="B1527" s="28" t="s">
        <v>33</v>
      </c>
      <c r="C1527" s="28">
        <v>2015</v>
      </c>
      <c r="D1527" s="28" t="s">
        <v>20</v>
      </c>
      <c r="E1527" s="28" t="s">
        <v>18</v>
      </c>
      <c r="F1527" s="28">
        <v>3020.3</v>
      </c>
    </row>
    <row r="1528" spans="1:6">
      <c r="A1528" s="28" t="s">
        <v>46</v>
      </c>
      <c r="B1528" s="28" t="s">
        <v>33</v>
      </c>
      <c r="C1528" s="28">
        <v>2016</v>
      </c>
      <c r="D1528" s="28" t="s">
        <v>20</v>
      </c>
      <c r="E1528" s="28" t="s">
        <v>18</v>
      </c>
      <c r="F1528" s="28">
        <v>3018.5</v>
      </c>
    </row>
    <row r="1529" spans="1:6">
      <c r="A1529" s="28" t="s">
        <v>46</v>
      </c>
      <c r="B1529" s="28" t="s">
        <v>33</v>
      </c>
      <c r="C1529" s="28">
        <v>2017</v>
      </c>
      <c r="D1529" s="28" t="s">
        <v>20</v>
      </c>
      <c r="E1529" s="28" t="s">
        <v>18</v>
      </c>
      <c r="F1529" s="28">
        <v>3016.2</v>
      </c>
    </row>
    <row r="1530" spans="1:6">
      <c r="A1530" s="28" t="s">
        <v>46</v>
      </c>
      <c r="B1530" s="28" t="s">
        <v>33</v>
      </c>
      <c r="C1530" s="28">
        <v>2010</v>
      </c>
      <c r="D1530" s="28" t="s">
        <v>20</v>
      </c>
      <c r="E1530" s="28" t="s">
        <v>19</v>
      </c>
      <c r="F1530" s="28">
        <v>334.1</v>
      </c>
    </row>
    <row r="1531" spans="1:6">
      <c r="A1531" s="28" t="s">
        <v>46</v>
      </c>
      <c r="B1531" s="28" t="s">
        <v>33</v>
      </c>
      <c r="C1531" s="28">
        <v>2011</v>
      </c>
      <c r="D1531" s="28" t="s">
        <v>20</v>
      </c>
      <c r="E1531" s="28" t="s">
        <v>19</v>
      </c>
      <c r="F1531" s="28">
        <v>394</v>
      </c>
    </row>
    <row r="1532" spans="1:6">
      <c r="A1532" s="28" t="s">
        <v>46</v>
      </c>
      <c r="B1532" s="28" t="s">
        <v>33</v>
      </c>
      <c r="C1532" s="28">
        <v>2012</v>
      </c>
      <c r="D1532" s="28" t="s">
        <v>20</v>
      </c>
      <c r="E1532" s="28" t="s">
        <v>19</v>
      </c>
      <c r="F1532" s="28">
        <v>346.1</v>
      </c>
    </row>
    <row r="1533" spans="1:6">
      <c r="A1533" s="28" t="s">
        <v>46</v>
      </c>
      <c r="B1533" s="28" t="s">
        <v>33</v>
      </c>
      <c r="C1533" s="28">
        <v>2013</v>
      </c>
      <c r="D1533" s="28" t="s">
        <v>20</v>
      </c>
      <c r="E1533" s="28" t="s">
        <v>19</v>
      </c>
      <c r="F1533" s="28">
        <v>399.7</v>
      </c>
    </row>
    <row r="1534" spans="1:6">
      <c r="A1534" s="28" t="s">
        <v>46</v>
      </c>
      <c r="B1534" s="28" t="s">
        <v>33</v>
      </c>
      <c r="C1534" s="28">
        <v>2014</v>
      </c>
      <c r="D1534" s="28" t="s">
        <v>20</v>
      </c>
      <c r="E1534" s="28" t="s">
        <v>19</v>
      </c>
      <c r="F1534" s="28">
        <v>434.6</v>
      </c>
    </row>
    <row r="1535" spans="1:6">
      <c r="A1535" s="28" t="s">
        <v>46</v>
      </c>
      <c r="B1535" s="28" t="s">
        <v>33</v>
      </c>
      <c r="C1535" s="28">
        <v>2015</v>
      </c>
      <c r="D1535" s="28" t="s">
        <v>20</v>
      </c>
      <c r="E1535" s="28" t="s">
        <v>19</v>
      </c>
      <c r="F1535" s="28">
        <v>591</v>
      </c>
    </row>
    <row r="1536" spans="1:6">
      <c r="A1536" s="28" t="s">
        <v>46</v>
      </c>
      <c r="B1536" s="28" t="s">
        <v>33</v>
      </c>
      <c r="C1536" s="28">
        <v>2016</v>
      </c>
      <c r="D1536" s="28" t="s">
        <v>20</v>
      </c>
      <c r="E1536" s="28" t="s">
        <v>19</v>
      </c>
      <c r="F1536" s="28">
        <v>791.9</v>
      </c>
    </row>
    <row r="1537" spans="1:6">
      <c r="A1537" s="28" t="s">
        <v>46</v>
      </c>
      <c r="B1537" s="28" t="s">
        <v>33</v>
      </c>
      <c r="C1537" s="28">
        <v>2017</v>
      </c>
      <c r="D1537" s="28" t="s">
        <v>20</v>
      </c>
      <c r="E1537" s="28" t="s">
        <v>19</v>
      </c>
      <c r="F1537" s="28">
        <v>677.7</v>
      </c>
    </row>
    <row r="1538" spans="1:6">
      <c r="A1538" s="28" t="s">
        <v>47</v>
      </c>
      <c r="B1538" s="28" t="s">
        <v>33</v>
      </c>
      <c r="C1538" s="28">
        <v>2010</v>
      </c>
      <c r="D1538" s="28" t="s">
        <v>1</v>
      </c>
      <c r="E1538" s="28" t="s">
        <v>2</v>
      </c>
      <c r="F1538" s="28">
        <v>2318000</v>
      </c>
    </row>
    <row r="1539" spans="1:6">
      <c r="A1539" s="28" t="s">
        <v>47</v>
      </c>
      <c r="B1539" s="28" t="s">
        <v>33</v>
      </c>
      <c r="C1539" s="28">
        <v>2011</v>
      </c>
      <c r="D1539" s="28" t="s">
        <v>1</v>
      </c>
      <c r="E1539" s="28" t="s">
        <v>2</v>
      </c>
      <c r="F1539" s="28">
        <v>2562000</v>
      </c>
    </row>
    <row r="1540" spans="1:6">
      <c r="A1540" s="28" t="s">
        <v>47</v>
      </c>
      <c r="B1540" s="28" t="s">
        <v>33</v>
      </c>
      <c r="C1540" s="28">
        <v>2012</v>
      </c>
      <c r="D1540" s="28" t="s">
        <v>1</v>
      </c>
      <c r="E1540" s="28" t="s">
        <v>2</v>
      </c>
      <c r="F1540" s="28">
        <v>2938000</v>
      </c>
    </row>
    <row r="1541" spans="1:6">
      <c r="A1541" s="28" t="s">
        <v>47</v>
      </c>
      <c r="B1541" s="28" t="s">
        <v>33</v>
      </c>
      <c r="C1541" s="28">
        <v>2013</v>
      </c>
      <c r="D1541" s="28" t="s">
        <v>1</v>
      </c>
      <c r="E1541" s="28" t="s">
        <v>2</v>
      </c>
      <c r="F1541" s="28">
        <v>6083000</v>
      </c>
    </row>
    <row r="1542" spans="1:6">
      <c r="A1542" s="28" t="s">
        <v>47</v>
      </c>
      <c r="B1542" s="28" t="s">
        <v>33</v>
      </c>
      <c r="C1542" s="28">
        <v>2014</v>
      </c>
      <c r="D1542" s="28" t="s">
        <v>1</v>
      </c>
      <c r="E1542" s="28" t="s">
        <v>2</v>
      </c>
      <c r="F1542" s="28">
        <v>6605000</v>
      </c>
    </row>
    <row r="1543" spans="1:6">
      <c r="A1543" s="28" t="s">
        <v>47</v>
      </c>
      <c r="B1543" s="28" t="s">
        <v>33</v>
      </c>
      <c r="C1543" s="28">
        <v>2015</v>
      </c>
      <c r="D1543" s="28" t="s">
        <v>1</v>
      </c>
      <c r="E1543" s="28" t="s">
        <v>2</v>
      </c>
      <c r="F1543" s="28">
        <v>7234000</v>
      </c>
    </row>
    <row r="1544" spans="1:6">
      <c r="A1544" s="28" t="s">
        <v>47</v>
      </c>
      <c r="B1544" s="28" t="s">
        <v>33</v>
      </c>
      <c r="C1544" s="28">
        <v>2016</v>
      </c>
      <c r="D1544" s="28" t="s">
        <v>1</v>
      </c>
      <c r="E1544" s="28" t="s">
        <v>2</v>
      </c>
      <c r="F1544" s="28">
        <v>8730000</v>
      </c>
    </row>
    <row r="1545" spans="1:6">
      <c r="A1545" s="28" t="s">
        <v>47</v>
      </c>
      <c r="B1545" s="28" t="s">
        <v>33</v>
      </c>
      <c r="C1545" s="28">
        <v>2017</v>
      </c>
      <c r="D1545" s="28" t="s">
        <v>1</v>
      </c>
      <c r="E1545" s="28" t="s">
        <v>2</v>
      </c>
      <c r="F1545" s="28">
        <v>9935000</v>
      </c>
    </row>
    <row r="1546" spans="1:6">
      <c r="A1546" s="28" t="s">
        <v>47</v>
      </c>
      <c r="B1546" s="28" t="s">
        <v>33</v>
      </c>
      <c r="C1546" s="28">
        <v>2010</v>
      </c>
      <c r="D1546" s="28" t="s">
        <v>1</v>
      </c>
      <c r="E1546" s="28" t="s">
        <v>3</v>
      </c>
      <c r="F1546" s="28">
        <v>696000</v>
      </c>
    </row>
    <row r="1547" spans="1:6">
      <c r="A1547" s="28" t="s">
        <v>47</v>
      </c>
      <c r="B1547" s="28" t="s">
        <v>33</v>
      </c>
      <c r="C1547" s="28">
        <v>2011</v>
      </c>
      <c r="D1547" s="28" t="s">
        <v>1</v>
      </c>
      <c r="E1547" s="28" t="s">
        <v>3</v>
      </c>
      <c r="F1547" s="28">
        <v>815000</v>
      </c>
    </row>
    <row r="1548" spans="1:6">
      <c r="A1548" s="28" t="s">
        <v>47</v>
      </c>
      <c r="B1548" s="28" t="s">
        <v>33</v>
      </c>
      <c r="C1548" s="28">
        <v>2012</v>
      </c>
      <c r="D1548" s="28" t="s">
        <v>1</v>
      </c>
      <c r="E1548" s="28" t="s">
        <v>3</v>
      </c>
      <c r="F1548" s="28">
        <v>920000</v>
      </c>
    </row>
    <row r="1549" spans="1:6">
      <c r="A1549" s="28" t="s">
        <v>47</v>
      </c>
      <c r="B1549" s="28" t="s">
        <v>33</v>
      </c>
      <c r="C1549" s="28">
        <v>2013</v>
      </c>
      <c r="D1549" s="28" t="s">
        <v>1</v>
      </c>
      <c r="E1549" s="28" t="s">
        <v>3</v>
      </c>
      <c r="F1549" s="28">
        <v>1455000</v>
      </c>
    </row>
    <row r="1550" spans="1:6">
      <c r="A1550" s="28" t="s">
        <v>47</v>
      </c>
      <c r="B1550" s="28" t="s">
        <v>33</v>
      </c>
      <c r="C1550" s="28">
        <v>2014</v>
      </c>
      <c r="D1550" s="28" t="s">
        <v>1</v>
      </c>
      <c r="E1550" s="28" t="s">
        <v>3</v>
      </c>
      <c r="F1550" s="28">
        <v>2131000</v>
      </c>
    </row>
    <row r="1551" spans="1:6">
      <c r="A1551" s="28" t="s">
        <v>47</v>
      </c>
      <c r="B1551" s="28" t="s">
        <v>33</v>
      </c>
      <c r="C1551" s="28">
        <v>2015</v>
      </c>
      <c r="D1551" s="28" t="s">
        <v>1</v>
      </c>
      <c r="E1551" s="28" t="s">
        <v>3</v>
      </c>
      <c r="F1551" s="28">
        <v>2404000</v>
      </c>
    </row>
    <row r="1552" spans="1:6">
      <c r="A1552" s="28" t="s">
        <v>47</v>
      </c>
      <c r="B1552" s="28" t="s">
        <v>33</v>
      </c>
      <c r="C1552" s="28">
        <v>2016</v>
      </c>
      <c r="D1552" s="28" t="s">
        <v>1</v>
      </c>
      <c r="E1552" s="28" t="s">
        <v>3</v>
      </c>
      <c r="F1552" s="28">
        <v>2300000</v>
      </c>
    </row>
    <row r="1553" spans="1:6">
      <c r="A1553" s="28" t="s">
        <v>47</v>
      </c>
      <c r="B1553" s="28" t="s">
        <v>33</v>
      </c>
      <c r="C1553" s="28">
        <v>2017</v>
      </c>
      <c r="D1553" s="28" t="s">
        <v>1</v>
      </c>
      <c r="E1553" s="28" t="s">
        <v>3</v>
      </c>
      <c r="F1553" s="28">
        <v>2292000</v>
      </c>
    </row>
    <row r="1554" spans="1:6">
      <c r="A1554" s="28" t="s">
        <v>47</v>
      </c>
      <c r="B1554" s="28" t="s">
        <v>33</v>
      </c>
      <c r="C1554" s="28">
        <v>2010</v>
      </c>
      <c r="D1554" s="28" t="s">
        <v>1</v>
      </c>
      <c r="E1554" s="28" t="s">
        <v>5</v>
      </c>
      <c r="F1554" s="28">
        <v>3014000</v>
      </c>
    </row>
    <row r="1555" spans="1:6">
      <c r="A1555" s="28" t="s">
        <v>47</v>
      </c>
      <c r="B1555" s="28" t="s">
        <v>33</v>
      </c>
      <c r="C1555" s="28">
        <v>2011</v>
      </c>
      <c r="D1555" s="28" t="s">
        <v>1</v>
      </c>
      <c r="E1555" s="28" t="s">
        <v>5</v>
      </c>
      <c r="F1555" s="28">
        <v>3377000</v>
      </c>
    </row>
    <row r="1556" spans="1:6">
      <c r="A1556" s="28" t="s">
        <v>47</v>
      </c>
      <c r="B1556" s="28" t="s">
        <v>33</v>
      </c>
      <c r="C1556" s="28">
        <v>2012</v>
      </c>
      <c r="D1556" s="28" t="s">
        <v>1</v>
      </c>
      <c r="E1556" s="28" t="s">
        <v>5</v>
      </c>
      <c r="F1556" s="28">
        <v>3858000</v>
      </c>
    </row>
    <row r="1557" spans="1:6">
      <c r="A1557" s="28" t="s">
        <v>47</v>
      </c>
      <c r="B1557" s="28" t="s">
        <v>33</v>
      </c>
      <c r="C1557" s="28">
        <v>2013</v>
      </c>
      <c r="D1557" s="28" t="s">
        <v>1</v>
      </c>
      <c r="E1557" s="28" t="s">
        <v>5</v>
      </c>
      <c r="F1557" s="28">
        <v>7538000</v>
      </c>
    </row>
    <row r="1558" spans="1:6">
      <c r="A1558" s="28" t="s">
        <v>47</v>
      </c>
      <c r="B1558" s="28" t="s">
        <v>33</v>
      </c>
      <c r="C1558" s="28">
        <v>2014</v>
      </c>
      <c r="D1558" s="28" t="s">
        <v>1</v>
      </c>
      <c r="E1558" s="28" t="s">
        <v>5</v>
      </c>
      <c r="F1558" s="28">
        <v>8736000</v>
      </c>
    </row>
    <row r="1559" spans="1:6">
      <c r="A1559" s="28" t="s">
        <v>47</v>
      </c>
      <c r="B1559" s="28" t="s">
        <v>33</v>
      </c>
      <c r="C1559" s="28">
        <v>2015</v>
      </c>
      <c r="D1559" s="28" t="s">
        <v>1</v>
      </c>
      <c r="E1559" s="28" t="s">
        <v>5</v>
      </c>
      <c r="F1559" s="28">
        <v>9638000</v>
      </c>
    </row>
    <row r="1560" spans="1:6">
      <c r="A1560" s="28" t="s">
        <v>47</v>
      </c>
      <c r="B1560" s="28" t="s">
        <v>33</v>
      </c>
      <c r="C1560" s="28">
        <v>2016</v>
      </c>
      <c r="D1560" s="28" t="s">
        <v>1</v>
      </c>
      <c r="E1560" s="28" t="s">
        <v>5</v>
      </c>
      <c r="F1560" s="28">
        <v>11030000</v>
      </c>
    </row>
    <row r="1561" spans="1:6">
      <c r="A1561" s="28" t="s">
        <v>47</v>
      </c>
      <c r="B1561" s="28" t="s">
        <v>33</v>
      </c>
      <c r="C1561" s="28">
        <v>2017</v>
      </c>
      <c r="D1561" s="28" t="s">
        <v>1</v>
      </c>
      <c r="E1561" s="28" t="s">
        <v>5</v>
      </c>
      <c r="F1561" s="28">
        <v>12227000</v>
      </c>
    </row>
    <row r="1562" spans="1:6">
      <c r="A1562" s="28" t="s">
        <v>47</v>
      </c>
      <c r="B1562" s="28" t="s">
        <v>33</v>
      </c>
      <c r="C1562" s="28">
        <v>2010</v>
      </c>
      <c r="D1562" s="28" t="s">
        <v>1</v>
      </c>
      <c r="E1562" s="28" t="s">
        <v>6</v>
      </c>
      <c r="F1562" s="28">
        <v>1791000</v>
      </c>
    </row>
    <row r="1563" spans="1:6">
      <c r="A1563" s="28" t="s">
        <v>47</v>
      </c>
      <c r="B1563" s="28" t="s">
        <v>33</v>
      </c>
      <c r="C1563" s="28">
        <v>2011</v>
      </c>
      <c r="D1563" s="28" t="s">
        <v>1</v>
      </c>
      <c r="E1563" s="28" t="s">
        <v>6</v>
      </c>
      <c r="F1563" s="28">
        <v>2069000</v>
      </c>
    </row>
    <row r="1564" spans="1:6">
      <c r="A1564" s="28" t="s">
        <v>47</v>
      </c>
      <c r="B1564" s="28" t="s">
        <v>33</v>
      </c>
      <c r="C1564" s="28">
        <v>2012</v>
      </c>
      <c r="D1564" s="28" t="s">
        <v>1</v>
      </c>
      <c r="E1564" s="28" t="s">
        <v>6</v>
      </c>
      <c r="F1564" s="28">
        <v>2266000</v>
      </c>
    </row>
    <row r="1565" spans="1:6">
      <c r="A1565" s="28" t="s">
        <v>47</v>
      </c>
      <c r="B1565" s="28" t="s">
        <v>33</v>
      </c>
      <c r="C1565" s="28">
        <v>2013</v>
      </c>
      <c r="D1565" s="28" t="s">
        <v>1</v>
      </c>
      <c r="E1565" s="28" t="s">
        <v>6</v>
      </c>
      <c r="F1565" s="28">
        <v>3165000</v>
      </c>
    </row>
    <row r="1566" spans="1:6">
      <c r="A1566" s="28" t="s">
        <v>47</v>
      </c>
      <c r="B1566" s="28" t="s">
        <v>33</v>
      </c>
      <c r="C1566" s="28">
        <v>2014</v>
      </c>
      <c r="D1566" s="28" t="s">
        <v>1</v>
      </c>
      <c r="E1566" s="28" t="s">
        <v>6</v>
      </c>
      <c r="F1566" s="28">
        <v>2881000</v>
      </c>
    </row>
    <row r="1567" spans="1:6">
      <c r="A1567" s="28" t="s">
        <v>47</v>
      </c>
      <c r="B1567" s="28" t="s">
        <v>33</v>
      </c>
      <c r="C1567" s="28">
        <v>2015</v>
      </c>
      <c r="D1567" s="28" t="s">
        <v>1</v>
      </c>
      <c r="E1567" s="28" t="s">
        <v>6</v>
      </c>
      <c r="F1567" s="28">
        <v>2929000</v>
      </c>
    </row>
    <row r="1568" spans="1:6">
      <c r="A1568" s="28" t="s">
        <v>47</v>
      </c>
      <c r="B1568" s="28" t="s">
        <v>33</v>
      </c>
      <c r="C1568" s="28">
        <v>2016</v>
      </c>
      <c r="D1568" s="28" t="s">
        <v>1</v>
      </c>
      <c r="E1568" s="28" t="s">
        <v>6</v>
      </c>
      <c r="F1568" s="28">
        <v>3726000</v>
      </c>
    </row>
    <row r="1569" spans="1:6">
      <c r="A1569" s="28" t="s">
        <v>47</v>
      </c>
      <c r="B1569" s="28" t="s">
        <v>33</v>
      </c>
      <c r="C1569" s="28">
        <v>2017</v>
      </c>
      <c r="D1569" s="28" t="s">
        <v>1</v>
      </c>
      <c r="E1569" s="28" t="s">
        <v>6</v>
      </c>
      <c r="F1569" s="28">
        <v>4183000</v>
      </c>
    </row>
    <row r="1570" spans="1:6">
      <c r="A1570" s="28" t="s">
        <v>47</v>
      </c>
      <c r="B1570" s="28" t="s">
        <v>33</v>
      </c>
      <c r="C1570" s="28">
        <v>2010</v>
      </c>
      <c r="D1570" s="28" t="s">
        <v>1</v>
      </c>
      <c r="E1570" s="28" t="s">
        <v>8</v>
      </c>
      <c r="F1570" s="28">
        <v>871000</v>
      </c>
    </row>
    <row r="1571" spans="1:6">
      <c r="A1571" s="28" t="s">
        <v>47</v>
      </c>
      <c r="B1571" s="28" t="s">
        <v>33</v>
      </c>
      <c r="C1571" s="28">
        <v>2011</v>
      </c>
      <c r="D1571" s="28" t="s">
        <v>1</v>
      </c>
      <c r="E1571" s="28" t="s">
        <v>8</v>
      </c>
      <c r="F1571" s="28">
        <v>894000</v>
      </c>
    </row>
    <row r="1572" spans="1:6">
      <c r="A1572" s="28" t="s">
        <v>47</v>
      </c>
      <c r="B1572" s="28" t="s">
        <v>33</v>
      </c>
      <c r="C1572" s="28">
        <v>2012</v>
      </c>
      <c r="D1572" s="28" t="s">
        <v>1</v>
      </c>
      <c r="E1572" s="28" t="s">
        <v>8</v>
      </c>
      <c r="F1572" s="28">
        <v>1165000</v>
      </c>
    </row>
    <row r="1573" spans="1:6">
      <c r="A1573" s="28" t="s">
        <v>47</v>
      </c>
      <c r="B1573" s="28" t="s">
        <v>33</v>
      </c>
      <c r="C1573" s="28">
        <v>2013</v>
      </c>
      <c r="D1573" s="28" t="s">
        <v>1</v>
      </c>
      <c r="E1573" s="28" t="s">
        <v>8</v>
      </c>
      <c r="F1573" s="28">
        <v>2986000</v>
      </c>
    </row>
    <row r="1574" spans="1:6">
      <c r="A1574" s="28" t="s">
        <v>47</v>
      </c>
      <c r="B1574" s="28" t="s">
        <v>33</v>
      </c>
      <c r="C1574" s="28">
        <v>2014</v>
      </c>
      <c r="D1574" s="28" t="s">
        <v>1</v>
      </c>
      <c r="E1574" s="28" t="s">
        <v>8</v>
      </c>
      <c r="F1574" s="28">
        <v>3824000</v>
      </c>
    </row>
    <row r="1575" spans="1:6">
      <c r="A1575" s="28" t="s">
        <v>47</v>
      </c>
      <c r="B1575" s="28" t="s">
        <v>33</v>
      </c>
      <c r="C1575" s="28">
        <v>2015</v>
      </c>
      <c r="D1575" s="28" t="s">
        <v>1</v>
      </c>
      <c r="E1575" s="28" t="s">
        <v>8</v>
      </c>
      <c r="F1575" s="28">
        <v>4892000</v>
      </c>
    </row>
    <row r="1576" spans="1:6">
      <c r="A1576" s="28" t="s">
        <v>47</v>
      </c>
      <c r="B1576" s="28" t="s">
        <v>33</v>
      </c>
      <c r="C1576" s="28">
        <v>2016</v>
      </c>
      <c r="D1576" s="28" t="s">
        <v>1</v>
      </c>
      <c r="E1576" s="28" t="s">
        <v>8</v>
      </c>
      <c r="F1576" s="28">
        <v>4531000</v>
      </c>
    </row>
    <row r="1577" spans="1:6">
      <c r="A1577" s="28" t="s">
        <v>47</v>
      </c>
      <c r="B1577" s="28" t="s">
        <v>33</v>
      </c>
      <c r="C1577" s="28">
        <v>2017</v>
      </c>
      <c r="D1577" s="28" t="s">
        <v>1</v>
      </c>
      <c r="E1577" s="28" t="s">
        <v>8</v>
      </c>
      <c r="F1577" s="28">
        <v>4208000</v>
      </c>
    </row>
    <row r="1578" spans="1:6">
      <c r="A1578" s="28" t="s">
        <v>47</v>
      </c>
      <c r="B1578" s="28" t="s">
        <v>33</v>
      </c>
      <c r="C1578" s="28">
        <v>2010</v>
      </c>
      <c r="D1578" s="28" t="s">
        <v>1</v>
      </c>
      <c r="E1578" s="28" t="s">
        <v>9</v>
      </c>
      <c r="F1578" s="28">
        <v>352000</v>
      </c>
    </row>
    <row r="1579" spans="1:6">
      <c r="A1579" s="28" t="s">
        <v>47</v>
      </c>
      <c r="B1579" s="28" t="s">
        <v>33</v>
      </c>
      <c r="C1579" s="28">
        <v>2011</v>
      </c>
      <c r="D1579" s="28" t="s">
        <v>1</v>
      </c>
      <c r="E1579" s="28" t="s">
        <v>9</v>
      </c>
      <c r="F1579" s="28">
        <v>414000</v>
      </c>
    </row>
    <row r="1580" spans="1:6">
      <c r="A1580" s="28" t="s">
        <v>47</v>
      </c>
      <c r="B1580" s="28" t="s">
        <v>33</v>
      </c>
      <c r="C1580" s="28">
        <v>2012</v>
      </c>
      <c r="D1580" s="28" t="s">
        <v>1</v>
      </c>
      <c r="E1580" s="28" t="s">
        <v>9</v>
      </c>
      <c r="F1580" s="28">
        <v>427000</v>
      </c>
    </row>
    <row r="1581" spans="1:6">
      <c r="A1581" s="28" t="s">
        <v>47</v>
      </c>
      <c r="B1581" s="28" t="s">
        <v>33</v>
      </c>
      <c r="C1581" s="28">
        <v>2013</v>
      </c>
      <c r="D1581" s="28" t="s">
        <v>1</v>
      </c>
      <c r="E1581" s="28" t="s">
        <v>9</v>
      </c>
      <c r="F1581" s="28">
        <v>1387000</v>
      </c>
    </row>
    <row r="1582" spans="1:6">
      <c r="A1582" s="28" t="s">
        <v>47</v>
      </c>
      <c r="B1582" s="28" t="s">
        <v>33</v>
      </c>
      <c r="C1582" s="28">
        <v>2014</v>
      </c>
      <c r="D1582" s="28" t="s">
        <v>1</v>
      </c>
      <c r="E1582" s="28" t="s">
        <v>9</v>
      </c>
      <c r="F1582" s="28">
        <v>2031000</v>
      </c>
    </row>
    <row r="1583" spans="1:6">
      <c r="A1583" s="28" t="s">
        <v>47</v>
      </c>
      <c r="B1583" s="28" t="s">
        <v>33</v>
      </c>
      <c r="C1583" s="28">
        <v>2015</v>
      </c>
      <c r="D1583" s="28" t="s">
        <v>1</v>
      </c>
      <c r="E1583" s="28" t="s">
        <v>9</v>
      </c>
      <c r="F1583" s="28">
        <v>1817000</v>
      </c>
    </row>
    <row r="1584" spans="1:6">
      <c r="A1584" s="28" t="s">
        <v>47</v>
      </c>
      <c r="B1584" s="28" t="s">
        <v>33</v>
      </c>
      <c r="C1584" s="28">
        <v>2016</v>
      </c>
      <c r="D1584" s="28" t="s">
        <v>1</v>
      </c>
      <c r="E1584" s="28" t="s">
        <v>9</v>
      </c>
      <c r="F1584" s="28">
        <v>2773000</v>
      </c>
    </row>
    <row r="1585" spans="1:6">
      <c r="A1585" s="28" t="s">
        <v>47</v>
      </c>
      <c r="B1585" s="28" t="s">
        <v>33</v>
      </c>
      <c r="C1585" s="28">
        <v>2017</v>
      </c>
      <c r="D1585" s="28" t="s">
        <v>1</v>
      </c>
      <c r="E1585" s="28" t="s">
        <v>9</v>
      </c>
      <c r="F1585" s="28">
        <v>3836000</v>
      </c>
    </row>
    <row r="1586" spans="1:6">
      <c r="A1586" s="28" t="s">
        <v>47</v>
      </c>
      <c r="B1586" s="28" t="s">
        <v>33</v>
      </c>
      <c r="C1586" s="28">
        <v>2010</v>
      </c>
      <c r="D1586" s="28" t="s">
        <v>1</v>
      </c>
      <c r="E1586" s="28" t="s">
        <v>10</v>
      </c>
      <c r="F1586" s="28">
        <v>3014000</v>
      </c>
    </row>
    <row r="1587" spans="1:6">
      <c r="A1587" s="28" t="s">
        <v>47</v>
      </c>
      <c r="B1587" s="28" t="s">
        <v>33</v>
      </c>
      <c r="C1587" s="28">
        <v>2011</v>
      </c>
      <c r="D1587" s="28" t="s">
        <v>1</v>
      </c>
      <c r="E1587" s="28" t="s">
        <v>10</v>
      </c>
      <c r="F1587" s="28">
        <v>3377000</v>
      </c>
    </row>
    <row r="1588" spans="1:6">
      <c r="A1588" s="28" t="s">
        <v>47</v>
      </c>
      <c r="B1588" s="28" t="s">
        <v>33</v>
      </c>
      <c r="C1588" s="28">
        <v>2012</v>
      </c>
      <c r="D1588" s="28" t="s">
        <v>1</v>
      </c>
      <c r="E1588" s="28" t="s">
        <v>10</v>
      </c>
      <c r="F1588" s="28">
        <v>3858000</v>
      </c>
    </row>
    <row r="1589" spans="1:6">
      <c r="A1589" s="28" t="s">
        <v>47</v>
      </c>
      <c r="B1589" s="28" t="s">
        <v>33</v>
      </c>
      <c r="C1589" s="28">
        <v>2013</v>
      </c>
      <c r="D1589" s="28" t="s">
        <v>1</v>
      </c>
      <c r="E1589" s="28" t="s">
        <v>10</v>
      </c>
      <c r="F1589" s="28">
        <v>7538000</v>
      </c>
    </row>
    <row r="1590" spans="1:6">
      <c r="A1590" s="28" t="s">
        <v>47</v>
      </c>
      <c r="B1590" s="28" t="s">
        <v>33</v>
      </c>
      <c r="C1590" s="28">
        <v>2014</v>
      </c>
      <c r="D1590" s="28" t="s">
        <v>1</v>
      </c>
      <c r="E1590" s="28" t="s">
        <v>10</v>
      </c>
      <c r="F1590" s="28">
        <v>8736000</v>
      </c>
    </row>
    <row r="1591" spans="1:6">
      <c r="A1591" s="28" t="s">
        <v>47</v>
      </c>
      <c r="B1591" s="28" t="s">
        <v>33</v>
      </c>
      <c r="C1591" s="28">
        <v>2015</v>
      </c>
      <c r="D1591" s="28" t="s">
        <v>1</v>
      </c>
      <c r="E1591" s="28" t="s">
        <v>10</v>
      </c>
      <c r="F1591" s="28">
        <v>9638000</v>
      </c>
    </row>
    <row r="1592" spans="1:6">
      <c r="A1592" s="28" t="s">
        <v>47</v>
      </c>
      <c r="B1592" s="28" t="s">
        <v>33</v>
      </c>
      <c r="C1592" s="28">
        <v>2016</v>
      </c>
      <c r="D1592" s="28" t="s">
        <v>1</v>
      </c>
      <c r="E1592" s="28" t="s">
        <v>10</v>
      </c>
      <c r="F1592" s="28">
        <v>11030000</v>
      </c>
    </row>
    <row r="1593" spans="1:6">
      <c r="A1593" s="28" t="s">
        <v>47</v>
      </c>
      <c r="B1593" s="28" t="s">
        <v>33</v>
      </c>
      <c r="C1593" s="28">
        <v>2017</v>
      </c>
      <c r="D1593" s="28" t="s">
        <v>1</v>
      </c>
      <c r="E1593" s="28" t="s">
        <v>10</v>
      </c>
      <c r="F1593" s="28">
        <v>12227000</v>
      </c>
    </row>
    <row r="1594" spans="1:6">
      <c r="A1594" s="28" t="s">
        <v>47</v>
      </c>
      <c r="B1594" s="28" t="s">
        <v>33</v>
      </c>
      <c r="C1594" s="28">
        <v>2010</v>
      </c>
      <c r="D1594" s="28" t="s">
        <v>1</v>
      </c>
      <c r="E1594" s="28" t="s">
        <v>11</v>
      </c>
      <c r="F1594" s="28">
        <v>0.40577305905773098</v>
      </c>
    </row>
    <row r="1595" spans="1:6">
      <c r="A1595" s="28" t="s">
        <v>47</v>
      </c>
      <c r="B1595" s="28" t="s">
        <v>33</v>
      </c>
      <c r="C1595" s="28">
        <v>2011</v>
      </c>
      <c r="D1595" s="28" t="s">
        <v>1</v>
      </c>
      <c r="E1595" s="28" t="s">
        <v>11</v>
      </c>
      <c r="F1595" s="28">
        <v>0.38732602901983998</v>
      </c>
    </row>
    <row r="1596" spans="1:6">
      <c r="A1596" s="28" t="s">
        <v>47</v>
      </c>
      <c r="B1596" s="28" t="s">
        <v>33</v>
      </c>
      <c r="C1596" s="28">
        <v>2012</v>
      </c>
      <c r="D1596" s="28" t="s">
        <v>1</v>
      </c>
      <c r="E1596" s="28" t="s">
        <v>11</v>
      </c>
      <c r="F1596" s="28">
        <v>0.41264904095386201</v>
      </c>
    </row>
    <row r="1597" spans="1:6">
      <c r="A1597" s="28" t="s">
        <v>47</v>
      </c>
      <c r="B1597" s="28" t="s">
        <v>33</v>
      </c>
      <c r="C1597" s="28">
        <v>2013</v>
      </c>
      <c r="D1597" s="28" t="s">
        <v>1</v>
      </c>
      <c r="E1597" s="28" t="s">
        <v>11</v>
      </c>
      <c r="F1597" s="28">
        <v>0.58012735473600396</v>
      </c>
    </row>
    <row r="1598" spans="1:6">
      <c r="A1598" s="28" t="s">
        <v>47</v>
      </c>
      <c r="B1598" s="28" t="s">
        <v>33</v>
      </c>
      <c r="C1598" s="28">
        <v>2014</v>
      </c>
      <c r="D1598" s="28" t="s">
        <v>1</v>
      </c>
      <c r="E1598" s="28" t="s">
        <v>11</v>
      </c>
      <c r="F1598" s="28">
        <v>0.67021520146520097</v>
      </c>
    </row>
    <row r="1599" spans="1:6">
      <c r="A1599" s="28" t="s">
        <v>47</v>
      </c>
      <c r="B1599" s="28" t="s">
        <v>33</v>
      </c>
      <c r="C1599" s="28">
        <v>2015</v>
      </c>
      <c r="D1599" s="28" t="s">
        <v>1</v>
      </c>
      <c r="E1599" s="28" t="s">
        <v>11</v>
      </c>
      <c r="F1599" s="28">
        <v>0.69609877567960199</v>
      </c>
    </row>
    <row r="1600" spans="1:6">
      <c r="A1600" s="28" t="s">
        <v>47</v>
      </c>
      <c r="B1600" s="28" t="s">
        <v>33</v>
      </c>
      <c r="C1600" s="28">
        <v>2016</v>
      </c>
      <c r="D1600" s="28" t="s">
        <v>1</v>
      </c>
      <c r="E1600" s="28" t="s">
        <v>11</v>
      </c>
      <c r="F1600" s="28">
        <v>0.66219401631913</v>
      </c>
    </row>
    <row r="1601" spans="1:6">
      <c r="A1601" s="28" t="s">
        <v>47</v>
      </c>
      <c r="B1601" s="28" t="s">
        <v>33</v>
      </c>
      <c r="C1601" s="28">
        <v>2017</v>
      </c>
      <c r="D1601" s="28" t="s">
        <v>1</v>
      </c>
      <c r="E1601" s="28" t="s">
        <v>11</v>
      </c>
      <c r="F1601" s="28">
        <v>0.65788828003598598</v>
      </c>
    </row>
    <row r="1602" spans="1:6">
      <c r="A1602" s="28" t="s">
        <v>47</v>
      </c>
      <c r="B1602" s="28" t="s">
        <v>33</v>
      </c>
      <c r="C1602" s="28">
        <v>2010</v>
      </c>
      <c r="D1602" s="28" t="s">
        <v>4</v>
      </c>
      <c r="E1602" s="28" t="s">
        <v>12</v>
      </c>
      <c r="F1602" s="28">
        <v>1915000</v>
      </c>
    </row>
    <row r="1603" spans="1:6">
      <c r="A1603" s="28" t="s">
        <v>47</v>
      </c>
      <c r="B1603" s="28" t="s">
        <v>33</v>
      </c>
      <c r="C1603" s="28">
        <v>2011</v>
      </c>
      <c r="D1603" s="28" t="s">
        <v>4</v>
      </c>
      <c r="E1603" s="28" t="s">
        <v>12</v>
      </c>
      <c r="F1603" s="28">
        <v>2702000</v>
      </c>
    </row>
    <row r="1604" spans="1:6">
      <c r="A1604" s="28" t="s">
        <v>47</v>
      </c>
      <c r="B1604" s="28" t="s">
        <v>33</v>
      </c>
      <c r="C1604" s="28">
        <v>2012</v>
      </c>
      <c r="D1604" s="28" t="s">
        <v>4</v>
      </c>
      <c r="E1604" s="28" t="s">
        <v>12</v>
      </c>
      <c r="F1604" s="28">
        <v>3078000</v>
      </c>
    </row>
    <row r="1605" spans="1:6">
      <c r="A1605" s="28" t="s">
        <v>47</v>
      </c>
      <c r="B1605" s="28" t="s">
        <v>33</v>
      </c>
      <c r="C1605" s="28">
        <v>2013</v>
      </c>
      <c r="D1605" s="28" t="s">
        <v>4</v>
      </c>
      <c r="E1605" s="28" t="s">
        <v>12</v>
      </c>
      <c r="F1605" s="28">
        <v>4694000</v>
      </c>
    </row>
    <row r="1606" spans="1:6">
      <c r="A1606" s="28" t="s">
        <v>47</v>
      </c>
      <c r="B1606" s="28" t="s">
        <v>33</v>
      </c>
      <c r="C1606" s="28">
        <v>2014</v>
      </c>
      <c r="D1606" s="28" t="s">
        <v>4</v>
      </c>
      <c r="E1606" s="28" t="s">
        <v>12</v>
      </c>
      <c r="F1606" s="28">
        <v>5503000</v>
      </c>
    </row>
    <row r="1607" spans="1:6">
      <c r="A1607" s="28" t="s">
        <v>47</v>
      </c>
      <c r="B1607" s="28" t="s">
        <v>33</v>
      </c>
      <c r="C1607" s="28">
        <v>2015</v>
      </c>
      <c r="D1607" s="28" t="s">
        <v>4</v>
      </c>
      <c r="E1607" s="28" t="s">
        <v>12</v>
      </c>
      <c r="F1607" s="28">
        <v>5150000</v>
      </c>
    </row>
    <row r="1608" spans="1:6">
      <c r="A1608" s="28" t="s">
        <v>47</v>
      </c>
      <c r="B1608" s="28" t="s">
        <v>33</v>
      </c>
      <c r="C1608" s="28">
        <v>2016</v>
      </c>
      <c r="D1608" s="28" t="s">
        <v>4</v>
      </c>
      <c r="E1608" s="28" t="s">
        <v>12</v>
      </c>
      <c r="F1608" s="28">
        <v>4988000</v>
      </c>
    </row>
    <row r="1609" spans="1:6">
      <c r="A1609" s="28" t="s">
        <v>47</v>
      </c>
      <c r="B1609" s="28" t="s">
        <v>33</v>
      </c>
      <c r="C1609" s="28">
        <v>2017</v>
      </c>
      <c r="D1609" s="28" t="s">
        <v>4</v>
      </c>
      <c r="E1609" s="28" t="s">
        <v>12</v>
      </c>
      <c r="F1609" s="28">
        <v>6014000</v>
      </c>
    </row>
    <row r="1610" spans="1:6">
      <c r="A1610" s="28" t="s">
        <v>47</v>
      </c>
      <c r="B1610" s="28" t="s">
        <v>33</v>
      </c>
      <c r="C1610" s="28">
        <v>2010</v>
      </c>
      <c r="D1610" s="28" t="s">
        <v>4</v>
      </c>
      <c r="E1610" s="28" t="s">
        <v>13</v>
      </c>
      <c r="F1610" s="28">
        <v>293000</v>
      </c>
    </row>
    <row r="1611" spans="1:6">
      <c r="A1611" s="28" t="s">
        <v>47</v>
      </c>
      <c r="B1611" s="28" t="s">
        <v>33</v>
      </c>
      <c r="C1611" s="28">
        <v>2011</v>
      </c>
      <c r="D1611" s="28" t="s">
        <v>4</v>
      </c>
      <c r="E1611" s="28" t="s">
        <v>13</v>
      </c>
      <c r="F1611" s="28">
        <v>316000</v>
      </c>
    </row>
    <row r="1612" spans="1:6">
      <c r="A1612" s="28" t="s">
        <v>47</v>
      </c>
      <c r="B1612" s="28" t="s">
        <v>33</v>
      </c>
      <c r="C1612" s="28">
        <v>2012</v>
      </c>
      <c r="D1612" s="28" t="s">
        <v>4</v>
      </c>
      <c r="E1612" s="28" t="s">
        <v>13</v>
      </c>
      <c r="F1612" s="28">
        <v>341000</v>
      </c>
    </row>
    <row r="1613" spans="1:6">
      <c r="A1613" s="28" t="s">
        <v>47</v>
      </c>
      <c r="B1613" s="28" t="s">
        <v>33</v>
      </c>
      <c r="C1613" s="28">
        <v>2013</v>
      </c>
      <c r="D1613" s="28" t="s">
        <v>4</v>
      </c>
      <c r="E1613" s="28" t="s">
        <v>13</v>
      </c>
      <c r="F1613" s="28">
        <v>545000</v>
      </c>
    </row>
    <row r="1614" spans="1:6">
      <c r="A1614" s="28" t="s">
        <v>47</v>
      </c>
      <c r="B1614" s="28" t="s">
        <v>33</v>
      </c>
      <c r="C1614" s="28">
        <v>2014</v>
      </c>
      <c r="D1614" s="28" t="s">
        <v>4</v>
      </c>
      <c r="E1614" s="28" t="s">
        <v>13</v>
      </c>
      <c r="F1614" s="28">
        <v>348000</v>
      </c>
    </row>
    <row r="1615" spans="1:6">
      <c r="A1615" s="28" t="s">
        <v>47</v>
      </c>
      <c r="B1615" s="28" t="s">
        <v>33</v>
      </c>
      <c r="C1615" s="28">
        <v>2015</v>
      </c>
      <c r="D1615" s="28" t="s">
        <v>4</v>
      </c>
      <c r="E1615" s="28" t="s">
        <v>13</v>
      </c>
      <c r="F1615" s="28">
        <v>355000</v>
      </c>
    </row>
    <row r="1616" spans="1:6">
      <c r="A1616" s="28" t="s">
        <v>47</v>
      </c>
      <c r="B1616" s="28" t="s">
        <v>33</v>
      </c>
      <c r="C1616" s="28">
        <v>2016</v>
      </c>
      <c r="D1616" s="28" t="s">
        <v>4</v>
      </c>
      <c r="E1616" s="28" t="s">
        <v>13</v>
      </c>
      <c r="F1616" s="28">
        <v>181000</v>
      </c>
    </row>
    <row r="1617" spans="1:6">
      <c r="A1617" s="28" t="s">
        <v>47</v>
      </c>
      <c r="B1617" s="28" t="s">
        <v>33</v>
      </c>
      <c r="C1617" s="28">
        <v>2017</v>
      </c>
      <c r="D1617" s="28" t="s">
        <v>4</v>
      </c>
      <c r="E1617" s="28" t="s">
        <v>13</v>
      </c>
      <c r="F1617" s="28">
        <v>222000</v>
      </c>
    </row>
    <row r="1618" spans="1:6">
      <c r="A1618" s="28" t="s">
        <v>47</v>
      </c>
      <c r="B1618" s="28" t="s">
        <v>33</v>
      </c>
      <c r="C1618" s="28">
        <v>2010</v>
      </c>
      <c r="D1618" s="28" t="s">
        <v>4</v>
      </c>
      <c r="E1618" s="28" t="s">
        <v>14</v>
      </c>
      <c r="F1618" s="28">
        <v>62834.474634887403</v>
      </c>
    </row>
    <row r="1619" spans="1:6">
      <c r="A1619" s="28" t="s">
        <v>47</v>
      </c>
      <c r="B1619" s="28" t="s">
        <v>33</v>
      </c>
      <c r="C1619" s="28">
        <v>2011</v>
      </c>
      <c r="D1619" s="28" t="s">
        <v>4</v>
      </c>
      <c r="E1619" s="28" t="s">
        <v>14</v>
      </c>
      <c r="F1619" s="28">
        <v>83923.2080904209</v>
      </c>
    </row>
    <row r="1620" spans="1:6">
      <c r="A1620" s="28" t="s">
        <v>47</v>
      </c>
      <c r="B1620" s="28" t="s">
        <v>33</v>
      </c>
      <c r="C1620" s="28">
        <v>2012</v>
      </c>
      <c r="D1620" s="28" t="s">
        <v>4</v>
      </c>
      <c r="E1620" s="28" t="s">
        <v>14</v>
      </c>
      <c r="F1620" s="28">
        <v>101341.006891057</v>
      </c>
    </row>
    <row r="1621" spans="1:6">
      <c r="A1621" s="28" t="s">
        <v>47</v>
      </c>
      <c r="B1621" s="28" t="s">
        <v>33</v>
      </c>
      <c r="C1621" s="28">
        <v>2013</v>
      </c>
      <c r="D1621" s="28" t="s">
        <v>4</v>
      </c>
      <c r="E1621" s="28" t="s">
        <v>14</v>
      </c>
      <c r="F1621" s="28">
        <v>143419.33197267301</v>
      </c>
    </row>
    <row r="1622" spans="1:6">
      <c r="A1622" s="28" t="s">
        <v>47</v>
      </c>
      <c r="B1622" s="28" t="s">
        <v>33</v>
      </c>
      <c r="C1622" s="28">
        <v>2014</v>
      </c>
      <c r="D1622" s="28" t="s">
        <v>4</v>
      </c>
      <c r="E1622" s="28" t="s">
        <v>14</v>
      </c>
      <c r="F1622" s="28">
        <v>97816.503846536696</v>
      </c>
    </row>
    <row r="1623" spans="1:6">
      <c r="A1623" s="28" t="s">
        <v>47</v>
      </c>
      <c r="B1623" s="28" t="s">
        <v>33</v>
      </c>
      <c r="C1623" s="28">
        <v>2015</v>
      </c>
      <c r="D1623" s="28" t="s">
        <v>4</v>
      </c>
      <c r="E1623" s="28" t="s">
        <v>14</v>
      </c>
      <c r="F1623" s="28">
        <v>70661.487568380398</v>
      </c>
    </row>
    <row r="1624" spans="1:6">
      <c r="A1624" s="28" t="s">
        <v>47</v>
      </c>
      <c r="B1624" s="28" t="s">
        <v>33</v>
      </c>
      <c r="C1624" s="28">
        <v>2016</v>
      </c>
      <c r="D1624" s="28" t="s">
        <v>4</v>
      </c>
      <c r="E1624" s="28" t="s">
        <v>14</v>
      </c>
      <c r="F1624" s="28">
        <v>82233.018832152695</v>
      </c>
    </row>
    <row r="1625" spans="1:6">
      <c r="A1625" s="28" t="s">
        <v>47</v>
      </c>
      <c r="B1625" s="28" t="s">
        <v>33</v>
      </c>
      <c r="C1625" s="28">
        <v>2017</v>
      </c>
      <c r="D1625" s="28" t="s">
        <v>4</v>
      </c>
      <c r="E1625" s="28" t="s">
        <v>14</v>
      </c>
      <c r="F1625" s="28">
        <v>104409.359689723</v>
      </c>
    </row>
    <row r="1626" spans="1:6">
      <c r="A1626" s="28" t="s">
        <v>47</v>
      </c>
      <c r="B1626" s="28" t="s">
        <v>33</v>
      </c>
      <c r="C1626" s="28">
        <v>2010</v>
      </c>
      <c r="D1626" s="28" t="s">
        <v>4</v>
      </c>
      <c r="E1626" s="28" t="s">
        <v>15</v>
      </c>
      <c r="F1626" s="28">
        <v>9613.8386778182794</v>
      </c>
    </row>
    <row r="1627" spans="1:6">
      <c r="A1627" s="28" t="s">
        <v>47</v>
      </c>
      <c r="B1627" s="28" t="s">
        <v>33</v>
      </c>
      <c r="C1627" s="28">
        <v>2011</v>
      </c>
      <c r="D1627" s="28" t="s">
        <v>4</v>
      </c>
      <c r="E1627" s="28" t="s">
        <v>15</v>
      </c>
      <c r="F1627" s="28">
        <v>9814.8533518034801</v>
      </c>
    </row>
    <row r="1628" spans="1:6">
      <c r="A1628" s="28" t="s">
        <v>47</v>
      </c>
      <c r="B1628" s="28" t="s">
        <v>33</v>
      </c>
      <c r="C1628" s="28">
        <v>2012</v>
      </c>
      <c r="D1628" s="28" t="s">
        <v>4</v>
      </c>
      <c r="E1628" s="28" t="s">
        <v>15</v>
      </c>
      <c r="F1628" s="28">
        <v>11227.1875730508</v>
      </c>
    </row>
    <row r="1629" spans="1:6">
      <c r="A1629" s="28" t="s">
        <v>47</v>
      </c>
      <c r="B1629" s="28" t="s">
        <v>33</v>
      </c>
      <c r="C1629" s="28">
        <v>2013</v>
      </c>
      <c r="D1629" s="28" t="s">
        <v>4</v>
      </c>
      <c r="E1629" s="28" t="s">
        <v>15</v>
      </c>
      <c r="F1629" s="28">
        <v>16651.797171944301</v>
      </c>
    </row>
    <row r="1630" spans="1:6">
      <c r="A1630" s="28" t="s">
        <v>47</v>
      </c>
      <c r="B1630" s="28" t="s">
        <v>33</v>
      </c>
      <c r="C1630" s="28">
        <v>2014</v>
      </c>
      <c r="D1630" s="28" t="s">
        <v>4</v>
      </c>
      <c r="E1630" s="28" t="s">
        <v>15</v>
      </c>
      <c r="F1630" s="28">
        <v>6185.7429290559303</v>
      </c>
    </row>
    <row r="1631" spans="1:6">
      <c r="A1631" s="28" t="s">
        <v>47</v>
      </c>
      <c r="B1631" s="28" t="s">
        <v>33</v>
      </c>
      <c r="C1631" s="28">
        <v>2015</v>
      </c>
      <c r="D1631" s="28" t="s">
        <v>4</v>
      </c>
      <c r="E1631" s="28" t="s">
        <v>15</v>
      </c>
      <c r="F1631" s="28">
        <v>4870.8404051990401</v>
      </c>
    </row>
    <row r="1632" spans="1:6">
      <c r="A1632" s="28" t="s">
        <v>47</v>
      </c>
      <c r="B1632" s="28" t="s">
        <v>33</v>
      </c>
      <c r="C1632" s="28">
        <v>2016</v>
      </c>
      <c r="D1632" s="28" t="s">
        <v>4</v>
      </c>
      <c r="E1632" s="28" t="s">
        <v>15</v>
      </c>
      <c r="F1632" s="28">
        <v>2983.9968742220599</v>
      </c>
    </row>
    <row r="1633" spans="1:6">
      <c r="A1633" s="28" t="s">
        <v>47</v>
      </c>
      <c r="B1633" s="28" t="s">
        <v>33</v>
      </c>
      <c r="C1633" s="28">
        <v>2017</v>
      </c>
      <c r="D1633" s="28" t="s">
        <v>4</v>
      </c>
      <c r="E1633" s="28" t="s">
        <v>15</v>
      </c>
      <c r="F1633" s="28">
        <v>3854.1532841899898</v>
      </c>
    </row>
    <row r="1634" spans="1:6">
      <c r="A1634" s="28" t="s">
        <v>47</v>
      </c>
      <c r="B1634" s="28" t="s">
        <v>33</v>
      </c>
      <c r="C1634" s="28">
        <v>2010</v>
      </c>
      <c r="D1634" s="28" t="s">
        <v>7</v>
      </c>
      <c r="E1634" s="28" t="s">
        <v>16</v>
      </c>
      <c r="F1634" s="28">
        <v>480000</v>
      </c>
    </row>
    <row r="1635" spans="1:6">
      <c r="A1635" s="28" t="s">
        <v>47</v>
      </c>
      <c r="B1635" s="28" t="s">
        <v>33</v>
      </c>
      <c r="C1635" s="28">
        <v>2011</v>
      </c>
      <c r="D1635" s="28" t="s">
        <v>7</v>
      </c>
      <c r="E1635" s="28" t="s">
        <v>16</v>
      </c>
      <c r="F1635" s="28">
        <v>542000</v>
      </c>
    </row>
    <row r="1636" spans="1:6">
      <c r="A1636" s="28" t="s">
        <v>47</v>
      </c>
      <c r="B1636" s="28" t="s">
        <v>33</v>
      </c>
      <c r="C1636" s="28">
        <v>2012</v>
      </c>
      <c r="D1636" s="28" t="s">
        <v>7</v>
      </c>
      <c r="E1636" s="28" t="s">
        <v>16</v>
      </c>
      <c r="F1636" s="28">
        <v>453000</v>
      </c>
    </row>
    <row r="1637" spans="1:6">
      <c r="A1637" s="28" t="s">
        <v>47</v>
      </c>
      <c r="B1637" s="28" t="s">
        <v>33</v>
      </c>
      <c r="C1637" s="28">
        <v>2013</v>
      </c>
      <c r="D1637" s="28" t="s">
        <v>7</v>
      </c>
      <c r="E1637" s="28" t="s">
        <v>16</v>
      </c>
      <c r="F1637" s="28">
        <v>783000</v>
      </c>
    </row>
    <row r="1638" spans="1:6">
      <c r="A1638" s="28" t="s">
        <v>47</v>
      </c>
      <c r="B1638" s="28" t="s">
        <v>33</v>
      </c>
      <c r="C1638" s="28">
        <v>2014</v>
      </c>
      <c r="D1638" s="28" t="s">
        <v>7</v>
      </c>
      <c r="E1638" s="28" t="s">
        <v>16</v>
      </c>
      <c r="F1638" s="28">
        <v>1067000</v>
      </c>
    </row>
    <row r="1639" spans="1:6">
      <c r="A1639" s="28" t="s">
        <v>47</v>
      </c>
      <c r="B1639" s="28" t="s">
        <v>33</v>
      </c>
      <c r="C1639" s="28">
        <v>2015</v>
      </c>
      <c r="D1639" s="28" t="s">
        <v>7</v>
      </c>
      <c r="E1639" s="28" t="s">
        <v>16</v>
      </c>
      <c r="F1639" s="28">
        <v>944000</v>
      </c>
    </row>
    <row r="1640" spans="1:6">
      <c r="A1640" s="28" t="s">
        <v>47</v>
      </c>
      <c r="B1640" s="28" t="s">
        <v>33</v>
      </c>
      <c r="C1640" s="28">
        <v>2016</v>
      </c>
      <c r="D1640" s="28" t="s">
        <v>7</v>
      </c>
      <c r="E1640" s="28" t="s">
        <v>16</v>
      </c>
      <c r="F1640" s="28">
        <v>862000</v>
      </c>
    </row>
    <row r="1641" spans="1:6">
      <c r="A1641" s="28" t="s">
        <v>47</v>
      </c>
      <c r="B1641" s="28" t="s">
        <v>33</v>
      </c>
      <c r="C1641" s="28">
        <v>2017</v>
      </c>
      <c r="D1641" s="28" t="s">
        <v>7</v>
      </c>
      <c r="E1641" s="28" t="s">
        <v>16</v>
      </c>
      <c r="F1641" s="28">
        <v>488000</v>
      </c>
    </row>
    <row r="1642" spans="1:6">
      <c r="A1642" s="28" t="s">
        <v>47</v>
      </c>
      <c r="B1642" s="28" t="s">
        <v>33</v>
      </c>
      <c r="C1642" s="28">
        <v>2010</v>
      </c>
      <c r="D1642" s="28" t="s">
        <v>7</v>
      </c>
      <c r="E1642" s="28" t="s">
        <v>17</v>
      </c>
      <c r="F1642" s="28">
        <v>15749.633328849101</v>
      </c>
    </row>
    <row r="1643" spans="1:6">
      <c r="A1643" s="28" t="s">
        <v>47</v>
      </c>
      <c r="B1643" s="28" t="s">
        <v>33</v>
      </c>
      <c r="C1643" s="28">
        <v>2011</v>
      </c>
      <c r="D1643" s="28" t="s">
        <v>7</v>
      </c>
      <c r="E1643" s="28" t="s">
        <v>17</v>
      </c>
      <c r="F1643" s="28">
        <v>16834.3370780933</v>
      </c>
    </row>
    <row r="1644" spans="1:6">
      <c r="A1644" s="28" t="s">
        <v>47</v>
      </c>
      <c r="B1644" s="28" t="s">
        <v>33</v>
      </c>
      <c r="C1644" s="28">
        <v>2012</v>
      </c>
      <c r="D1644" s="28" t="s">
        <v>7</v>
      </c>
      <c r="E1644" s="28" t="s">
        <v>17</v>
      </c>
      <c r="F1644" s="28">
        <v>14914.7095911789</v>
      </c>
    </row>
    <row r="1645" spans="1:6">
      <c r="A1645" s="28" t="s">
        <v>47</v>
      </c>
      <c r="B1645" s="28" t="s">
        <v>33</v>
      </c>
      <c r="C1645" s="28">
        <v>2013</v>
      </c>
      <c r="D1645" s="28" t="s">
        <v>7</v>
      </c>
      <c r="E1645" s="28" t="s">
        <v>17</v>
      </c>
      <c r="F1645" s="28">
        <v>23923.591166298</v>
      </c>
    </row>
    <row r="1646" spans="1:6">
      <c r="A1646" s="28" t="s">
        <v>47</v>
      </c>
      <c r="B1646" s="28" t="s">
        <v>33</v>
      </c>
      <c r="C1646" s="28">
        <v>2014</v>
      </c>
      <c r="D1646" s="28" t="s">
        <v>7</v>
      </c>
      <c r="E1646" s="28" t="s">
        <v>17</v>
      </c>
      <c r="F1646" s="28">
        <v>18966.056624433</v>
      </c>
    </row>
    <row r="1647" spans="1:6">
      <c r="A1647" s="28" t="s">
        <v>47</v>
      </c>
      <c r="B1647" s="28" t="s">
        <v>33</v>
      </c>
      <c r="C1647" s="28">
        <v>2015</v>
      </c>
      <c r="D1647" s="28" t="s">
        <v>7</v>
      </c>
      <c r="E1647" s="28" t="s">
        <v>17</v>
      </c>
      <c r="F1647" s="28">
        <v>12952.319274670101</v>
      </c>
    </row>
    <row r="1648" spans="1:6">
      <c r="A1648" s="28" t="s">
        <v>47</v>
      </c>
      <c r="B1648" s="28" t="s">
        <v>33</v>
      </c>
      <c r="C1648" s="28">
        <v>2016</v>
      </c>
      <c r="D1648" s="28" t="s">
        <v>7</v>
      </c>
      <c r="E1648" s="28" t="s">
        <v>17</v>
      </c>
      <c r="F1648" s="28">
        <v>14211.0790363504</v>
      </c>
    </row>
    <row r="1649" spans="1:6">
      <c r="A1649" s="28" t="s">
        <v>47</v>
      </c>
      <c r="B1649" s="28" t="s">
        <v>33</v>
      </c>
      <c r="C1649" s="28">
        <v>2017</v>
      </c>
      <c r="D1649" s="28" t="s">
        <v>7</v>
      </c>
      <c r="E1649" s="28" t="s">
        <v>17</v>
      </c>
      <c r="F1649" s="28">
        <v>8472.19280488609</v>
      </c>
    </row>
    <row r="1650" spans="1:6">
      <c r="A1650" s="28" t="s">
        <v>47</v>
      </c>
      <c r="B1650" s="28" t="s">
        <v>33</v>
      </c>
      <c r="C1650" s="28">
        <v>2010</v>
      </c>
      <c r="D1650" s="28" t="s">
        <v>20</v>
      </c>
      <c r="E1650" s="28" t="s">
        <v>18</v>
      </c>
      <c r="F1650" s="28">
        <v>9598</v>
      </c>
    </row>
    <row r="1651" spans="1:6">
      <c r="A1651" s="28" t="s">
        <v>47</v>
      </c>
      <c r="B1651" s="28" t="s">
        <v>33</v>
      </c>
      <c r="C1651" s="28">
        <v>2011</v>
      </c>
      <c r="D1651" s="28" t="s">
        <v>20</v>
      </c>
      <c r="E1651" s="28" t="s">
        <v>18</v>
      </c>
      <c r="F1651" s="28">
        <v>9591</v>
      </c>
    </row>
    <row r="1652" spans="1:6">
      <c r="A1652" s="28" t="s">
        <v>47</v>
      </c>
      <c r="B1652" s="28" t="s">
        <v>33</v>
      </c>
      <c r="C1652" s="28">
        <v>2012</v>
      </c>
      <c r="D1652" s="28" t="s">
        <v>20</v>
      </c>
      <c r="E1652" s="28" t="s">
        <v>18</v>
      </c>
      <c r="F1652" s="28">
        <v>9416</v>
      </c>
    </row>
    <row r="1653" spans="1:6">
      <c r="A1653" s="28" t="s">
        <v>47</v>
      </c>
      <c r="B1653" s="28" t="s">
        <v>33</v>
      </c>
      <c r="C1653" s="28">
        <v>2013</v>
      </c>
      <c r="D1653" s="28" t="s">
        <v>20</v>
      </c>
      <c r="E1653" s="28" t="s">
        <v>18</v>
      </c>
      <c r="F1653" s="28">
        <v>10304</v>
      </c>
    </row>
    <row r="1654" spans="1:6">
      <c r="A1654" s="28" t="s">
        <v>47</v>
      </c>
      <c r="B1654" s="28" t="s">
        <v>33</v>
      </c>
      <c r="C1654" s="28">
        <v>2014</v>
      </c>
      <c r="D1654" s="28" t="s">
        <v>20</v>
      </c>
      <c r="E1654" s="28" t="s">
        <v>18</v>
      </c>
      <c r="F1654" s="28">
        <v>10598</v>
      </c>
    </row>
    <row r="1655" spans="1:6">
      <c r="A1655" s="28" t="s">
        <v>47</v>
      </c>
      <c r="B1655" s="28" t="s">
        <v>33</v>
      </c>
      <c r="C1655" s="28">
        <v>2015</v>
      </c>
      <c r="D1655" s="28" t="s">
        <v>20</v>
      </c>
      <c r="E1655" s="28" t="s">
        <v>18</v>
      </c>
      <c r="F1655" s="28">
        <v>10598</v>
      </c>
    </row>
    <row r="1656" spans="1:6">
      <c r="A1656" s="28" t="s">
        <v>47</v>
      </c>
      <c r="B1656" s="28" t="s">
        <v>33</v>
      </c>
      <c r="C1656" s="28">
        <v>2016</v>
      </c>
      <c r="D1656" s="28" t="s">
        <v>20</v>
      </c>
      <c r="E1656" s="28" t="s">
        <v>18</v>
      </c>
      <c r="F1656" s="28">
        <v>10598</v>
      </c>
    </row>
    <row r="1657" spans="1:6">
      <c r="A1657" s="28" t="s">
        <v>47</v>
      </c>
      <c r="B1657" s="28" t="s">
        <v>33</v>
      </c>
      <c r="C1657" s="28">
        <v>2017</v>
      </c>
      <c r="D1657" s="28" t="s">
        <v>20</v>
      </c>
      <c r="E1657" s="28" t="s">
        <v>18</v>
      </c>
      <c r="F1657" s="28">
        <v>10598</v>
      </c>
    </row>
    <row r="1658" spans="1:6">
      <c r="A1658" s="28" t="s">
        <v>47</v>
      </c>
      <c r="B1658" s="28" t="s">
        <v>33</v>
      </c>
      <c r="C1658" s="28">
        <v>2010</v>
      </c>
      <c r="D1658" s="28" t="s">
        <v>20</v>
      </c>
      <c r="E1658" s="28" t="s">
        <v>19</v>
      </c>
      <c r="F1658" s="28">
        <v>207.75</v>
      </c>
    </row>
    <row r="1659" spans="1:6">
      <c r="A1659" s="28" t="s">
        <v>47</v>
      </c>
      <c r="B1659" s="28" t="s">
        <v>33</v>
      </c>
      <c r="C1659" s="28">
        <v>2011</v>
      </c>
      <c r="D1659" s="28" t="s">
        <v>20</v>
      </c>
      <c r="E1659" s="28" t="s">
        <v>19</v>
      </c>
      <c r="F1659" s="28">
        <v>214.55</v>
      </c>
    </row>
    <row r="1660" spans="1:6">
      <c r="A1660" s="28" t="s">
        <v>47</v>
      </c>
      <c r="B1660" s="28" t="s">
        <v>33</v>
      </c>
      <c r="C1660" s="28">
        <v>2012</v>
      </c>
      <c r="D1660" s="28" t="s">
        <v>20</v>
      </c>
      <c r="E1660" s="28" t="s">
        <v>19</v>
      </c>
      <c r="F1660" s="28">
        <v>270</v>
      </c>
    </row>
    <row r="1661" spans="1:6">
      <c r="A1661" s="28" t="s">
        <v>47</v>
      </c>
      <c r="B1661" s="28" t="s">
        <v>33</v>
      </c>
      <c r="C1661" s="28">
        <v>2013</v>
      </c>
      <c r="D1661" s="28" t="s">
        <v>20</v>
      </c>
      <c r="E1661" s="28" t="s">
        <v>19</v>
      </c>
      <c r="F1661" s="28">
        <v>251.55</v>
      </c>
    </row>
    <row r="1662" spans="1:6">
      <c r="A1662" s="28" t="s">
        <v>47</v>
      </c>
      <c r="B1662" s="28" t="s">
        <v>33</v>
      </c>
      <c r="C1662" s="28">
        <v>2014</v>
      </c>
      <c r="D1662" s="28" t="s">
        <v>20</v>
      </c>
      <c r="E1662" s="28" t="s">
        <v>19</v>
      </c>
      <c r="F1662" s="28">
        <v>195.8</v>
      </c>
    </row>
    <row r="1663" spans="1:6">
      <c r="A1663" s="28" t="s">
        <v>47</v>
      </c>
      <c r="B1663" s="28" t="s">
        <v>33</v>
      </c>
      <c r="C1663" s="28">
        <v>2015</v>
      </c>
      <c r="D1663" s="28" t="s">
        <v>20</v>
      </c>
      <c r="E1663" s="28" t="s">
        <v>19</v>
      </c>
      <c r="F1663" s="28">
        <v>253.25</v>
      </c>
    </row>
    <row r="1664" spans="1:6">
      <c r="A1664" s="28" t="s">
        <v>47</v>
      </c>
      <c r="B1664" s="28" t="s">
        <v>33</v>
      </c>
      <c r="C1664" s="28">
        <v>2016</v>
      </c>
      <c r="D1664" s="28" t="s">
        <v>20</v>
      </c>
      <c r="E1664" s="28" t="s">
        <v>19</v>
      </c>
      <c r="F1664" s="28">
        <v>402.8</v>
      </c>
    </row>
    <row r="1665" spans="1:6">
      <c r="A1665" s="28" t="s">
        <v>47</v>
      </c>
      <c r="B1665" s="28" t="s">
        <v>33</v>
      </c>
      <c r="C1665" s="28">
        <v>2017</v>
      </c>
      <c r="D1665" s="28" t="s">
        <v>20</v>
      </c>
      <c r="E1665" s="28" t="s">
        <v>19</v>
      </c>
      <c r="F1665" s="28">
        <v>291.5</v>
      </c>
    </row>
    <row r="1666" spans="1:6">
      <c r="A1666" s="28" t="s">
        <v>48</v>
      </c>
      <c r="B1666" s="28" t="s">
        <v>33</v>
      </c>
      <c r="C1666" s="28">
        <v>2010</v>
      </c>
      <c r="D1666" s="28" t="s">
        <v>1</v>
      </c>
      <c r="E1666" s="28" t="s">
        <v>2</v>
      </c>
      <c r="F1666" s="28">
        <v>761038.66989999998</v>
      </c>
    </row>
    <row r="1667" spans="1:6">
      <c r="A1667" s="28" t="s">
        <v>48</v>
      </c>
      <c r="B1667" s="28" t="s">
        <v>33</v>
      </c>
      <c r="C1667" s="28">
        <v>2011</v>
      </c>
      <c r="D1667" s="28" t="s">
        <v>1</v>
      </c>
      <c r="E1667" s="28" t="s">
        <v>2</v>
      </c>
      <c r="F1667" s="28">
        <v>888998.7132</v>
      </c>
    </row>
    <row r="1668" spans="1:6">
      <c r="A1668" s="28" t="s">
        <v>48</v>
      </c>
      <c r="B1668" s="28" t="s">
        <v>33</v>
      </c>
      <c r="C1668" s="28">
        <v>2012</v>
      </c>
      <c r="D1668" s="28" t="s">
        <v>1</v>
      </c>
      <c r="E1668" s="28" t="s">
        <v>2</v>
      </c>
      <c r="F1668" s="28">
        <v>957640</v>
      </c>
    </row>
    <row r="1669" spans="1:6">
      <c r="A1669" s="28" t="s">
        <v>48</v>
      </c>
      <c r="B1669" s="28" t="s">
        <v>33</v>
      </c>
      <c r="C1669" s="28">
        <v>2013</v>
      </c>
      <c r="D1669" s="28" t="s">
        <v>1</v>
      </c>
      <c r="E1669" s="28" t="s">
        <v>2</v>
      </c>
      <c r="F1669" s="28">
        <v>1130562</v>
      </c>
    </row>
    <row r="1670" spans="1:6">
      <c r="A1670" s="28" t="s">
        <v>48</v>
      </c>
      <c r="B1670" s="28" t="s">
        <v>33</v>
      </c>
      <c r="C1670" s="28">
        <v>2014</v>
      </c>
      <c r="D1670" s="28" t="s">
        <v>1</v>
      </c>
      <c r="E1670" s="28" t="s">
        <v>2</v>
      </c>
      <c r="F1670" s="28">
        <v>1626799</v>
      </c>
    </row>
    <row r="1671" spans="1:6">
      <c r="A1671" s="28" t="s">
        <v>48</v>
      </c>
      <c r="B1671" s="28" t="s">
        <v>33</v>
      </c>
      <c r="C1671" s="28">
        <v>2015</v>
      </c>
      <c r="D1671" s="28" t="s">
        <v>1</v>
      </c>
      <c r="E1671" s="28" t="s">
        <v>2</v>
      </c>
      <c r="F1671" s="28">
        <v>1974722</v>
      </c>
    </row>
    <row r="1672" spans="1:6">
      <c r="A1672" s="28" t="s">
        <v>48</v>
      </c>
      <c r="B1672" s="28" t="s">
        <v>33</v>
      </c>
      <c r="C1672" s="28">
        <v>2016</v>
      </c>
      <c r="D1672" s="28" t="s">
        <v>1</v>
      </c>
      <c r="E1672" s="28" t="s">
        <v>2</v>
      </c>
      <c r="F1672" s="28">
        <v>2152479</v>
      </c>
    </row>
    <row r="1673" spans="1:6">
      <c r="A1673" s="28" t="s">
        <v>48</v>
      </c>
      <c r="B1673" s="28" t="s">
        <v>33</v>
      </c>
      <c r="C1673" s="28">
        <v>2017</v>
      </c>
      <c r="D1673" s="28" t="s">
        <v>1</v>
      </c>
      <c r="E1673" s="28" t="s">
        <v>2</v>
      </c>
      <c r="F1673" s="28">
        <v>2507421</v>
      </c>
    </row>
    <row r="1674" spans="1:6">
      <c r="A1674" s="28" t="s">
        <v>48</v>
      </c>
      <c r="B1674" s="28" t="s">
        <v>33</v>
      </c>
      <c r="C1674" s="28">
        <v>2010</v>
      </c>
      <c r="D1674" s="28" t="s">
        <v>1</v>
      </c>
      <c r="E1674" s="28" t="s">
        <v>3</v>
      </c>
      <c r="F1674" s="28">
        <v>216172.65169999999</v>
      </c>
    </row>
    <row r="1675" spans="1:6">
      <c r="A1675" s="28" t="s">
        <v>48</v>
      </c>
      <c r="B1675" s="28" t="s">
        <v>33</v>
      </c>
      <c r="C1675" s="28">
        <v>2011</v>
      </c>
      <c r="D1675" s="28" t="s">
        <v>1</v>
      </c>
      <c r="E1675" s="28" t="s">
        <v>3</v>
      </c>
      <c r="F1675" s="28">
        <v>292050.82309999998</v>
      </c>
    </row>
    <row r="1676" spans="1:6">
      <c r="A1676" s="28" t="s">
        <v>48</v>
      </c>
      <c r="B1676" s="28" t="s">
        <v>33</v>
      </c>
      <c r="C1676" s="28">
        <v>2012</v>
      </c>
      <c r="D1676" s="28" t="s">
        <v>1</v>
      </c>
      <c r="E1676" s="28" t="s">
        <v>3</v>
      </c>
      <c r="F1676" s="28">
        <v>370570</v>
      </c>
    </row>
    <row r="1677" spans="1:6">
      <c r="A1677" s="28" t="s">
        <v>48</v>
      </c>
      <c r="B1677" s="28" t="s">
        <v>33</v>
      </c>
      <c r="C1677" s="28">
        <v>2013</v>
      </c>
      <c r="D1677" s="28" t="s">
        <v>1</v>
      </c>
      <c r="E1677" s="28" t="s">
        <v>3</v>
      </c>
      <c r="F1677" s="28">
        <v>433071</v>
      </c>
    </row>
    <row r="1678" spans="1:6">
      <c r="A1678" s="28" t="s">
        <v>48</v>
      </c>
      <c r="B1678" s="28" t="s">
        <v>33</v>
      </c>
      <c r="C1678" s="28">
        <v>2014</v>
      </c>
      <c r="D1678" s="28" t="s">
        <v>1</v>
      </c>
      <c r="E1678" s="28" t="s">
        <v>3</v>
      </c>
      <c r="F1678" s="28">
        <v>470925</v>
      </c>
    </row>
    <row r="1679" spans="1:6">
      <c r="A1679" s="28" t="s">
        <v>48</v>
      </c>
      <c r="B1679" s="28" t="s">
        <v>33</v>
      </c>
      <c r="C1679" s="28">
        <v>2015</v>
      </c>
      <c r="D1679" s="28" t="s">
        <v>1</v>
      </c>
      <c r="E1679" s="28" t="s">
        <v>3</v>
      </c>
      <c r="F1679" s="28">
        <v>510744</v>
      </c>
    </row>
    <row r="1680" spans="1:6">
      <c r="A1680" s="28" t="s">
        <v>48</v>
      </c>
      <c r="B1680" s="28" t="s">
        <v>33</v>
      </c>
      <c r="C1680" s="28">
        <v>2016</v>
      </c>
      <c r="D1680" s="28" t="s">
        <v>1</v>
      </c>
      <c r="E1680" s="28" t="s">
        <v>3</v>
      </c>
      <c r="F1680" s="28">
        <v>396332</v>
      </c>
    </row>
    <row r="1681" spans="1:6">
      <c r="A1681" s="28" t="s">
        <v>48</v>
      </c>
      <c r="B1681" s="28" t="s">
        <v>33</v>
      </c>
      <c r="C1681" s="28">
        <v>2017</v>
      </c>
      <c r="D1681" s="28" t="s">
        <v>1</v>
      </c>
      <c r="E1681" s="28" t="s">
        <v>3</v>
      </c>
      <c r="F1681" s="28">
        <v>422587</v>
      </c>
    </row>
    <row r="1682" spans="1:6">
      <c r="A1682" s="28" t="s">
        <v>48</v>
      </c>
      <c r="B1682" s="28" t="s">
        <v>33</v>
      </c>
      <c r="C1682" s="28">
        <v>2010</v>
      </c>
      <c r="D1682" s="28" t="s">
        <v>1</v>
      </c>
      <c r="E1682" s="28" t="s">
        <v>5</v>
      </c>
      <c r="F1682" s="28">
        <v>977211.32160000002</v>
      </c>
    </row>
    <row r="1683" spans="1:6">
      <c r="A1683" s="28" t="s">
        <v>48</v>
      </c>
      <c r="B1683" s="28" t="s">
        <v>33</v>
      </c>
      <c r="C1683" s="28">
        <v>2011</v>
      </c>
      <c r="D1683" s="28" t="s">
        <v>1</v>
      </c>
      <c r="E1683" s="28" t="s">
        <v>5</v>
      </c>
      <c r="F1683" s="28">
        <v>1181049.5363</v>
      </c>
    </row>
    <row r="1684" spans="1:6">
      <c r="A1684" s="28" t="s">
        <v>48</v>
      </c>
      <c r="B1684" s="28" t="s">
        <v>33</v>
      </c>
      <c r="C1684" s="28">
        <v>2012</v>
      </c>
      <c r="D1684" s="28" t="s">
        <v>1</v>
      </c>
      <c r="E1684" s="28" t="s">
        <v>5</v>
      </c>
      <c r="F1684" s="28">
        <v>1328210</v>
      </c>
    </row>
    <row r="1685" spans="1:6">
      <c r="A1685" s="28" t="s">
        <v>48</v>
      </c>
      <c r="B1685" s="28" t="s">
        <v>33</v>
      </c>
      <c r="C1685" s="28">
        <v>2013</v>
      </c>
      <c r="D1685" s="28" t="s">
        <v>1</v>
      </c>
      <c r="E1685" s="28" t="s">
        <v>5</v>
      </c>
      <c r="F1685" s="28">
        <v>1563633</v>
      </c>
    </row>
    <row r="1686" spans="1:6">
      <c r="A1686" s="28" t="s">
        <v>48</v>
      </c>
      <c r="B1686" s="28" t="s">
        <v>33</v>
      </c>
      <c r="C1686" s="28">
        <v>2014</v>
      </c>
      <c r="D1686" s="28" t="s">
        <v>1</v>
      </c>
      <c r="E1686" s="28" t="s">
        <v>5</v>
      </c>
      <c r="F1686" s="28">
        <v>2097724</v>
      </c>
    </row>
    <row r="1687" spans="1:6">
      <c r="A1687" s="28" t="s">
        <v>48</v>
      </c>
      <c r="B1687" s="28" t="s">
        <v>33</v>
      </c>
      <c r="C1687" s="28">
        <v>2015</v>
      </c>
      <c r="D1687" s="28" t="s">
        <v>1</v>
      </c>
      <c r="E1687" s="28" t="s">
        <v>5</v>
      </c>
      <c r="F1687" s="28">
        <v>2485466</v>
      </c>
    </row>
    <row r="1688" spans="1:6">
      <c r="A1688" s="28" t="s">
        <v>48</v>
      </c>
      <c r="B1688" s="28" t="s">
        <v>33</v>
      </c>
      <c r="C1688" s="28">
        <v>2016</v>
      </c>
      <c r="D1688" s="28" t="s">
        <v>1</v>
      </c>
      <c r="E1688" s="28" t="s">
        <v>5</v>
      </c>
      <c r="F1688" s="28">
        <v>2548811</v>
      </c>
    </row>
    <row r="1689" spans="1:6">
      <c r="A1689" s="28" t="s">
        <v>48</v>
      </c>
      <c r="B1689" s="28" t="s">
        <v>33</v>
      </c>
      <c r="C1689" s="28">
        <v>2017</v>
      </c>
      <c r="D1689" s="28" t="s">
        <v>1</v>
      </c>
      <c r="E1689" s="28" t="s">
        <v>5</v>
      </c>
      <c r="F1689" s="28">
        <v>2930008</v>
      </c>
    </row>
    <row r="1690" spans="1:6">
      <c r="A1690" s="28" t="s">
        <v>48</v>
      </c>
      <c r="B1690" s="28" t="s">
        <v>33</v>
      </c>
      <c r="C1690" s="28">
        <v>2010</v>
      </c>
      <c r="D1690" s="28" t="s">
        <v>1</v>
      </c>
      <c r="E1690" s="28" t="s">
        <v>6</v>
      </c>
      <c r="F1690" s="28">
        <v>633858.5662</v>
      </c>
    </row>
    <row r="1691" spans="1:6">
      <c r="A1691" s="28" t="s">
        <v>48</v>
      </c>
      <c r="B1691" s="28" t="s">
        <v>33</v>
      </c>
      <c r="C1691" s="28">
        <v>2011</v>
      </c>
      <c r="D1691" s="28" t="s">
        <v>1</v>
      </c>
      <c r="E1691" s="28" t="s">
        <v>6</v>
      </c>
      <c r="F1691" s="28">
        <v>803163.91059999994</v>
      </c>
    </row>
    <row r="1692" spans="1:6">
      <c r="A1692" s="28" t="s">
        <v>48</v>
      </c>
      <c r="B1692" s="28" t="s">
        <v>33</v>
      </c>
      <c r="C1692" s="28">
        <v>2012</v>
      </c>
      <c r="D1692" s="28" t="s">
        <v>1</v>
      </c>
      <c r="E1692" s="28" t="s">
        <v>6</v>
      </c>
      <c r="F1692" s="28">
        <v>869929</v>
      </c>
    </row>
    <row r="1693" spans="1:6">
      <c r="A1693" s="28" t="s">
        <v>48</v>
      </c>
      <c r="B1693" s="28" t="s">
        <v>33</v>
      </c>
      <c r="C1693" s="28">
        <v>2013</v>
      </c>
      <c r="D1693" s="28" t="s">
        <v>1</v>
      </c>
      <c r="E1693" s="28" t="s">
        <v>6</v>
      </c>
      <c r="F1693" s="28">
        <v>998021</v>
      </c>
    </row>
    <row r="1694" spans="1:6">
      <c r="A1694" s="28" t="s">
        <v>48</v>
      </c>
      <c r="B1694" s="28" t="s">
        <v>33</v>
      </c>
      <c r="C1694" s="28">
        <v>2014</v>
      </c>
      <c r="D1694" s="28" t="s">
        <v>1</v>
      </c>
      <c r="E1694" s="28" t="s">
        <v>6</v>
      </c>
      <c r="F1694" s="28">
        <v>1129785</v>
      </c>
    </row>
    <row r="1695" spans="1:6">
      <c r="A1695" s="28" t="s">
        <v>48</v>
      </c>
      <c r="B1695" s="28" t="s">
        <v>33</v>
      </c>
      <c r="C1695" s="28">
        <v>2015</v>
      </c>
      <c r="D1695" s="28" t="s">
        <v>1</v>
      </c>
      <c r="E1695" s="28" t="s">
        <v>6</v>
      </c>
      <c r="F1695" s="28">
        <v>1248489</v>
      </c>
    </row>
    <row r="1696" spans="1:6">
      <c r="A1696" s="28" t="s">
        <v>48</v>
      </c>
      <c r="B1696" s="28" t="s">
        <v>33</v>
      </c>
      <c r="C1696" s="28">
        <v>2016</v>
      </c>
      <c r="D1696" s="28" t="s">
        <v>1</v>
      </c>
      <c r="E1696" s="28" t="s">
        <v>6</v>
      </c>
      <c r="F1696" s="28">
        <v>1444167</v>
      </c>
    </row>
    <row r="1697" spans="1:6">
      <c r="A1697" s="28" t="s">
        <v>48</v>
      </c>
      <c r="B1697" s="28" t="s">
        <v>33</v>
      </c>
      <c r="C1697" s="28">
        <v>2017</v>
      </c>
      <c r="D1697" s="28" t="s">
        <v>1</v>
      </c>
      <c r="E1697" s="28" t="s">
        <v>6</v>
      </c>
      <c r="F1697" s="28">
        <v>1659133</v>
      </c>
    </row>
    <row r="1698" spans="1:6">
      <c r="A1698" s="28" t="s">
        <v>48</v>
      </c>
      <c r="B1698" s="28" t="s">
        <v>33</v>
      </c>
      <c r="C1698" s="28">
        <v>2010</v>
      </c>
      <c r="D1698" s="28" t="s">
        <v>1</v>
      </c>
      <c r="E1698" s="28" t="s">
        <v>8</v>
      </c>
      <c r="F1698" s="28">
        <v>195509.31349999999</v>
      </c>
    </row>
    <row r="1699" spans="1:6">
      <c r="A1699" s="28" t="s">
        <v>48</v>
      </c>
      <c r="B1699" s="28" t="s">
        <v>33</v>
      </c>
      <c r="C1699" s="28">
        <v>2011</v>
      </c>
      <c r="D1699" s="28" t="s">
        <v>1</v>
      </c>
      <c r="E1699" s="28" t="s">
        <v>8</v>
      </c>
      <c r="F1699" s="28">
        <v>235675.45199999999</v>
      </c>
    </row>
    <row r="1700" spans="1:6">
      <c r="A1700" s="28" t="s">
        <v>48</v>
      </c>
      <c r="B1700" s="28" t="s">
        <v>33</v>
      </c>
      <c r="C1700" s="28">
        <v>2012</v>
      </c>
      <c r="D1700" s="28" t="s">
        <v>1</v>
      </c>
      <c r="E1700" s="28" t="s">
        <v>8</v>
      </c>
      <c r="F1700" s="28">
        <v>246477</v>
      </c>
    </row>
    <row r="1701" spans="1:6">
      <c r="A1701" s="28" t="s">
        <v>48</v>
      </c>
      <c r="B1701" s="28" t="s">
        <v>33</v>
      </c>
      <c r="C1701" s="28">
        <v>2013</v>
      </c>
      <c r="D1701" s="28" t="s">
        <v>1</v>
      </c>
      <c r="E1701" s="28" t="s">
        <v>8</v>
      </c>
      <c r="F1701" s="28">
        <v>357701</v>
      </c>
    </row>
    <row r="1702" spans="1:6">
      <c r="A1702" s="28" t="s">
        <v>48</v>
      </c>
      <c r="B1702" s="28" t="s">
        <v>33</v>
      </c>
      <c r="C1702" s="28">
        <v>2014</v>
      </c>
      <c r="D1702" s="28" t="s">
        <v>1</v>
      </c>
      <c r="E1702" s="28" t="s">
        <v>8</v>
      </c>
      <c r="F1702" s="28">
        <v>717208</v>
      </c>
    </row>
    <row r="1703" spans="1:6">
      <c r="A1703" s="28" t="s">
        <v>48</v>
      </c>
      <c r="B1703" s="28" t="s">
        <v>33</v>
      </c>
      <c r="C1703" s="28">
        <v>2015</v>
      </c>
      <c r="D1703" s="28" t="s">
        <v>1</v>
      </c>
      <c r="E1703" s="28" t="s">
        <v>8</v>
      </c>
      <c r="F1703" s="28">
        <v>887913</v>
      </c>
    </row>
    <row r="1704" spans="1:6">
      <c r="A1704" s="28" t="s">
        <v>48</v>
      </c>
      <c r="B1704" s="28" t="s">
        <v>33</v>
      </c>
      <c r="C1704" s="28">
        <v>2016</v>
      </c>
      <c r="D1704" s="28" t="s">
        <v>1</v>
      </c>
      <c r="E1704" s="28" t="s">
        <v>8</v>
      </c>
      <c r="F1704" s="28">
        <v>815192</v>
      </c>
    </row>
    <row r="1705" spans="1:6">
      <c r="A1705" s="28" t="s">
        <v>48</v>
      </c>
      <c r="B1705" s="28" t="s">
        <v>33</v>
      </c>
      <c r="C1705" s="28">
        <v>2017</v>
      </c>
      <c r="D1705" s="28" t="s">
        <v>1</v>
      </c>
      <c r="E1705" s="28" t="s">
        <v>8</v>
      </c>
      <c r="F1705" s="28">
        <v>791540</v>
      </c>
    </row>
    <row r="1706" spans="1:6">
      <c r="A1706" s="28" t="s">
        <v>48</v>
      </c>
      <c r="B1706" s="28" t="s">
        <v>33</v>
      </c>
      <c r="C1706" s="28">
        <v>2010</v>
      </c>
      <c r="D1706" s="28" t="s">
        <v>1</v>
      </c>
      <c r="E1706" s="28" t="s">
        <v>9</v>
      </c>
      <c r="F1706" s="28">
        <v>147843.44190000001</v>
      </c>
    </row>
    <row r="1707" spans="1:6">
      <c r="A1707" s="28" t="s">
        <v>48</v>
      </c>
      <c r="B1707" s="28" t="s">
        <v>33</v>
      </c>
      <c r="C1707" s="28">
        <v>2011</v>
      </c>
      <c r="D1707" s="28" t="s">
        <v>1</v>
      </c>
      <c r="E1707" s="28" t="s">
        <v>9</v>
      </c>
      <c r="F1707" s="28">
        <v>142210.17370000001</v>
      </c>
    </row>
    <row r="1708" spans="1:6">
      <c r="A1708" s="28" t="s">
        <v>48</v>
      </c>
      <c r="B1708" s="28" t="s">
        <v>33</v>
      </c>
      <c r="C1708" s="28">
        <v>2012</v>
      </c>
      <c r="D1708" s="28" t="s">
        <v>1</v>
      </c>
      <c r="E1708" s="28" t="s">
        <v>9</v>
      </c>
      <c r="F1708" s="28">
        <v>211804</v>
      </c>
    </row>
    <row r="1709" spans="1:6">
      <c r="A1709" s="28" t="s">
        <v>48</v>
      </c>
      <c r="B1709" s="28" t="s">
        <v>33</v>
      </c>
      <c r="C1709" s="28">
        <v>2013</v>
      </c>
      <c r="D1709" s="28" t="s">
        <v>1</v>
      </c>
      <c r="E1709" s="28" t="s">
        <v>9</v>
      </c>
      <c r="F1709" s="28">
        <v>207911</v>
      </c>
    </row>
    <row r="1710" spans="1:6">
      <c r="A1710" s="28" t="s">
        <v>48</v>
      </c>
      <c r="B1710" s="28" t="s">
        <v>33</v>
      </c>
      <c r="C1710" s="28">
        <v>2014</v>
      </c>
      <c r="D1710" s="28" t="s">
        <v>1</v>
      </c>
      <c r="E1710" s="28" t="s">
        <v>9</v>
      </c>
      <c r="F1710" s="28">
        <v>250731</v>
      </c>
    </row>
    <row r="1711" spans="1:6">
      <c r="A1711" s="28" t="s">
        <v>48</v>
      </c>
      <c r="B1711" s="28" t="s">
        <v>33</v>
      </c>
      <c r="C1711" s="28">
        <v>2015</v>
      </c>
      <c r="D1711" s="28" t="s">
        <v>1</v>
      </c>
      <c r="E1711" s="28" t="s">
        <v>9</v>
      </c>
      <c r="F1711" s="28">
        <v>349064</v>
      </c>
    </row>
    <row r="1712" spans="1:6">
      <c r="A1712" s="28" t="s">
        <v>48</v>
      </c>
      <c r="B1712" s="28" t="s">
        <v>33</v>
      </c>
      <c r="C1712" s="28">
        <v>2016</v>
      </c>
      <c r="D1712" s="28" t="s">
        <v>1</v>
      </c>
      <c r="E1712" s="28" t="s">
        <v>9</v>
      </c>
      <c r="F1712" s="28">
        <v>289452</v>
      </c>
    </row>
    <row r="1713" spans="1:6">
      <c r="A1713" s="28" t="s">
        <v>48</v>
      </c>
      <c r="B1713" s="28" t="s">
        <v>33</v>
      </c>
      <c r="C1713" s="28">
        <v>2017</v>
      </c>
      <c r="D1713" s="28" t="s">
        <v>1</v>
      </c>
      <c r="E1713" s="28" t="s">
        <v>9</v>
      </c>
      <c r="F1713" s="28">
        <v>479335</v>
      </c>
    </row>
    <row r="1714" spans="1:6">
      <c r="A1714" s="28" t="s">
        <v>48</v>
      </c>
      <c r="B1714" s="28" t="s">
        <v>33</v>
      </c>
      <c r="C1714" s="28">
        <v>2010</v>
      </c>
      <c r="D1714" s="28" t="s">
        <v>1</v>
      </c>
      <c r="E1714" s="28" t="s">
        <v>10</v>
      </c>
      <c r="F1714" s="28">
        <v>977211.32160000002</v>
      </c>
    </row>
    <row r="1715" spans="1:6">
      <c r="A1715" s="28" t="s">
        <v>48</v>
      </c>
      <c r="B1715" s="28" t="s">
        <v>33</v>
      </c>
      <c r="C1715" s="28">
        <v>2011</v>
      </c>
      <c r="D1715" s="28" t="s">
        <v>1</v>
      </c>
      <c r="E1715" s="28" t="s">
        <v>10</v>
      </c>
      <c r="F1715" s="28">
        <v>1181049.5363</v>
      </c>
    </row>
    <row r="1716" spans="1:6">
      <c r="A1716" s="28" t="s">
        <v>48</v>
      </c>
      <c r="B1716" s="28" t="s">
        <v>33</v>
      </c>
      <c r="C1716" s="28">
        <v>2012</v>
      </c>
      <c r="D1716" s="28" t="s">
        <v>1</v>
      </c>
      <c r="E1716" s="28" t="s">
        <v>10</v>
      </c>
      <c r="F1716" s="28">
        <v>1328210</v>
      </c>
    </row>
    <row r="1717" spans="1:6">
      <c r="A1717" s="28" t="s">
        <v>48</v>
      </c>
      <c r="B1717" s="28" t="s">
        <v>33</v>
      </c>
      <c r="C1717" s="28">
        <v>2013</v>
      </c>
      <c r="D1717" s="28" t="s">
        <v>1</v>
      </c>
      <c r="E1717" s="28" t="s">
        <v>10</v>
      </c>
      <c r="F1717" s="28">
        <v>1563633</v>
      </c>
    </row>
    <row r="1718" spans="1:6">
      <c r="A1718" s="28" t="s">
        <v>48</v>
      </c>
      <c r="B1718" s="28" t="s">
        <v>33</v>
      </c>
      <c r="C1718" s="28">
        <v>2014</v>
      </c>
      <c r="D1718" s="28" t="s">
        <v>1</v>
      </c>
      <c r="E1718" s="28" t="s">
        <v>10</v>
      </c>
      <c r="F1718" s="28">
        <v>2097724</v>
      </c>
    </row>
    <row r="1719" spans="1:6">
      <c r="A1719" s="28" t="s">
        <v>48</v>
      </c>
      <c r="B1719" s="28" t="s">
        <v>33</v>
      </c>
      <c r="C1719" s="28">
        <v>2015</v>
      </c>
      <c r="D1719" s="28" t="s">
        <v>1</v>
      </c>
      <c r="E1719" s="28" t="s">
        <v>10</v>
      </c>
      <c r="F1719" s="28">
        <v>2485466</v>
      </c>
    </row>
    <row r="1720" spans="1:6">
      <c r="A1720" s="28" t="s">
        <v>48</v>
      </c>
      <c r="B1720" s="28" t="s">
        <v>33</v>
      </c>
      <c r="C1720" s="28">
        <v>2016</v>
      </c>
      <c r="D1720" s="28" t="s">
        <v>1</v>
      </c>
      <c r="E1720" s="28" t="s">
        <v>10</v>
      </c>
      <c r="F1720" s="28">
        <v>2548811</v>
      </c>
    </row>
    <row r="1721" spans="1:6">
      <c r="A1721" s="28" t="s">
        <v>48</v>
      </c>
      <c r="B1721" s="28" t="s">
        <v>33</v>
      </c>
      <c r="C1721" s="28">
        <v>2017</v>
      </c>
      <c r="D1721" s="28" t="s">
        <v>1</v>
      </c>
      <c r="E1721" s="28" t="s">
        <v>10</v>
      </c>
      <c r="F1721" s="28">
        <v>2930008</v>
      </c>
    </row>
    <row r="1722" spans="1:6">
      <c r="A1722" s="28" t="s">
        <v>48</v>
      </c>
      <c r="B1722" s="28" t="s">
        <v>33</v>
      </c>
      <c r="C1722" s="28">
        <v>2010</v>
      </c>
      <c r="D1722" s="28" t="s">
        <v>1</v>
      </c>
      <c r="E1722" s="28" t="s">
        <v>11</v>
      </c>
      <c r="F1722" s="28">
        <v>0.35135978043912203</v>
      </c>
    </row>
    <row r="1723" spans="1:6">
      <c r="A1723" s="28" t="s">
        <v>48</v>
      </c>
      <c r="B1723" s="28" t="s">
        <v>33</v>
      </c>
      <c r="C1723" s="28">
        <v>2011</v>
      </c>
      <c r="D1723" s="28" t="s">
        <v>1</v>
      </c>
      <c r="E1723" s="28" t="s">
        <v>11</v>
      </c>
      <c r="F1723" s="28">
        <v>0.31995747348908199</v>
      </c>
    </row>
    <row r="1724" spans="1:6">
      <c r="A1724" s="28" t="s">
        <v>48</v>
      </c>
      <c r="B1724" s="28" t="s">
        <v>33</v>
      </c>
      <c r="C1724" s="28">
        <v>2012</v>
      </c>
      <c r="D1724" s="28" t="s">
        <v>1</v>
      </c>
      <c r="E1724" s="28" t="s">
        <v>11</v>
      </c>
      <c r="F1724" s="28">
        <v>0.34503655295472901</v>
      </c>
    </row>
    <row r="1725" spans="1:6">
      <c r="A1725" s="28" t="s">
        <v>48</v>
      </c>
      <c r="B1725" s="28" t="s">
        <v>33</v>
      </c>
      <c r="C1725" s="28">
        <v>2013</v>
      </c>
      <c r="D1725" s="28" t="s">
        <v>1</v>
      </c>
      <c r="E1725" s="28" t="s">
        <v>11</v>
      </c>
      <c r="F1725" s="28">
        <v>0.36172938278995098</v>
      </c>
    </row>
    <row r="1726" spans="1:6">
      <c r="A1726" s="28" t="s">
        <v>48</v>
      </c>
      <c r="B1726" s="28" t="s">
        <v>33</v>
      </c>
      <c r="C1726" s="28">
        <v>2014</v>
      </c>
      <c r="D1726" s="28" t="s">
        <v>1</v>
      </c>
      <c r="E1726" s="28" t="s">
        <v>11</v>
      </c>
      <c r="F1726" s="28">
        <v>0.461423428439585</v>
      </c>
    </row>
    <row r="1727" spans="1:6">
      <c r="A1727" s="28" t="s">
        <v>48</v>
      </c>
      <c r="B1727" s="28" t="s">
        <v>33</v>
      </c>
      <c r="C1727" s="28">
        <v>2015</v>
      </c>
      <c r="D1727" s="28" t="s">
        <v>1</v>
      </c>
      <c r="E1727" s="28" t="s">
        <v>11</v>
      </c>
      <c r="F1727" s="28">
        <v>0.49768413649593302</v>
      </c>
    </row>
    <row r="1728" spans="1:6">
      <c r="A1728" s="28" t="s">
        <v>48</v>
      </c>
      <c r="B1728" s="28" t="s">
        <v>33</v>
      </c>
      <c r="C1728" s="28">
        <v>2016</v>
      </c>
      <c r="D1728" s="28" t="s">
        <v>1</v>
      </c>
      <c r="E1728" s="28" t="s">
        <v>11</v>
      </c>
      <c r="F1728" s="28">
        <v>0.43339580690761298</v>
      </c>
    </row>
    <row r="1729" spans="1:6">
      <c r="A1729" s="28" t="s">
        <v>48</v>
      </c>
      <c r="B1729" s="28" t="s">
        <v>33</v>
      </c>
      <c r="C1729" s="28">
        <v>2017</v>
      </c>
      <c r="D1729" s="28" t="s">
        <v>1</v>
      </c>
      <c r="E1729" s="28" t="s">
        <v>11</v>
      </c>
      <c r="F1729" s="28">
        <v>0.433744549502937</v>
      </c>
    </row>
    <row r="1730" spans="1:6">
      <c r="A1730" s="28" t="s">
        <v>48</v>
      </c>
      <c r="B1730" s="28" t="s">
        <v>33</v>
      </c>
      <c r="C1730" s="28">
        <v>2010</v>
      </c>
      <c r="D1730" s="28" t="s">
        <v>4</v>
      </c>
      <c r="E1730" s="28" t="s">
        <v>12</v>
      </c>
      <c r="F1730" s="28">
        <v>998788.96680000005</v>
      </c>
    </row>
    <row r="1731" spans="1:6">
      <c r="A1731" s="28" t="s">
        <v>48</v>
      </c>
      <c r="B1731" s="28" t="s">
        <v>33</v>
      </c>
      <c r="C1731" s="28">
        <v>2011</v>
      </c>
      <c r="D1731" s="28" t="s">
        <v>4</v>
      </c>
      <c r="E1731" s="28" t="s">
        <v>12</v>
      </c>
      <c r="F1731" s="28">
        <v>1029803</v>
      </c>
    </row>
    <row r="1732" spans="1:6">
      <c r="A1732" s="28" t="s">
        <v>48</v>
      </c>
      <c r="B1732" s="28" t="s">
        <v>33</v>
      </c>
      <c r="C1732" s="28">
        <v>2012</v>
      </c>
      <c r="D1732" s="28" t="s">
        <v>4</v>
      </c>
      <c r="E1732" s="28" t="s">
        <v>12</v>
      </c>
      <c r="F1732" s="28">
        <v>1232649</v>
      </c>
    </row>
    <row r="1733" spans="1:6">
      <c r="A1733" s="28" t="s">
        <v>48</v>
      </c>
      <c r="B1733" s="28" t="s">
        <v>33</v>
      </c>
      <c r="C1733" s="28">
        <v>2013</v>
      </c>
      <c r="D1733" s="28" t="s">
        <v>4</v>
      </c>
      <c r="E1733" s="28" t="s">
        <v>12</v>
      </c>
      <c r="F1733" s="28">
        <v>1267603</v>
      </c>
    </row>
    <row r="1734" spans="1:6">
      <c r="A1734" s="28" t="s">
        <v>48</v>
      </c>
      <c r="B1734" s="28" t="s">
        <v>33</v>
      </c>
      <c r="C1734" s="28">
        <v>2014</v>
      </c>
      <c r="D1734" s="28" t="s">
        <v>4</v>
      </c>
      <c r="E1734" s="28" t="s">
        <v>12</v>
      </c>
      <c r="F1734" s="28">
        <v>1204238</v>
      </c>
    </row>
    <row r="1735" spans="1:6">
      <c r="A1735" s="28" t="s">
        <v>48</v>
      </c>
      <c r="B1735" s="28" t="s">
        <v>33</v>
      </c>
      <c r="C1735" s="28">
        <v>2015</v>
      </c>
      <c r="D1735" s="28" t="s">
        <v>4</v>
      </c>
      <c r="E1735" s="28" t="s">
        <v>12</v>
      </c>
      <c r="F1735" s="28">
        <v>1467943</v>
      </c>
    </row>
    <row r="1736" spans="1:6">
      <c r="A1736" s="28" t="s">
        <v>48</v>
      </c>
      <c r="B1736" s="28" t="s">
        <v>33</v>
      </c>
      <c r="C1736" s="28">
        <v>2016</v>
      </c>
      <c r="D1736" s="28" t="s">
        <v>4</v>
      </c>
      <c r="E1736" s="28" t="s">
        <v>12</v>
      </c>
      <c r="F1736" s="28">
        <v>1545608</v>
      </c>
    </row>
    <row r="1737" spans="1:6">
      <c r="A1737" s="28" t="s">
        <v>48</v>
      </c>
      <c r="B1737" s="28" t="s">
        <v>33</v>
      </c>
      <c r="C1737" s="28">
        <v>2017</v>
      </c>
      <c r="D1737" s="28" t="s">
        <v>4</v>
      </c>
      <c r="E1737" s="28" t="s">
        <v>12</v>
      </c>
      <c r="F1737" s="28">
        <v>1857931</v>
      </c>
    </row>
    <row r="1738" spans="1:6">
      <c r="A1738" s="28" t="s">
        <v>48</v>
      </c>
      <c r="B1738" s="28" t="s">
        <v>33</v>
      </c>
      <c r="C1738" s="28">
        <v>2010</v>
      </c>
      <c r="D1738" s="28" t="s">
        <v>4</v>
      </c>
      <c r="E1738" s="28" t="s">
        <v>13</v>
      </c>
      <c r="F1738" s="28">
        <v>104627.1977</v>
      </c>
    </row>
    <row r="1739" spans="1:6">
      <c r="A1739" s="28" t="s">
        <v>48</v>
      </c>
      <c r="B1739" s="28" t="s">
        <v>33</v>
      </c>
      <c r="C1739" s="28">
        <v>2011</v>
      </c>
      <c r="D1739" s="28" t="s">
        <v>4</v>
      </c>
      <c r="E1739" s="28" t="s">
        <v>13</v>
      </c>
      <c r="F1739" s="28">
        <v>167669</v>
      </c>
    </row>
    <row r="1740" spans="1:6">
      <c r="A1740" s="28" t="s">
        <v>48</v>
      </c>
      <c r="B1740" s="28" t="s">
        <v>33</v>
      </c>
      <c r="C1740" s="28">
        <v>2012</v>
      </c>
      <c r="D1740" s="28" t="s">
        <v>4</v>
      </c>
      <c r="E1740" s="28" t="s">
        <v>13</v>
      </c>
      <c r="F1740" s="28">
        <v>184152</v>
      </c>
    </row>
    <row r="1741" spans="1:6">
      <c r="A1741" s="28" t="s">
        <v>48</v>
      </c>
      <c r="B1741" s="28" t="s">
        <v>33</v>
      </c>
      <c r="C1741" s="28">
        <v>2013</v>
      </c>
      <c r="D1741" s="28" t="s">
        <v>4</v>
      </c>
      <c r="E1741" s="28" t="s">
        <v>13</v>
      </c>
      <c r="F1741" s="28">
        <v>186720</v>
      </c>
    </row>
    <row r="1742" spans="1:6">
      <c r="A1742" s="28" t="s">
        <v>48</v>
      </c>
      <c r="B1742" s="28" t="s">
        <v>33</v>
      </c>
      <c r="C1742" s="28">
        <v>2014</v>
      </c>
      <c r="D1742" s="28" t="s">
        <v>4</v>
      </c>
      <c r="E1742" s="28" t="s">
        <v>13</v>
      </c>
      <c r="F1742" s="28">
        <v>126565</v>
      </c>
    </row>
    <row r="1743" spans="1:6">
      <c r="A1743" s="28" t="s">
        <v>48</v>
      </c>
      <c r="B1743" s="28" t="s">
        <v>33</v>
      </c>
      <c r="C1743" s="28">
        <v>2015</v>
      </c>
      <c r="D1743" s="28" t="s">
        <v>4</v>
      </c>
      <c r="E1743" s="28" t="s">
        <v>13</v>
      </c>
      <c r="F1743" s="28">
        <v>116198</v>
      </c>
    </row>
    <row r="1744" spans="1:6">
      <c r="A1744" s="28" t="s">
        <v>48</v>
      </c>
      <c r="B1744" s="28" t="s">
        <v>33</v>
      </c>
      <c r="C1744" s="28">
        <v>2016</v>
      </c>
      <c r="D1744" s="28" t="s">
        <v>4</v>
      </c>
      <c r="E1744" s="28" t="s">
        <v>13</v>
      </c>
      <c r="F1744" s="28">
        <v>209725</v>
      </c>
    </row>
    <row r="1745" spans="1:6">
      <c r="A1745" s="28" t="s">
        <v>48</v>
      </c>
      <c r="B1745" s="28" t="s">
        <v>33</v>
      </c>
      <c r="C1745" s="28">
        <v>2017</v>
      </c>
      <c r="D1745" s="28" t="s">
        <v>4</v>
      </c>
      <c r="E1745" s="28" t="s">
        <v>13</v>
      </c>
      <c r="F1745" s="28">
        <v>269678</v>
      </c>
    </row>
    <row r="1746" spans="1:6">
      <c r="A1746" s="28" t="s">
        <v>48</v>
      </c>
      <c r="B1746" s="28" t="s">
        <v>33</v>
      </c>
      <c r="C1746" s="28">
        <v>2010</v>
      </c>
      <c r="D1746" s="28" t="s">
        <v>4</v>
      </c>
      <c r="E1746" s="28" t="s">
        <v>14</v>
      </c>
      <c r="F1746" s="28">
        <v>32772</v>
      </c>
    </row>
    <row r="1747" spans="1:6">
      <c r="A1747" s="28" t="s">
        <v>48</v>
      </c>
      <c r="B1747" s="28" t="s">
        <v>33</v>
      </c>
      <c r="C1747" s="28">
        <v>2011</v>
      </c>
      <c r="D1747" s="28" t="s">
        <v>4</v>
      </c>
      <c r="E1747" s="28" t="s">
        <v>14</v>
      </c>
      <c r="F1747" s="28">
        <v>31985.333627364798</v>
      </c>
    </row>
    <row r="1748" spans="1:6">
      <c r="A1748" s="28" t="s">
        <v>48</v>
      </c>
      <c r="B1748" s="28" t="s">
        <v>33</v>
      </c>
      <c r="C1748" s="28">
        <v>2012</v>
      </c>
      <c r="D1748" s="28" t="s">
        <v>4</v>
      </c>
      <c r="E1748" s="28" t="s">
        <v>14</v>
      </c>
      <c r="F1748" s="28">
        <v>40584.110072532203</v>
      </c>
    </row>
    <row r="1749" spans="1:6">
      <c r="A1749" s="28" t="s">
        <v>48</v>
      </c>
      <c r="B1749" s="28" t="s">
        <v>33</v>
      </c>
      <c r="C1749" s="28">
        <v>2013</v>
      </c>
      <c r="D1749" s="28" t="s">
        <v>4</v>
      </c>
      <c r="E1749" s="28" t="s">
        <v>14</v>
      </c>
      <c r="F1749" s="28">
        <v>38730.033120271801</v>
      </c>
    </row>
    <row r="1750" spans="1:6">
      <c r="A1750" s="28" t="s">
        <v>48</v>
      </c>
      <c r="B1750" s="28" t="s">
        <v>33</v>
      </c>
      <c r="C1750" s="28">
        <v>2014</v>
      </c>
      <c r="D1750" s="28" t="s">
        <v>4</v>
      </c>
      <c r="E1750" s="28" t="s">
        <v>14</v>
      </c>
      <c r="F1750" s="28">
        <v>21405.479004024299</v>
      </c>
    </row>
    <row r="1751" spans="1:6">
      <c r="A1751" s="28" t="s">
        <v>48</v>
      </c>
      <c r="B1751" s="28" t="s">
        <v>33</v>
      </c>
      <c r="C1751" s="28">
        <v>2015</v>
      </c>
      <c r="D1751" s="28" t="s">
        <v>4</v>
      </c>
      <c r="E1751" s="28" t="s">
        <v>14</v>
      </c>
      <c r="F1751" s="28">
        <v>20141.1720476876</v>
      </c>
    </row>
    <row r="1752" spans="1:6">
      <c r="A1752" s="28" t="s">
        <v>48</v>
      </c>
      <c r="B1752" s="28" t="s">
        <v>33</v>
      </c>
      <c r="C1752" s="28">
        <v>2016</v>
      </c>
      <c r="D1752" s="28" t="s">
        <v>4</v>
      </c>
      <c r="E1752" s="28" t="s">
        <v>14</v>
      </c>
      <c r="F1752" s="28">
        <v>25481.157131340398</v>
      </c>
    </row>
    <row r="1753" spans="1:6">
      <c r="A1753" s="28" t="s">
        <v>48</v>
      </c>
      <c r="B1753" s="28" t="s">
        <v>33</v>
      </c>
      <c r="C1753" s="28">
        <v>2017</v>
      </c>
      <c r="D1753" s="28" t="s">
        <v>4</v>
      </c>
      <c r="E1753" s="28" t="s">
        <v>14</v>
      </c>
      <c r="F1753" s="28">
        <v>32255.634529046802</v>
      </c>
    </row>
    <row r="1754" spans="1:6">
      <c r="A1754" s="28" t="s">
        <v>48</v>
      </c>
      <c r="B1754" s="28" t="s">
        <v>33</v>
      </c>
      <c r="C1754" s="28">
        <v>2010</v>
      </c>
      <c r="D1754" s="28" t="s">
        <v>4</v>
      </c>
      <c r="E1754" s="28" t="s">
        <v>15</v>
      </c>
      <c r="F1754" s="28">
        <v>3433</v>
      </c>
    </row>
    <row r="1755" spans="1:6">
      <c r="A1755" s="28" t="s">
        <v>48</v>
      </c>
      <c r="B1755" s="28" t="s">
        <v>33</v>
      </c>
      <c r="C1755" s="28">
        <v>2011</v>
      </c>
      <c r="D1755" s="28" t="s">
        <v>4</v>
      </c>
      <c r="E1755" s="28" t="s">
        <v>15</v>
      </c>
      <c r="F1755" s="28">
        <v>5207.7425526694196</v>
      </c>
    </row>
    <row r="1756" spans="1:6">
      <c r="A1756" s="28" t="s">
        <v>48</v>
      </c>
      <c r="B1756" s="28" t="s">
        <v>33</v>
      </c>
      <c r="C1756" s="28">
        <v>2012</v>
      </c>
      <c r="D1756" s="28" t="s">
        <v>4</v>
      </c>
      <c r="E1756" s="28" t="s">
        <v>15</v>
      </c>
      <c r="F1756" s="28">
        <v>6063.0763810922299</v>
      </c>
    </row>
    <row r="1757" spans="1:6">
      <c r="A1757" s="28" t="s">
        <v>48</v>
      </c>
      <c r="B1757" s="28" t="s">
        <v>33</v>
      </c>
      <c r="C1757" s="28">
        <v>2013</v>
      </c>
      <c r="D1757" s="28" t="s">
        <v>4</v>
      </c>
      <c r="E1757" s="28" t="s">
        <v>15</v>
      </c>
      <c r="F1757" s="28">
        <v>5704.9973723769599</v>
      </c>
    </row>
    <row r="1758" spans="1:6">
      <c r="A1758" s="28" t="s">
        <v>48</v>
      </c>
      <c r="B1758" s="28" t="s">
        <v>33</v>
      </c>
      <c r="C1758" s="28">
        <v>2014</v>
      </c>
      <c r="D1758" s="28" t="s">
        <v>4</v>
      </c>
      <c r="E1758" s="28" t="s">
        <v>15</v>
      </c>
      <c r="F1758" s="28">
        <v>2249.70848797691</v>
      </c>
    </row>
    <row r="1759" spans="1:6">
      <c r="A1759" s="28" t="s">
        <v>48</v>
      </c>
      <c r="B1759" s="28" t="s">
        <v>33</v>
      </c>
      <c r="C1759" s="28">
        <v>2015</v>
      </c>
      <c r="D1759" s="28" t="s">
        <v>4</v>
      </c>
      <c r="E1759" s="28" t="s">
        <v>15</v>
      </c>
      <c r="F1759" s="28">
        <v>1594.3152490234299</v>
      </c>
    </row>
    <row r="1760" spans="1:6">
      <c r="A1760" s="28" t="s">
        <v>48</v>
      </c>
      <c r="B1760" s="28" t="s">
        <v>33</v>
      </c>
      <c r="C1760" s="28">
        <v>2016</v>
      </c>
      <c r="D1760" s="28" t="s">
        <v>4</v>
      </c>
      <c r="E1760" s="28" t="s">
        <v>15</v>
      </c>
      <c r="F1760" s="28">
        <v>3457.56212401227</v>
      </c>
    </row>
    <row r="1761" spans="1:6">
      <c r="A1761" s="28" t="s">
        <v>48</v>
      </c>
      <c r="B1761" s="28" t="s">
        <v>33</v>
      </c>
      <c r="C1761" s="28">
        <v>2017</v>
      </c>
      <c r="D1761" s="28" t="s">
        <v>4</v>
      </c>
      <c r="E1761" s="28" t="s">
        <v>15</v>
      </c>
      <c r="F1761" s="28">
        <v>4681.8934656476904</v>
      </c>
    </row>
    <row r="1762" spans="1:6">
      <c r="A1762" s="28" t="s">
        <v>48</v>
      </c>
      <c r="B1762" s="28" t="s">
        <v>33</v>
      </c>
      <c r="C1762" s="28">
        <v>2010</v>
      </c>
      <c r="D1762" s="28" t="s">
        <v>7</v>
      </c>
      <c r="E1762" s="28" t="s">
        <v>16</v>
      </c>
      <c r="F1762" s="28">
        <v>151561.6237</v>
      </c>
    </row>
    <row r="1763" spans="1:6">
      <c r="A1763" s="28" t="s">
        <v>48</v>
      </c>
      <c r="B1763" s="28" t="s">
        <v>33</v>
      </c>
      <c r="C1763" s="28">
        <v>2011</v>
      </c>
      <c r="D1763" s="28" t="s">
        <v>7</v>
      </c>
      <c r="E1763" s="28" t="s">
        <v>16</v>
      </c>
      <c r="F1763" s="28">
        <v>243373</v>
      </c>
    </row>
    <row r="1764" spans="1:6">
      <c r="A1764" s="28" t="s">
        <v>48</v>
      </c>
      <c r="B1764" s="28" t="s">
        <v>33</v>
      </c>
      <c r="C1764" s="28">
        <v>2012</v>
      </c>
      <c r="D1764" s="28" t="s">
        <v>7</v>
      </c>
      <c r="E1764" s="28" t="s">
        <v>16</v>
      </c>
      <c r="F1764" s="28">
        <v>258573</v>
      </c>
    </row>
    <row r="1765" spans="1:6">
      <c r="A1765" s="28" t="s">
        <v>48</v>
      </c>
      <c r="B1765" s="28" t="s">
        <v>33</v>
      </c>
      <c r="C1765" s="28">
        <v>2013</v>
      </c>
      <c r="D1765" s="28" t="s">
        <v>7</v>
      </c>
      <c r="E1765" s="28" t="s">
        <v>16</v>
      </c>
      <c r="F1765" s="28">
        <v>272931</v>
      </c>
    </row>
    <row r="1766" spans="1:6">
      <c r="A1766" s="28" t="s">
        <v>48</v>
      </c>
      <c r="B1766" s="28" t="s">
        <v>33</v>
      </c>
      <c r="C1766" s="28">
        <v>2014</v>
      </c>
      <c r="D1766" s="28" t="s">
        <v>7</v>
      </c>
      <c r="E1766" s="28" t="s">
        <v>16</v>
      </c>
      <c r="F1766" s="28">
        <v>293380</v>
      </c>
    </row>
    <row r="1767" spans="1:6">
      <c r="A1767" s="28" t="s">
        <v>48</v>
      </c>
      <c r="B1767" s="28" t="s">
        <v>33</v>
      </c>
      <c r="C1767" s="28">
        <v>2015</v>
      </c>
      <c r="D1767" s="28" t="s">
        <v>7</v>
      </c>
      <c r="E1767" s="28" t="s">
        <v>16</v>
      </c>
      <c r="F1767" s="28">
        <v>274817</v>
      </c>
    </row>
    <row r="1768" spans="1:6">
      <c r="A1768" s="28" t="s">
        <v>48</v>
      </c>
      <c r="B1768" s="28" t="s">
        <v>33</v>
      </c>
      <c r="C1768" s="28">
        <v>2016</v>
      </c>
      <c r="D1768" s="28" t="s">
        <v>7</v>
      </c>
      <c r="E1768" s="28" t="s">
        <v>16</v>
      </c>
      <c r="F1768" s="28">
        <v>310465</v>
      </c>
    </row>
    <row r="1769" spans="1:6">
      <c r="A1769" s="28" t="s">
        <v>48</v>
      </c>
      <c r="B1769" s="28" t="s">
        <v>33</v>
      </c>
      <c r="C1769" s="28">
        <v>2017</v>
      </c>
      <c r="D1769" s="28" t="s">
        <v>7</v>
      </c>
      <c r="E1769" s="28" t="s">
        <v>16</v>
      </c>
      <c r="F1769" s="28">
        <v>378040</v>
      </c>
    </row>
    <row r="1770" spans="1:6">
      <c r="A1770" s="28" t="s">
        <v>48</v>
      </c>
      <c r="B1770" s="28" t="s">
        <v>33</v>
      </c>
      <c r="C1770" s="28">
        <v>2010</v>
      </c>
      <c r="D1770" s="28" t="s">
        <v>7</v>
      </c>
      <c r="E1770" s="28" t="s">
        <v>17</v>
      </c>
      <c r="F1770" s="28">
        <v>4973</v>
      </c>
    </row>
    <row r="1771" spans="1:6">
      <c r="A1771" s="28" t="s">
        <v>48</v>
      </c>
      <c r="B1771" s="28" t="s">
        <v>33</v>
      </c>
      <c r="C1771" s="28">
        <v>2011</v>
      </c>
      <c r="D1771" s="28" t="s">
        <v>7</v>
      </c>
      <c r="E1771" s="28" t="s">
        <v>17</v>
      </c>
      <c r="F1771" s="28">
        <v>7559.0832430014798</v>
      </c>
    </row>
    <row r="1772" spans="1:6">
      <c r="A1772" s="28" t="s">
        <v>48</v>
      </c>
      <c r="B1772" s="28" t="s">
        <v>33</v>
      </c>
      <c r="C1772" s="28">
        <v>2012</v>
      </c>
      <c r="D1772" s="28" t="s">
        <v>7</v>
      </c>
      <c r="E1772" s="28" t="s">
        <v>17</v>
      </c>
      <c r="F1772" s="28">
        <v>8513.3359892271692</v>
      </c>
    </row>
    <row r="1773" spans="1:6">
      <c r="A1773" s="28" t="s">
        <v>48</v>
      </c>
      <c r="B1773" s="28" t="s">
        <v>33</v>
      </c>
      <c r="C1773" s="28">
        <v>2013</v>
      </c>
      <c r="D1773" s="28" t="s">
        <v>7</v>
      </c>
      <c r="E1773" s="28" t="s">
        <v>17</v>
      </c>
      <c r="F1773" s="28">
        <v>8339.0672549283208</v>
      </c>
    </row>
    <row r="1774" spans="1:6">
      <c r="A1774" s="28" t="s">
        <v>48</v>
      </c>
      <c r="B1774" s="28" t="s">
        <v>33</v>
      </c>
      <c r="C1774" s="28">
        <v>2014</v>
      </c>
      <c r="D1774" s="28" t="s">
        <v>7</v>
      </c>
      <c r="E1774" s="28" t="s">
        <v>17</v>
      </c>
      <c r="F1774" s="28">
        <v>5214.8656911679</v>
      </c>
    </row>
    <row r="1775" spans="1:6">
      <c r="A1775" s="28" t="s">
        <v>48</v>
      </c>
      <c r="B1775" s="28" t="s">
        <v>33</v>
      </c>
      <c r="C1775" s="28">
        <v>2015</v>
      </c>
      <c r="D1775" s="28" t="s">
        <v>7</v>
      </c>
      <c r="E1775" s="28" t="s">
        <v>17</v>
      </c>
      <c r="F1775" s="28">
        <v>3770.67534545235</v>
      </c>
    </row>
    <row r="1776" spans="1:6">
      <c r="A1776" s="28" t="s">
        <v>48</v>
      </c>
      <c r="B1776" s="28" t="s">
        <v>33</v>
      </c>
      <c r="C1776" s="28">
        <v>2016</v>
      </c>
      <c r="D1776" s="28" t="s">
        <v>7</v>
      </c>
      <c r="E1776" s="28" t="s">
        <v>17</v>
      </c>
      <c r="F1776" s="28">
        <v>5118.3789478196204</v>
      </c>
    </row>
    <row r="1777" spans="1:6">
      <c r="A1777" s="28" t="s">
        <v>48</v>
      </c>
      <c r="B1777" s="28" t="s">
        <v>33</v>
      </c>
      <c r="C1777" s="28">
        <v>2017</v>
      </c>
      <c r="D1777" s="28" t="s">
        <v>7</v>
      </c>
      <c r="E1777" s="28" t="s">
        <v>17</v>
      </c>
      <c r="F1777" s="28">
        <v>6563.1716556539704</v>
      </c>
    </row>
    <row r="1778" spans="1:6">
      <c r="A1778" s="28" t="s">
        <v>48</v>
      </c>
      <c r="B1778" s="28" t="s">
        <v>33</v>
      </c>
      <c r="C1778" s="28">
        <v>2010</v>
      </c>
      <c r="D1778" s="28" t="s">
        <v>20</v>
      </c>
      <c r="E1778" s="28" t="s">
        <v>18</v>
      </c>
      <c r="F1778" s="28">
        <v>4718</v>
      </c>
    </row>
    <row r="1779" spans="1:6">
      <c r="A1779" s="28" t="s">
        <v>48</v>
      </c>
      <c r="B1779" s="28" t="s">
        <v>33</v>
      </c>
      <c r="C1779" s="28">
        <v>2011</v>
      </c>
      <c r="D1779" s="28" t="s">
        <v>20</v>
      </c>
      <c r="E1779" s="28" t="s">
        <v>18</v>
      </c>
      <c r="F1779" s="28">
        <v>4718</v>
      </c>
    </row>
    <row r="1780" spans="1:6">
      <c r="A1780" s="28" t="s">
        <v>48</v>
      </c>
      <c r="B1780" s="28" t="s">
        <v>33</v>
      </c>
      <c r="C1780" s="28">
        <v>2012</v>
      </c>
      <c r="D1780" s="28" t="s">
        <v>20</v>
      </c>
      <c r="E1780" s="28" t="s">
        <v>18</v>
      </c>
      <c r="F1780" s="28">
        <v>4718</v>
      </c>
    </row>
    <row r="1781" spans="1:6">
      <c r="A1781" s="28" t="s">
        <v>48</v>
      </c>
      <c r="B1781" s="28" t="s">
        <v>33</v>
      </c>
      <c r="C1781" s="28">
        <v>2013</v>
      </c>
      <c r="D1781" s="28" t="s">
        <v>20</v>
      </c>
      <c r="E1781" s="28" t="s">
        <v>18</v>
      </c>
      <c r="F1781" s="28">
        <v>4718</v>
      </c>
    </row>
    <row r="1782" spans="1:6">
      <c r="A1782" s="28" t="s">
        <v>48</v>
      </c>
      <c r="B1782" s="28" t="s">
        <v>33</v>
      </c>
      <c r="C1782" s="28">
        <v>2014</v>
      </c>
      <c r="D1782" s="28" t="s">
        <v>20</v>
      </c>
      <c r="E1782" s="28" t="s">
        <v>18</v>
      </c>
      <c r="F1782" s="28">
        <v>4718</v>
      </c>
    </row>
    <row r="1783" spans="1:6">
      <c r="A1783" s="28" t="s">
        <v>48</v>
      </c>
      <c r="B1783" s="28" t="s">
        <v>33</v>
      </c>
      <c r="C1783" s="28">
        <v>2015</v>
      </c>
      <c r="D1783" s="28" t="s">
        <v>20</v>
      </c>
      <c r="E1783" s="28" t="s">
        <v>18</v>
      </c>
      <c r="F1783" s="28">
        <v>4718</v>
      </c>
    </row>
    <row r="1784" spans="1:6">
      <c r="A1784" s="28" t="s">
        <v>48</v>
      </c>
      <c r="B1784" s="28" t="s">
        <v>33</v>
      </c>
      <c r="C1784" s="28">
        <v>2016</v>
      </c>
      <c r="D1784" s="28" t="s">
        <v>20</v>
      </c>
      <c r="E1784" s="28" t="s">
        <v>18</v>
      </c>
      <c r="F1784" s="28">
        <v>4718</v>
      </c>
    </row>
    <row r="1785" spans="1:6">
      <c r="A1785" s="28" t="s">
        <v>48</v>
      </c>
      <c r="B1785" s="28" t="s">
        <v>33</v>
      </c>
      <c r="C1785" s="28">
        <v>2017</v>
      </c>
      <c r="D1785" s="28" t="s">
        <v>20</v>
      </c>
      <c r="E1785" s="28" t="s">
        <v>18</v>
      </c>
      <c r="F1785" s="28">
        <v>4718</v>
      </c>
    </row>
    <row r="1786" spans="1:6">
      <c r="A1786" s="28" t="s">
        <v>48</v>
      </c>
      <c r="B1786" s="28" t="s">
        <v>33</v>
      </c>
      <c r="C1786" s="28">
        <v>2010</v>
      </c>
      <c r="D1786" s="28" t="s">
        <v>20</v>
      </c>
      <c r="E1786" s="28" t="s">
        <v>19</v>
      </c>
      <c r="F1786" s="28">
        <v>128</v>
      </c>
    </row>
    <row r="1787" spans="1:6">
      <c r="A1787" s="28" t="s">
        <v>48</v>
      </c>
      <c r="B1787" s="28" t="s">
        <v>33</v>
      </c>
      <c r="C1787" s="28">
        <v>2011</v>
      </c>
      <c r="D1787" s="28" t="s">
        <v>20</v>
      </c>
      <c r="E1787" s="28" t="s">
        <v>19</v>
      </c>
      <c r="F1787" s="28">
        <v>147.9</v>
      </c>
    </row>
    <row r="1788" spans="1:6">
      <c r="A1788" s="28" t="s">
        <v>48</v>
      </c>
      <c r="B1788" s="28" t="s">
        <v>33</v>
      </c>
      <c r="C1788" s="28">
        <v>2012</v>
      </c>
      <c r="D1788" s="28" t="s">
        <v>20</v>
      </c>
      <c r="E1788" s="28" t="s">
        <v>19</v>
      </c>
      <c r="F1788" s="28">
        <v>142.5</v>
      </c>
    </row>
    <row r="1789" spans="1:6">
      <c r="A1789" s="28" t="s">
        <v>48</v>
      </c>
      <c r="B1789" s="28" t="s">
        <v>33</v>
      </c>
      <c r="C1789" s="28">
        <v>2013</v>
      </c>
      <c r="D1789" s="28" t="s">
        <v>20</v>
      </c>
      <c r="E1789" s="28" t="s">
        <v>19</v>
      </c>
      <c r="F1789" s="28">
        <v>146.80000000000001</v>
      </c>
    </row>
    <row r="1790" spans="1:6">
      <c r="A1790" s="28" t="s">
        <v>48</v>
      </c>
      <c r="B1790" s="28" t="s">
        <v>33</v>
      </c>
      <c r="C1790" s="28">
        <v>2014</v>
      </c>
      <c r="D1790" s="28" t="s">
        <v>20</v>
      </c>
      <c r="E1790" s="28" t="s">
        <v>19</v>
      </c>
      <c r="F1790" s="28">
        <v>143</v>
      </c>
    </row>
    <row r="1791" spans="1:6">
      <c r="A1791" s="28" t="s">
        <v>48</v>
      </c>
      <c r="B1791" s="28" t="s">
        <v>33</v>
      </c>
      <c r="C1791" s="28">
        <v>2015</v>
      </c>
      <c r="D1791" s="28" t="s">
        <v>20</v>
      </c>
      <c r="E1791" s="28" t="s">
        <v>19</v>
      </c>
      <c r="F1791" s="28">
        <v>154</v>
      </c>
    </row>
    <row r="1792" spans="1:6">
      <c r="A1792" s="28" t="s">
        <v>48</v>
      </c>
      <c r="B1792" s="28" t="s">
        <v>33</v>
      </c>
      <c r="C1792" s="28">
        <v>2016</v>
      </c>
      <c r="D1792" s="28" t="s">
        <v>20</v>
      </c>
      <c r="E1792" s="28" t="s">
        <v>19</v>
      </c>
      <c r="F1792" s="28">
        <v>214</v>
      </c>
    </row>
    <row r="1793" spans="1:6">
      <c r="A1793" s="28" t="s">
        <v>48</v>
      </c>
      <c r="B1793" s="28" t="s">
        <v>33</v>
      </c>
      <c r="C1793" s="28">
        <v>2017</v>
      </c>
      <c r="D1793" s="28" t="s">
        <v>20</v>
      </c>
      <c r="E1793" s="28" t="s">
        <v>19</v>
      </c>
      <c r="F1793" s="28">
        <v>244.1</v>
      </c>
    </row>
    <row r="1794" spans="1:6">
      <c r="A1794" s="28" t="s">
        <v>49</v>
      </c>
      <c r="B1794" s="28" t="s">
        <v>34</v>
      </c>
      <c r="C1794" s="28">
        <v>2010</v>
      </c>
      <c r="D1794" s="28" t="s">
        <v>1</v>
      </c>
      <c r="E1794" s="28" t="s">
        <v>2</v>
      </c>
      <c r="F1794" s="28">
        <v>18733.671999999999</v>
      </c>
    </row>
    <row r="1795" spans="1:6">
      <c r="A1795" s="28" t="s">
        <v>49</v>
      </c>
      <c r="B1795" s="28" t="s">
        <v>34</v>
      </c>
      <c r="C1795" s="28">
        <v>2011</v>
      </c>
      <c r="D1795" s="28" t="s">
        <v>1</v>
      </c>
      <c r="E1795" s="28" t="s">
        <v>2</v>
      </c>
      <c r="F1795" s="28">
        <v>20811.675999999999</v>
      </c>
    </row>
    <row r="1796" spans="1:6">
      <c r="A1796" s="28" t="s">
        <v>49</v>
      </c>
      <c r="B1796" s="28" t="s">
        <v>34</v>
      </c>
      <c r="C1796" s="28">
        <v>2012</v>
      </c>
      <c r="D1796" s="28" t="s">
        <v>1</v>
      </c>
      <c r="E1796" s="28" t="s">
        <v>2</v>
      </c>
      <c r="F1796" s="28">
        <v>34702.771000000001</v>
      </c>
    </row>
    <row r="1797" spans="1:6">
      <c r="A1797" s="28" t="s">
        <v>49</v>
      </c>
      <c r="B1797" s="28" t="s">
        <v>34</v>
      </c>
      <c r="C1797" s="28">
        <v>2013</v>
      </c>
      <c r="D1797" s="28" t="s">
        <v>1</v>
      </c>
      <c r="E1797" s="28" t="s">
        <v>2</v>
      </c>
      <c r="F1797" s="28">
        <v>57357.665999999997</v>
      </c>
    </row>
    <row r="1798" spans="1:6">
      <c r="A1798" s="28" t="s">
        <v>49</v>
      </c>
      <c r="B1798" s="28" t="s">
        <v>34</v>
      </c>
      <c r="C1798" s="28">
        <v>2014</v>
      </c>
      <c r="D1798" s="28" t="s">
        <v>1</v>
      </c>
      <c r="E1798" s="28" t="s">
        <v>2</v>
      </c>
      <c r="F1798" s="28">
        <v>90905.888999999996</v>
      </c>
    </row>
    <row r="1799" spans="1:6">
      <c r="A1799" s="28" t="s">
        <v>49</v>
      </c>
      <c r="B1799" s="28" t="s">
        <v>34</v>
      </c>
      <c r="C1799" s="28">
        <v>2015</v>
      </c>
      <c r="D1799" s="28" t="s">
        <v>1</v>
      </c>
      <c r="E1799" s="28" t="s">
        <v>2</v>
      </c>
      <c r="F1799" s="28">
        <v>115039.724</v>
      </c>
    </row>
    <row r="1800" spans="1:6">
      <c r="A1800" s="28" t="s">
        <v>49</v>
      </c>
      <c r="B1800" s="28" t="s">
        <v>34</v>
      </c>
      <c r="C1800" s="28">
        <v>2016</v>
      </c>
      <c r="D1800" s="28" t="s">
        <v>1</v>
      </c>
      <c r="E1800" s="28" t="s">
        <v>2</v>
      </c>
      <c r="F1800" s="28">
        <v>161573.47399999999</v>
      </c>
    </row>
    <row r="1801" spans="1:6">
      <c r="A1801" s="28" t="s">
        <v>49</v>
      </c>
      <c r="B1801" s="28" t="s">
        <v>34</v>
      </c>
      <c r="C1801" s="28">
        <v>2017</v>
      </c>
      <c r="D1801" s="28" t="s">
        <v>1</v>
      </c>
      <c r="E1801" s="28" t="s">
        <v>2</v>
      </c>
      <c r="F1801" s="28">
        <v>178245.43299999999</v>
      </c>
    </row>
    <row r="1802" spans="1:6">
      <c r="A1802" s="28" t="s">
        <v>49</v>
      </c>
      <c r="B1802" s="28" t="s">
        <v>34</v>
      </c>
      <c r="C1802" s="28">
        <v>2010</v>
      </c>
      <c r="D1802" s="28" t="s">
        <v>1</v>
      </c>
      <c r="E1802" s="28" t="s">
        <v>3</v>
      </c>
      <c r="F1802" s="28">
        <v>11981.357</v>
      </c>
    </row>
    <row r="1803" spans="1:6">
      <c r="A1803" s="28" t="s">
        <v>49</v>
      </c>
      <c r="B1803" s="28" t="s">
        <v>34</v>
      </c>
      <c r="C1803" s="28">
        <v>2011</v>
      </c>
      <c r="D1803" s="28" t="s">
        <v>1</v>
      </c>
      <c r="E1803" s="28" t="s">
        <v>3</v>
      </c>
      <c r="F1803" s="28">
        <v>17041.308000000001</v>
      </c>
    </row>
    <row r="1804" spans="1:6">
      <c r="A1804" s="28" t="s">
        <v>49</v>
      </c>
      <c r="B1804" s="28" t="s">
        <v>34</v>
      </c>
      <c r="C1804" s="28">
        <v>2012</v>
      </c>
      <c r="D1804" s="28" t="s">
        <v>1</v>
      </c>
      <c r="E1804" s="28" t="s">
        <v>3</v>
      </c>
      <c r="F1804" s="28">
        <v>20339.347000000002</v>
      </c>
    </row>
    <row r="1805" spans="1:6">
      <c r="A1805" s="28" t="s">
        <v>49</v>
      </c>
      <c r="B1805" s="28" t="s">
        <v>34</v>
      </c>
      <c r="C1805" s="28">
        <v>2013</v>
      </c>
      <c r="D1805" s="28" t="s">
        <v>1</v>
      </c>
      <c r="E1805" s="28" t="s">
        <v>3</v>
      </c>
      <c r="F1805" s="28">
        <v>30972.255000000001</v>
      </c>
    </row>
    <row r="1806" spans="1:6">
      <c r="A1806" s="28" t="s">
        <v>49</v>
      </c>
      <c r="B1806" s="28" t="s">
        <v>34</v>
      </c>
      <c r="C1806" s="28">
        <v>2014</v>
      </c>
      <c r="D1806" s="28" t="s">
        <v>1</v>
      </c>
      <c r="E1806" s="28" t="s">
        <v>3</v>
      </c>
      <c r="F1806" s="28">
        <v>50339.385999999999</v>
      </c>
    </row>
    <row r="1807" spans="1:6">
      <c r="A1807" s="28" t="s">
        <v>49</v>
      </c>
      <c r="B1807" s="28" t="s">
        <v>34</v>
      </c>
      <c r="C1807" s="28">
        <v>2015</v>
      </c>
      <c r="D1807" s="28" t="s">
        <v>1</v>
      </c>
      <c r="E1807" s="28" t="s">
        <v>3</v>
      </c>
      <c r="F1807" s="28">
        <v>63352.125999999997</v>
      </c>
    </row>
    <row r="1808" spans="1:6">
      <c r="A1808" s="28" t="s">
        <v>49</v>
      </c>
      <c r="B1808" s="28" t="s">
        <v>34</v>
      </c>
      <c r="C1808" s="28">
        <v>2016</v>
      </c>
      <c r="D1808" s="28" t="s">
        <v>1</v>
      </c>
      <c r="E1808" s="28" t="s">
        <v>3</v>
      </c>
      <c r="F1808" s="28">
        <v>64596.722000000002</v>
      </c>
    </row>
    <row r="1809" spans="1:6">
      <c r="A1809" s="28" t="s">
        <v>49</v>
      </c>
      <c r="B1809" s="28" t="s">
        <v>34</v>
      </c>
      <c r="C1809" s="28">
        <v>2017</v>
      </c>
      <c r="D1809" s="28" t="s">
        <v>1</v>
      </c>
      <c r="E1809" s="28" t="s">
        <v>3</v>
      </c>
      <c r="F1809" s="28">
        <v>68485.154999999999</v>
      </c>
    </row>
    <row r="1810" spans="1:6">
      <c r="A1810" s="28" t="s">
        <v>49</v>
      </c>
      <c r="B1810" s="28" t="s">
        <v>34</v>
      </c>
      <c r="C1810" s="28">
        <v>2010</v>
      </c>
      <c r="D1810" s="28" t="s">
        <v>1</v>
      </c>
      <c r="E1810" s="28" t="s">
        <v>5</v>
      </c>
      <c r="F1810" s="28">
        <v>30715.028999999999</v>
      </c>
    </row>
    <row r="1811" spans="1:6">
      <c r="A1811" s="28" t="s">
        <v>49</v>
      </c>
      <c r="B1811" s="28" t="s">
        <v>34</v>
      </c>
      <c r="C1811" s="28">
        <v>2011</v>
      </c>
      <c r="D1811" s="28" t="s">
        <v>1</v>
      </c>
      <c r="E1811" s="28" t="s">
        <v>5</v>
      </c>
      <c r="F1811" s="28">
        <v>37852.983999999997</v>
      </c>
    </row>
    <row r="1812" spans="1:6">
      <c r="A1812" s="28" t="s">
        <v>49</v>
      </c>
      <c r="B1812" s="28" t="s">
        <v>34</v>
      </c>
      <c r="C1812" s="28">
        <v>2012</v>
      </c>
      <c r="D1812" s="28" t="s">
        <v>1</v>
      </c>
      <c r="E1812" s="28" t="s">
        <v>5</v>
      </c>
      <c r="F1812" s="28">
        <v>55042.118000000002</v>
      </c>
    </row>
    <row r="1813" spans="1:6">
      <c r="A1813" s="28" t="s">
        <v>49</v>
      </c>
      <c r="B1813" s="28" t="s">
        <v>34</v>
      </c>
      <c r="C1813" s="28">
        <v>2013</v>
      </c>
      <c r="D1813" s="28" t="s">
        <v>1</v>
      </c>
      <c r="E1813" s="28" t="s">
        <v>5</v>
      </c>
      <c r="F1813" s="28">
        <v>88329.921000000002</v>
      </c>
    </row>
    <row r="1814" spans="1:6">
      <c r="A1814" s="28" t="s">
        <v>49</v>
      </c>
      <c r="B1814" s="28" t="s">
        <v>34</v>
      </c>
      <c r="C1814" s="28">
        <v>2014</v>
      </c>
      <c r="D1814" s="28" t="s">
        <v>1</v>
      </c>
      <c r="E1814" s="28" t="s">
        <v>5</v>
      </c>
      <c r="F1814" s="28">
        <v>141245.27499999999</v>
      </c>
    </row>
    <row r="1815" spans="1:6">
      <c r="A1815" s="28" t="s">
        <v>49</v>
      </c>
      <c r="B1815" s="28" t="s">
        <v>34</v>
      </c>
      <c r="C1815" s="28">
        <v>2015</v>
      </c>
      <c r="D1815" s="28" t="s">
        <v>1</v>
      </c>
      <c r="E1815" s="28" t="s">
        <v>5</v>
      </c>
      <c r="F1815" s="28">
        <v>178391.85</v>
      </c>
    </row>
    <row r="1816" spans="1:6">
      <c r="A1816" s="28" t="s">
        <v>49</v>
      </c>
      <c r="B1816" s="28" t="s">
        <v>34</v>
      </c>
      <c r="C1816" s="28">
        <v>2016</v>
      </c>
      <c r="D1816" s="28" t="s">
        <v>1</v>
      </c>
      <c r="E1816" s="28" t="s">
        <v>5</v>
      </c>
      <c r="F1816" s="28">
        <v>226170.196</v>
      </c>
    </row>
    <row r="1817" spans="1:6">
      <c r="A1817" s="28" t="s">
        <v>49</v>
      </c>
      <c r="B1817" s="28" t="s">
        <v>34</v>
      </c>
      <c r="C1817" s="28">
        <v>2017</v>
      </c>
      <c r="D1817" s="28" t="s">
        <v>1</v>
      </c>
      <c r="E1817" s="28" t="s">
        <v>5</v>
      </c>
      <c r="F1817" s="28">
        <v>246730.58799999999</v>
      </c>
    </row>
    <row r="1818" spans="1:6">
      <c r="A1818" s="28" t="s">
        <v>49</v>
      </c>
      <c r="B1818" s="28" t="s">
        <v>34</v>
      </c>
      <c r="C1818" s="28">
        <v>2010</v>
      </c>
      <c r="D1818" s="28" t="s">
        <v>1</v>
      </c>
      <c r="E1818" s="28" t="s">
        <v>6</v>
      </c>
      <c r="F1818" s="28">
        <v>2682.2719999999999</v>
      </c>
    </row>
    <row r="1819" spans="1:6">
      <c r="A1819" s="28" t="s">
        <v>49</v>
      </c>
      <c r="B1819" s="28" t="s">
        <v>34</v>
      </c>
      <c r="C1819" s="28">
        <v>2011</v>
      </c>
      <c r="D1819" s="28" t="s">
        <v>1</v>
      </c>
      <c r="E1819" s="28" t="s">
        <v>6</v>
      </c>
      <c r="F1819" s="28">
        <v>-6378.0860000000002</v>
      </c>
    </row>
    <row r="1820" spans="1:6">
      <c r="A1820" s="28" t="s">
        <v>49</v>
      </c>
      <c r="B1820" s="28" t="s">
        <v>34</v>
      </c>
      <c r="C1820" s="28">
        <v>2012</v>
      </c>
      <c r="D1820" s="28" t="s">
        <v>1</v>
      </c>
      <c r="E1820" s="28" t="s">
        <v>6</v>
      </c>
      <c r="F1820" s="28">
        <v>-963.33900000000006</v>
      </c>
    </row>
    <row r="1821" spans="1:6">
      <c r="A1821" s="28" t="s">
        <v>49</v>
      </c>
      <c r="B1821" s="28" t="s">
        <v>34</v>
      </c>
      <c r="C1821" s="28">
        <v>2013</v>
      </c>
      <c r="D1821" s="28" t="s">
        <v>1</v>
      </c>
      <c r="E1821" s="28" t="s">
        <v>6</v>
      </c>
      <c r="F1821" s="28">
        <v>4914.6580000000004</v>
      </c>
    </row>
    <row r="1822" spans="1:6">
      <c r="A1822" s="28" t="s">
        <v>49</v>
      </c>
      <c r="B1822" s="28" t="s">
        <v>34</v>
      </c>
      <c r="C1822" s="28">
        <v>2014</v>
      </c>
      <c r="D1822" s="28" t="s">
        <v>1</v>
      </c>
      <c r="E1822" s="28" t="s">
        <v>6</v>
      </c>
      <c r="F1822" s="28">
        <v>16730.376</v>
      </c>
    </row>
    <row r="1823" spans="1:6">
      <c r="A1823" s="28" t="s">
        <v>49</v>
      </c>
      <c r="B1823" s="28" t="s">
        <v>34</v>
      </c>
      <c r="C1823" s="28">
        <v>2015</v>
      </c>
      <c r="D1823" s="28" t="s">
        <v>1</v>
      </c>
      <c r="E1823" s="28" t="s">
        <v>6</v>
      </c>
      <c r="F1823" s="28">
        <v>47129.970999999998</v>
      </c>
    </row>
    <row r="1824" spans="1:6">
      <c r="A1824" s="28" t="s">
        <v>49</v>
      </c>
      <c r="B1824" s="28" t="s">
        <v>34</v>
      </c>
      <c r="C1824" s="28">
        <v>2016</v>
      </c>
      <c r="D1824" s="28" t="s">
        <v>1</v>
      </c>
      <c r="E1824" s="28" t="s">
        <v>6</v>
      </c>
      <c r="F1824" s="28">
        <v>58369.110999999997</v>
      </c>
    </row>
    <row r="1825" spans="1:6">
      <c r="A1825" s="28" t="s">
        <v>49</v>
      </c>
      <c r="B1825" s="28" t="s">
        <v>34</v>
      </c>
      <c r="C1825" s="28">
        <v>2017</v>
      </c>
      <c r="D1825" s="28" t="s">
        <v>1</v>
      </c>
      <c r="E1825" s="28" t="s">
        <v>6</v>
      </c>
      <c r="F1825" s="28">
        <v>71787.275999999998</v>
      </c>
    </row>
    <row r="1826" spans="1:6">
      <c r="A1826" s="28" t="s">
        <v>49</v>
      </c>
      <c r="B1826" s="28" t="s">
        <v>34</v>
      </c>
      <c r="C1826" s="28">
        <v>2010</v>
      </c>
      <c r="D1826" s="28" t="s">
        <v>1</v>
      </c>
      <c r="E1826" s="28" t="s">
        <v>8</v>
      </c>
      <c r="F1826" s="28">
        <v>0</v>
      </c>
    </row>
    <row r="1827" spans="1:6">
      <c r="A1827" s="28" t="s">
        <v>49</v>
      </c>
      <c r="B1827" s="28" t="s">
        <v>34</v>
      </c>
      <c r="C1827" s="28">
        <v>2011</v>
      </c>
      <c r="D1827" s="28" t="s">
        <v>1</v>
      </c>
      <c r="E1827" s="28" t="s">
        <v>8</v>
      </c>
      <c r="F1827" s="28">
        <v>25276.844000000001</v>
      </c>
    </row>
    <row r="1828" spans="1:6">
      <c r="A1828" s="28" t="s">
        <v>49</v>
      </c>
      <c r="B1828" s="28" t="s">
        <v>34</v>
      </c>
      <c r="C1828" s="28">
        <v>2012</v>
      </c>
      <c r="D1828" s="28" t="s">
        <v>1</v>
      </c>
      <c r="E1828" s="28" t="s">
        <v>8</v>
      </c>
      <c r="F1828" s="28">
        <v>25879.82</v>
      </c>
    </row>
    <row r="1829" spans="1:6">
      <c r="A1829" s="28" t="s">
        <v>49</v>
      </c>
      <c r="B1829" s="28" t="s">
        <v>34</v>
      </c>
      <c r="C1829" s="28">
        <v>2013</v>
      </c>
      <c r="D1829" s="28" t="s">
        <v>1</v>
      </c>
      <c r="E1829" s="28" t="s">
        <v>8</v>
      </c>
      <c r="F1829" s="28">
        <v>41954.752</v>
      </c>
    </row>
    <row r="1830" spans="1:6">
      <c r="A1830" s="28" t="s">
        <v>49</v>
      </c>
      <c r="B1830" s="28" t="s">
        <v>34</v>
      </c>
      <c r="C1830" s="28">
        <v>2014</v>
      </c>
      <c r="D1830" s="28" t="s">
        <v>1</v>
      </c>
      <c r="E1830" s="28" t="s">
        <v>8</v>
      </c>
      <c r="F1830" s="28">
        <v>62333.959000000003</v>
      </c>
    </row>
    <row r="1831" spans="1:6">
      <c r="A1831" s="28" t="s">
        <v>49</v>
      </c>
      <c r="B1831" s="28" t="s">
        <v>34</v>
      </c>
      <c r="C1831" s="28">
        <v>2015</v>
      </c>
      <c r="D1831" s="28" t="s">
        <v>1</v>
      </c>
      <c r="E1831" s="28" t="s">
        <v>8</v>
      </c>
      <c r="F1831" s="28">
        <v>70403.464999999997</v>
      </c>
    </row>
    <row r="1832" spans="1:6">
      <c r="A1832" s="28" t="s">
        <v>49</v>
      </c>
      <c r="B1832" s="28" t="s">
        <v>34</v>
      </c>
      <c r="C1832" s="28">
        <v>2016</v>
      </c>
      <c r="D1832" s="28" t="s">
        <v>1</v>
      </c>
      <c r="E1832" s="28" t="s">
        <v>8</v>
      </c>
      <c r="F1832" s="28">
        <v>74318.066000000006</v>
      </c>
    </row>
    <row r="1833" spans="1:6">
      <c r="A1833" s="28" t="s">
        <v>49</v>
      </c>
      <c r="B1833" s="28" t="s">
        <v>34</v>
      </c>
      <c r="C1833" s="28">
        <v>2017</v>
      </c>
      <c r="D1833" s="28" t="s">
        <v>1</v>
      </c>
      <c r="E1833" s="28" t="s">
        <v>8</v>
      </c>
      <c r="F1833" s="28">
        <v>70580.936000000002</v>
      </c>
    </row>
    <row r="1834" spans="1:6">
      <c r="A1834" s="28" t="s">
        <v>49</v>
      </c>
      <c r="B1834" s="28" t="s">
        <v>34</v>
      </c>
      <c r="C1834" s="28">
        <v>2010</v>
      </c>
      <c r="D1834" s="28" t="s">
        <v>1</v>
      </c>
      <c r="E1834" s="28" t="s">
        <v>9</v>
      </c>
      <c r="F1834" s="28">
        <v>28032.757000000001</v>
      </c>
    </row>
    <row r="1835" spans="1:6">
      <c r="A1835" s="28" t="s">
        <v>49</v>
      </c>
      <c r="B1835" s="28" t="s">
        <v>34</v>
      </c>
      <c r="C1835" s="28">
        <v>2011</v>
      </c>
      <c r="D1835" s="28" t="s">
        <v>1</v>
      </c>
      <c r="E1835" s="28" t="s">
        <v>9</v>
      </c>
      <c r="F1835" s="28">
        <v>18954.225999999999</v>
      </c>
    </row>
    <row r="1836" spans="1:6">
      <c r="A1836" s="28" t="s">
        <v>49</v>
      </c>
      <c r="B1836" s="28" t="s">
        <v>34</v>
      </c>
      <c r="C1836" s="28">
        <v>2012</v>
      </c>
      <c r="D1836" s="28" t="s">
        <v>1</v>
      </c>
      <c r="E1836" s="28" t="s">
        <v>9</v>
      </c>
      <c r="F1836" s="28">
        <v>30125.636999999999</v>
      </c>
    </row>
    <row r="1837" spans="1:6">
      <c r="A1837" s="28" t="s">
        <v>49</v>
      </c>
      <c r="B1837" s="28" t="s">
        <v>34</v>
      </c>
      <c r="C1837" s="28">
        <v>2013</v>
      </c>
      <c r="D1837" s="28" t="s">
        <v>1</v>
      </c>
      <c r="E1837" s="28" t="s">
        <v>9</v>
      </c>
      <c r="F1837" s="28">
        <v>41460.510999999999</v>
      </c>
    </row>
    <row r="1838" spans="1:6">
      <c r="A1838" s="28" t="s">
        <v>49</v>
      </c>
      <c r="B1838" s="28" t="s">
        <v>34</v>
      </c>
      <c r="C1838" s="28">
        <v>2014</v>
      </c>
      <c r="D1838" s="28" t="s">
        <v>1</v>
      </c>
      <c r="E1838" s="28" t="s">
        <v>9</v>
      </c>
      <c r="F1838" s="28">
        <v>62180.94</v>
      </c>
    </row>
    <row r="1839" spans="1:6">
      <c r="A1839" s="28" t="s">
        <v>49</v>
      </c>
      <c r="B1839" s="28" t="s">
        <v>34</v>
      </c>
      <c r="C1839" s="28">
        <v>2015</v>
      </c>
      <c r="D1839" s="28" t="s">
        <v>1</v>
      </c>
      <c r="E1839" s="28" t="s">
        <v>9</v>
      </c>
      <c r="F1839" s="28">
        <v>60858.413999999997</v>
      </c>
    </row>
    <row r="1840" spans="1:6">
      <c r="A1840" s="28" t="s">
        <v>49</v>
      </c>
      <c r="B1840" s="28" t="s">
        <v>34</v>
      </c>
      <c r="C1840" s="28">
        <v>2016</v>
      </c>
      <c r="D1840" s="28" t="s">
        <v>1</v>
      </c>
      <c r="E1840" s="28" t="s">
        <v>9</v>
      </c>
      <c r="F1840" s="28">
        <v>93483.019</v>
      </c>
    </row>
    <row r="1841" spans="1:6">
      <c r="A1841" s="28" t="s">
        <v>49</v>
      </c>
      <c r="B1841" s="28" t="s">
        <v>34</v>
      </c>
      <c r="C1841" s="28">
        <v>2017</v>
      </c>
      <c r="D1841" s="28" t="s">
        <v>1</v>
      </c>
      <c r="E1841" s="28" t="s">
        <v>9</v>
      </c>
      <c r="F1841" s="28">
        <v>104362.376</v>
      </c>
    </row>
    <row r="1842" spans="1:6">
      <c r="A1842" s="28" t="s">
        <v>49</v>
      </c>
      <c r="B1842" s="28" t="s">
        <v>34</v>
      </c>
      <c r="C1842" s="28">
        <v>2010</v>
      </c>
      <c r="D1842" s="28" t="s">
        <v>1</v>
      </c>
      <c r="E1842" s="28" t="s">
        <v>10</v>
      </c>
      <c r="F1842" s="28">
        <v>30715.028999999999</v>
      </c>
    </row>
    <row r="1843" spans="1:6">
      <c r="A1843" s="28" t="s">
        <v>49</v>
      </c>
      <c r="B1843" s="28" t="s">
        <v>34</v>
      </c>
      <c r="C1843" s="28">
        <v>2011</v>
      </c>
      <c r="D1843" s="28" t="s">
        <v>1</v>
      </c>
      <c r="E1843" s="28" t="s">
        <v>10</v>
      </c>
      <c r="F1843" s="28">
        <v>37852.983999999997</v>
      </c>
    </row>
    <row r="1844" spans="1:6">
      <c r="A1844" s="28" t="s">
        <v>49</v>
      </c>
      <c r="B1844" s="28" t="s">
        <v>34</v>
      </c>
      <c r="C1844" s="28">
        <v>2012</v>
      </c>
      <c r="D1844" s="28" t="s">
        <v>1</v>
      </c>
      <c r="E1844" s="28" t="s">
        <v>10</v>
      </c>
      <c r="F1844" s="28">
        <v>55042.118000000002</v>
      </c>
    </row>
    <row r="1845" spans="1:6">
      <c r="A1845" s="28" t="s">
        <v>49</v>
      </c>
      <c r="B1845" s="28" t="s">
        <v>34</v>
      </c>
      <c r="C1845" s="28">
        <v>2013</v>
      </c>
      <c r="D1845" s="28" t="s">
        <v>1</v>
      </c>
      <c r="E1845" s="28" t="s">
        <v>10</v>
      </c>
      <c r="F1845" s="28">
        <v>88329.921000000002</v>
      </c>
    </row>
    <row r="1846" spans="1:6">
      <c r="A1846" s="28" t="s">
        <v>49</v>
      </c>
      <c r="B1846" s="28" t="s">
        <v>34</v>
      </c>
      <c r="C1846" s="28">
        <v>2014</v>
      </c>
      <c r="D1846" s="28" t="s">
        <v>1</v>
      </c>
      <c r="E1846" s="28" t="s">
        <v>10</v>
      </c>
      <c r="F1846" s="28">
        <v>141245.27499999999</v>
      </c>
    </row>
    <row r="1847" spans="1:6">
      <c r="A1847" s="28" t="s">
        <v>49</v>
      </c>
      <c r="B1847" s="28" t="s">
        <v>34</v>
      </c>
      <c r="C1847" s="28">
        <v>2015</v>
      </c>
      <c r="D1847" s="28" t="s">
        <v>1</v>
      </c>
      <c r="E1847" s="28" t="s">
        <v>10</v>
      </c>
      <c r="F1847" s="28">
        <v>178391.85</v>
      </c>
    </row>
    <row r="1848" spans="1:6">
      <c r="A1848" s="28" t="s">
        <v>49</v>
      </c>
      <c r="B1848" s="28" t="s">
        <v>34</v>
      </c>
      <c r="C1848" s="28">
        <v>2016</v>
      </c>
      <c r="D1848" s="28" t="s">
        <v>1</v>
      </c>
      <c r="E1848" s="28" t="s">
        <v>10</v>
      </c>
      <c r="F1848" s="28">
        <v>226170.196</v>
      </c>
    </row>
    <row r="1849" spans="1:6">
      <c r="A1849" s="28" t="s">
        <v>49</v>
      </c>
      <c r="B1849" s="28" t="s">
        <v>34</v>
      </c>
      <c r="C1849" s="28">
        <v>2017</v>
      </c>
      <c r="D1849" s="28" t="s">
        <v>1</v>
      </c>
      <c r="E1849" s="28" t="s">
        <v>10</v>
      </c>
      <c r="F1849" s="28">
        <v>246730.58799999999</v>
      </c>
    </row>
    <row r="1850" spans="1:6">
      <c r="A1850" s="28" t="s">
        <v>49</v>
      </c>
      <c r="B1850" s="28" t="s">
        <v>34</v>
      </c>
      <c r="C1850" s="28">
        <v>2010</v>
      </c>
      <c r="D1850" s="28" t="s">
        <v>1</v>
      </c>
      <c r="E1850" s="28" t="s">
        <v>11</v>
      </c>
      <c r="F1850" s="28">
        <v>0.91267232728316805</v>
      </c>
    </row>
    <row r="1851" spans="1:6">
      <c r="A1851" s="28" t="s">
        <v>49</v>
      </c>
      <c r="B1851" s="28" t="s">
        <v>34</v>
      </c>
      <c r="C1851" s="28">
        <v>2011</v>
      </c>
      <c r="D1851" s="28" t="s">
        <v>1</v>
      </c>
      <c r="E1851" s="28" t="s">
        <v>11</v>
      </c>
      <c r="F1851" s="28">
        <v>1.16849625382242</v>
      </c>
    </row>
    <row r="1852" spans="1:6">
      <c r="A1852" s="28" t="s">
        <v>49</v>
      </c>
      <c r="B1852" s="28" t="s">
        <v>34</v>
      </c>
      <c r="C1852" s="28">
        <v>2012</v>
      </c>
      <c r="D1852" s="28" t="s">
        <v>1</v>
      </c>
      <c r="E1852" s="28" t="s">
        <v>11</v>
      </c>
      <c r="F1852" s="28">
        <v>1.01750185194545</v>
      </c>
    </row>
    <row r="1853" spans="1:6">
      <c r="A1853" s="28" t="s">
        <v>49</v>
      </c>
      <c r="B1853" s="28" t="s">
        <v>34</v>
      </c>
      <c r="C1853" s="28">
        <v>2013</v>
      </c>
      <c r="D1853" s="28" t="s">
        <v>1</v>
      </c>
      <c r="E1853" s="28" t="s">
        <v>11</v>
      </c>
      <c r="F1853" s="28">
        <v>0.944360212888677</v>
      </c>
    </row>
    <row r="1854" spans="1:6">
      <c r="A1854" s="28" t="s">
        <v>49</v>
      </c>
      <c r="B1854" s="28" t="s">
        <v>34</v>
      </c>
      <c r="C1854" s="28">
        <v>2014</v>
      </c>
      <c r="D1854" s="28" t="s">
        <v>1</v>
      </c>
      <c r="E1854" s="28" t="s">
        <v>11</v>
      </c>
      <c r="F1854" s="28">
        <v>0.88155089789729302</v>
      </c>
    </row>
    <row r="1855" spans="1:6">
      <c r="A1855" s="28" t="s">
        <v>49</v>
      </c>
      <c r="B1855" s="28" t="s">
        <v>34</v>
      </c>
      <c r="C1855" s="28">
        <v>2015</v>
      </c>
      <c r="D1855" s="28" t="s">
        <v>1</v>
      </c>
      <c r="E1855" s="28" t="s">
        <v>11</v>
      </c>
      <c r="F1855" s="28">
        <v>0.73580647882736805</v>
      </c>
    </row>
    <row r="1856" spans="1:6">
      <c r="A1856" s="28" t="s">
        <v>49</v>
      </c>
      <c r="B1856" s="28" t="s">
        <v>34</v>
      </c>
      <c r="C1856" s="28">
        <v>2016</v>
      </c>
      <c r="D1856" s="28" t="s">
        <v>1</v>
      </c>
      <c r="E1856" s="28" t="s">
        <v>11</v>
      </c>
      <c r="F1856" s="28">
        <v>0.74192394916614002</v>
      </c>
    </row>
    <row r="1857" spans="1:6">
      <c r="A1857" s="28" t="s">
        <v>49</v>
      </c>
      <c r="B1857" s="28" t="s">
        <v>34</v>
      </c>
      <c r="C1857" s="28">
        <v>2017</v>
      </c>
      <c r="D1857" s="28" t="s">
        <v>1</v>
      </c>
      <c r="E1857" s="28" t="s">
        <v>11</v>
      </c>
      <c r="F1857" s="28">
        <v>0.70904590070526696</v>
      </c>
    </row>
    <row r="1858" spans="1:6">
      <c r="A1858" s="28" t="s">
        <v>49</v>
      </c>
      <c r="B1858" s="28" t="s">
        <v>34</v>
      </c>
      <c r="C1858" s="28">
        <v>2010</v>
      </c>
      <c r="D1858" s="28" t="s">
        <v>4</v>
      </c>
      <c r="E1858" s="28" t="s">
        <v>12</v>
      </c>
      <c r="F1858" s="28">
        <v>70628.290999999997</v>
      </c>
    </row>
    <row r="1859" spans="1:6">
      <c r="A1859" s="28" t="s">
        <v>49</v>
      </c>
      <c r="B1859" s="28" t="s">
        <v>34</v>
      </c>
      <c r="C1859" s="28">
        <v>2011</v>
      </c>
      <c r="D1859" s="28" t="s">
        <v>4</v>
      </c>
      <c r="E1859" s="28" t="s">
        <v>12</v>
      </c>
      <c r="F1859" s="28">
        <v>89766.024999999994</v>
      </c>
    </row>
    <row r="1860" spans="1:6">
      <c r="A1860" s="28" t="s">
        <v>49</v>
      </c>
      <c r="B1860" s="28" t="s">
        <v>34</v>
      </c>
      <c r="C1860" s="28">
        <v>2012</v>
      </c>
      <c r="D1860" s="28" t="s">
        <v>4</v>
      </c>
      <c r="E1860" s="28" t="s">
        <v>12</v>
      </c>
      <c r="F1860" s="28">
        <v>109909.902</v>
      </c>
    </row>
    <row r="1861" spans="1:6">
      <c r="A1861" s="28" t="s">
        <v>49</v>
      </c>
      <c r="B1861" s="28" t="s">
        <v>34</v>
      </c>
      <c r="C1861" s="28">
        <v>2013</v>
      </c>
      <c r="D1861" s="28" t="s">
        <v>4</v>
      </c>
      <c r="E1861" s="28" t="s">
        <v>12</v>
      </c>
      <c r="F1861" s="28">
        <v>144266.47399999999</v>
      </c>
    </row>
    <row r="1862" spans="1:6">
      <c r="A1862" s="28" t="s">
        <v>49</v>
      </c>
      <c r="B1862" s="28" t="s">
        <v>34</v>
      </c>
      <c r="C1862" s="28">
        <v>2014</v>
      </c>
      <c r="D1862" s="28" t="s">
        <v>4</v>
      </c>
      <c r="E1862" s="28" t="s">
        <v>12</v>
      </c>
      <c r="F1862" s="28">
        <v>193988.24</v>
      </c>
    </row>
    <row r="1863" spans="1:6">
      <c r="A1863" s="28" t="s">
        <v>49</v>
      </c>
      <c r="B1863" s="28" t="s">
        <v>34</v>
      </c>
      <c r="C1863" s="28">
        <v>2015</v>
      </c>
      <c r="D1863" s="28" t="s">
        <v>4</v>
      </c>
      <c r="E1863" s="28" t="s">
        <v>12</v>
      </c>
      <c r="F1863" s="28">
        <v>252763.07500000001</v>
      </c>
    </row>
    <row r="1864" spans="1:6">
      <c r="A1864" s="28" t="s">
        <v>49</v>
      </c>
      <c r="B1864" s="28" t="s">
        <v>34</v>
      </c>
      <c r="C1864" s="28">
        <v>2016</v>
      </c>
      <c r="D1864" s="28" t="s">
        <v>4</v>
      </c>
      <c r="E1864" s="28" t="s">
        <v>12</v>
      </c>
      <c r="F1864" s="28">
        <v>306352.092</v>
      </c>
    </row>
    <row r="1865" spans="1:6">
      <c r="A1865" s="28" t="s">
        <v>49</v>
      </c>
      <c r="B1865" s="28" t="s">
        <v>34</v>
      </c>
      <c r="C1865" s="28">
        <v>2017</v>
      </c>
      <c r="D1865" s="28" t="s">
        <v>4</v>
      </c>
      <c r="E1865" s="28" t="s">
        <v>12</v>
      </c>
      <c r="F1865" s="28">
        <v>365177.56599999999</v>
      </c>
    </row>
    <row r="1866" spans="1:6">
      <c r="A1866" s="28" t="s">
        <v>49</v>
      </c>
      <c r="B1866" s="28" t="s">
        <v>34</v>
      </c>
      <c r="C1866" s="28">
        <v>2010</v>
      </c>
      <c r="D1866" s="28" t="s">
        <v>4</v>
      </c>
      <c r="E1866" s="28" t="s">
        <v>13</v>
      </c>
      <c r="F1866" s="28">
        <v>2220.1210000000001</v>
      </c>
    </row>
    <row r="1867" spans="1:6">
      <c r="A1867" s="28" t="s">
        <v>49</v>
      </c>
      <c r="B1867" s="28" t="s">
        <v>34</v>
      </c>
      <c r="C1867" s="28">
        <v>2011</v>
      </c>
      <c r="D1867" s="28" t="s">
        <v>4</v>
      </c>
      <c r="E1867" s="28" t="s">
        <v>13</v>
      </c>
      <c r="F1867" s="28">
        <v>1696.5039999999999</v>
      </c>
    </row>
    <row r="1868" spans="1:6">
      <c r="A1868" s="28" t="s">
        <v>49</v>
      </c>
      <c r="B1868" s="28" t="s">
        <v>34</v>
      </c>
      <c r="C1868" s="28">
        <v>2012</v>
      </c>
      <c r="D1868" s="28" t="s">
        <v>4</v>
      </c>
      <c r="E1868" s="28" t="s">
        <v>13</v>
      </c>
      <c r="F1868" s="28">
        <v>5135.7979999999998</v>
      </c>
    </row>
    <row r="1869" spans="1:6">
      <c r="A1869" s="28" t="s">
        <v>49</v>
      </c>
      <c r="B1869" s="28" t="s">
        <v>34</v>
      </c>
      <c r="C1869" s="28">
        <v>2013</v>
      </c>
      <c r="D1869" s="28" t="s">
        <v>4</v>
      </c>
      <c r="E1869" s="28" t="s">
        <v>13</v>
      </c>
      <c r="F1869" s="28">
        <v>7146.8159999999998</v>
      </c>
    </row>
    <row r="1870" spans="1:6">
      <c r="A1870" s="28" t="s">
        <v>49</v>
      </c>
      <c r="B1870" s="28" t="s">
        <v>34</v>
      </c>
      <c r="C1870" s="28">
        <v>2014</v>
      </c>
      <c r="D1870" s="28" t="s">
        <v>4</v>
      </c>
      <c r="E1870" s="28" t="s">
        <v>13</v>
      </c>
      <c r="F1870" s="28">
        <v>9075.107</v>
      </c>
    </row>
    <row r="1871" spans="1:6">
      <c r="A1871" s="28" t="s">
        <v>49</v>
      </c>
      <c r="B1871" s="28" t="s">
        <v>34</v>
      </c>
      <c r="C1871" s="28">
        <v>2015</v>
      </c>
      <c r="D1871" s="28" t="s">
        <v>4</v>
      </c>
      <c r="E1871" s="28" t="s">
        <v>13</v>
      </c>
      <c r="F1871" s="28">
        <v>10288.093000000001</v>
      </c>
    </row>
    <row r="1872" spans="1:6">
      <c r="A1872" s="28" t="s">
        <v>49</v>
      </c>
      <c r="B1872" s="28" t="s">
        <v>34</v>
      </c>
      <c r="C1872" s="28">
        <v>2016</v>
      </c>
      <c r="D1872" s="28" t="s">
        <v>4</v>
      </c>
      <c r="E1872" s="28" t="s">
        <v>13</v>
      </c>
      <c r="F1872" s="28">
        <v>11202.028</v>
      </c>
    </row>
    <row r="1873" spans="1:6">
      <c r="A1873" s="28" t="s">
        <v>49</v>
      </c>
      <c r="B1873" s="28" t="s">
        <v>34</v>
      </c>
      <c r="C1873" s="28">
        <v>2017</v>
      </c>
      <c r="D1873" s="28" t="s">
        <v>4</v>
      </c>
      <c r="E1873" s="28" t="s">
        <v>13</v>
      </c>
      <c r="F1873" s="28">
        <v>13263.539000000001</v>
      </c>
    </row>
    <row r="1874" spans="1:6">
      <c r="A1874" s="28" t="s">
        <v>49</v>
      </c>
      <c r="B1874" s="28" t="s">
        <v>34</v>
      </c>
      <c r="C1874" s="28">
        <v>2010</v>
      </c>
      <c r="D1874" s="28" t="s">
        <v>4</v>
      </c>
      <c r="E1874" s="28" t="s">
        <v>14</v>
      </c>
      <c r="F1874" s="28">
        <v>2317.4368456109401</v>
      </c>
    </row>
    <row r="1875" spans="1:6">
      <c r="A1875" s="28" t="s">
        <v>49</v>
      </c>
      <c r="B1875" s="28" t="s">
        <v>34</v>
      </c>
      <c r="C1875" s="28">
        <v>2011</v>
      </c>
      <c r="D1875" s="28" t="s">
        <v>4</v>
      </c>
      <c r="E1875" s="28" t="s">
        <v>14</v>
      </c>
      <c r="F1875" s="28">
        <v>2788.1024409788802</v>
      </c>
    </row>
    <row r="1876" spans="1:6">
      <c r="A1876" s="28" t="s">
        <v>49</v>
      </c>
      <c r="B1876" s="28" t="s">
        <v>34</v>
      </c>
      <c r="C1876" s="28">
        <v>2012</v>
      </c>
      <c r="D1876" s="28" t="s">
        <v>4</v>
      </c>
      <c r="E1876" s="28" t="s">
        <v>14</v>
      </c>
      <c r="F1876" s="28">
        <v>3618.7069967437901</v>
      </c>
    </row>
    <row r="1877" spans="1:6">
      <c r="A1877" s="28" t="s">
        <v>49</v>
      </c>
      <c r="B1877" s="28" t="s">
        <v>34</v>
      </c>
      <c r="C1877" s="28">
        <v>2013</v>
      </c>
      <c r="D1877" s="28" t="s">
        <v>4</v>
      </c>
      <c r="E1877" s="28" t="s">
        <v>14</v>
      </c>
      <c r="F1877" s="28">
        <v>4407.88268579739</v>
      </c>
    </row>
    <row r="1878" spans="1:6">
      <c r="A1878" s="28" t="s">
        <v>49</v>
      </c>
      <c r="B1878" s="28" t="s">
        <v>34</v>
      </c>
      <c r="C1878" s="28">
        <v>2014</v>
      </c>
      <c r="D1878" s="28" t="s">
        <v>4</v>
      </c>
      <c r="E1878" s="28" t="s">
        <v>14</v>
      </c>
      <c r="F1878" s="28">
        <v>3448.1648962643799</v>
      </c>
    </row>
    <row r="1879" spans="1:6">
      <c r="A1879" s="28" t="s">
        <v>49</v>
      </c>
      <c r="B1879" s="28" t="s">
        <v>34</v>
      </c>
      <c r="C1879" s="28">
        <v>2015</v>
      </c>
      <c r="D1879" s="28" t="s">
        <v>4</v>
      </c>
      <c r="E1879" s="28" t="s">
        <v>14</v>
      </c>
      <c r="F1879" s="28">
        <v>3468.0805595840998</v>
      </c>
    </row>
    <row r="1880" spans="1:6">
      <c r="A1880" s="28" t="s">
        <v>49</v>
      </c>
      <c r="B1880" s="28" t="s">
        <v>34</v>
      </c>
      <c r="C1880" s="28">
        <v>2016</v>
      </c>
      <c r="D1880" s="28" t="s">
        <v>4</v>
      </c>
      <c r="E1880" s="28" t="s">
        <v>14</v>
      </c>
      <c r="F1880" s="28">
        <v>5050.5728449689996</v>
      </c>
    </row>
    <row r="1881" spans="1:6">
      <c r="A1881" s="28" t="s">
        <v>49</v>
      </c>
      <c r="B1881" s="28" t="s">
        <v>34</v>
      </c>
      <c r="C1881" s="28">
        <v>2017</v>
      </c>
      <c r="D1881" s="28" t="s">
        <v>4</v>
      </c>
      <c r="E1881" s="28" t="s">
        <v>14</v>
      </c>
      <c r="F1881" s="28">
        <v>6339.8662851865101</v>
      </c>
    </row>
    <row r="1882" spans="1:6">
      <c r="A1882" s="28" t="s">
        <v>49</v>
      </c>
      <c r="B1882" s="28" t="s">
        <v>34</v>
      </c>
      <c r="C1882" s="28">
        <v>2010</v>
      </c>
      <c r="D1882" s="28" t="s">
        <v>4</v>
      </c>
      <c r="E1882" s="28" t="s">
        <v>15</v>
      </c>
      <c r="F1882" s="28">
        <v>72.846024365995206</v>
      </c>
    </row>
    <row r="1883" spans="1:6">
      <c r="A1883" s="28" t="s">
        <v>49</v>
      </c>
      <c r="B1883" s="28" t="s">
        <v>34</v>
      </c>
      <c r="C1883" s="28">
        <v>2011</v>
      </c>
      <c r="D1883" s="28" t="s">
        <v>4</v>
      </c>
      <c r="E1883" s="28" t="s">
        <v>15</v>
      </c>
      <c r="F1883" s="28">
        <v>52.692841679582301</v>
      </c>
    </row>
    <row r="1884" spans="1:6">
      <c r="A1884" s="28" t="s">
        <v>49</v>
      </c>
      <c r="B1884" s="28" t="s">
        <v>34</v>
      </c>
      <c r="C1884" s="28">
        <v>2012</v>
      </c>
      <c r="D1884" s="28" t="s">
        <v>4</v>
      </c>
      <c r="E1884" s="28" t="s">
        <v>15</v>
      </c>
      <c r="F1884" s="28">
        <v>169.09257326480699</v>
      </c>
    </row>
    <row r="1885" spans="1:6">
      <c r="A1885" s="28" t="s">
        <v>49</v>
      </c>
      <c r="B1885" s="28" t="s">
        <v>34</v>
      </c>
      <c r="C1885" s="28">
        <v>2013</v>
      </c>
      <c r="D1885" s="28" t="s">
        <v>4</v>
      </c>
      <c r="E1885" s="28" t="s">
        <v>15</v>
      </c>
      <c r="F1885" s="28">
        <v>218.36207423340599</v>
      </c>
    </row>
    <row r="1886" spans="1:6">
      <c r="A1886" s="28" t="s">
        <v>49</v>
      </c>
      <c r="B1886" s="28" t="s">
        <v>34</v>
      </c>
      <c r="C1886" s="28">
        <v>2014</v>
      </c>
      <c r="D1886" s="28" t="s">
        <v>4</v>
      </c>
      <c r="E1886" s="28" t="s">
        <v>15</v>
      </c>
      <c r="F1886" s="28">
        <v>161.311146424356</v>
      </c>
    </row>
    <row r="1887" spans="1:6">
      <c r="A1887" s="28" t="s">
        <v>49</v>
      </c>
      <c r="B1887" s="28" t="s">
        <v>34</v>
      </c>
      <c r="C1887" s="28">
        <v>2015</v>
      </c>
      <c r="D1887" s="28" t="s">
        <v>4</v>
      </c>
      <c r="E1887" s="28" t="s">
        <v>15</v>
      </c>
      <c r="F1887" s="28">
        <v>141.15960303336701</v>
      </c>
    </row>
    <row r="1888" spans="1:6">
      <c r="A1888" s="28" t="s">
        <v>49</v>
      </c>
      <c r="B1888" s="28" t="s">
        <v>34</v>
      </c>
      <c r="C1888" s="28">
        <v>2016</v>
      </c>
      <c r="D1888" s="28" t="s">
        <v>4</v>
      </c>
      <c r="E1888" s="28" t="s">
        <v>15</v>
      </c>
      <c r="F1888" s="28">
        <v>184.67854440302801</v>
      </c>
    </row>
    <row r="1889" spans="1:6">
      <c r="A1889" s="28" t="s">
        <v>49</v>
      </c>
      <c r="B1889" s="28" t="s">
        <v>34</v>
      </c>
      <c r="C1889" s="28">
        <v>2017</v>
      </c>
      <c r="D1889" s="28" t="s">
        <v>4</v>
      </c>
      <c r="E1889" s="28" t="s">
        <v>15</v>
      </c>
      <c r="F1889" s="28">
        <v>230.26897476050399</v>
      </c>
    </row>
    <row r="1890" spans="1:6">
      <c r="A1890" s="28" t="s">
        <v>49</v>
      </c>
      <c r="B1890" s="28" t="s">
        <v>34</v>
      </c>
      <c r="C1890" s="28">
        <v>2010</v>
      </c>
      <c r="D1890" s="28" t="s">
        <v>7</v>
      </c>
      <c r="E1890" s="28" t="s">
        <v>16</v>
      </c>
      <c r="F1890" s="28">
        <v>4683.692</v>
      </c>
    </row>
    <row r="1891" spans="1:6">
      <c r="A1891" s="28" t="s">
        <v>49</v>
      </c>
      <c r="B1891" s="28" t="s">
        <v>34</v>
      </c>
      <c r="C1891" s="28">
        <v>2011</v>
      </c>
      <c r="D1891" s="28" t="s">
        <v>7</v>
      </c>
      <c r="E1891" s="28" t="s">
        <v>16</v>
      </c>
      <c r="F1891" s="28">
        <v>3977.5120000000002</v>
      </c>
    </row>
    <row r="1892" spans="1:6">
      <c r="A1892" s="28" t="s">
        <v>49</v>
      </c>
      <c r="B1892" s="28" t="s">
        <v>34</v>
      </c>
      <c r="C1892" s="28">
        <v>2012</v>
      </c>
      <c r="D1892" s="28" t="s">
        <v>7</v>
      </c>
      <c r="E1892" s="28" t="s">
        <v>16</v>
      </c>
      <c r="F1892" s="28">
        <v>7544.5479999999998</v>
      </c>
    </row>
    <row r="1893" spans="1:6">
      <c r="A1893" s="28" t="s">
        <v>49</v>
      </c>
      <c r="B1893" s="28" t="s">
        <v>34</v>
      </c>
      <c r="C1893" s="28">
        <v>2013</v>
      </c>
      <c r="D1893" s="28" t="s">
        <v>7</v>
      </c>
      <c r="E1893" s="28" t="s">
        <v>16</v>
      </c>
      <c r="F1893" s="28">
        <v>11402.189</v>
      </c>
    </row>
    <row r="1894" spans="1:6">
      <c r="A1894" s="28" t="s">
        <v>49</v>
      </c>
      <c r="B1894" s="28" t="s">
        <v>34</v>
      </c>
      <c r="C1894" s="28">
        <v>2014</v>
      </c>
      <c r="D1894" s="28" t="s">
        <v>7</v>
      </c>
      <c r="E1894" s="28" t="s">
        <v>16</v>
      </c>
      <c r="F1894" s="28">
        <v>14334.189</v>
      </c>
    </row>
    <row r="1895" spans="1:6">
      <c r="A1895" s="28" t="s">
        <v>49</v>
      </c>
      <c r="B1895" s="28" t="s">
        <v>34</v>
      </c>
      <c r="C1895" s="28">
        <v>2015</v>
      </c>
      <c r="D1895" s="28" t="s">
        <v>7</v>
      </c>
      <c r="E1895" s="28" t="s">
        <v>16</v>
      </c>
      <c r="F1895" s="28">
        <v>18302.221000000001</v>
      </c>
    </row>
    <row r="1896" spans="1:6">
      <c r="A1896" s="28" t="s">
        <v>49</v>
      </c>
      <c r="B1896" s="28" t="s">
        <v>34</v>
      </c>
      <c r="C1896" s="28">
        <v>2016</v>
      </c>
      <c r="D1896" s="28" t="s">
        <v>7</v>
      </c>
      <c r="E1896" s="28" t="s">
        <v>16</v>
      </c>
      <c r="F1896" s="28">
        <v>24386.574000000001</v>
      </c>
    </row>
    <row r="1897" spans="1:6">
      <c r="A1897" s="28" t="s">
        <v>49</v>
      </c>
      <c r="B1897" s="28" t="s">
        <v>34</v>
      </c>
      <c r="C1897" s="28">
        <v>2017</v>
      </c>
      <c r="D1897" s="28" t="s">
        <v>7</v>
      </c>
      <c r="E1897" s="28" t="s">
        <v>16</v>
      </c>
      <c r="F1897" s="28">
        <v>24849.928</v>
      </c>
    </row>
    <row r="1898" spans="1:6">
      <c r="A1898" s="28" t="s">
        <v>49</v>
      </c>
      <c r="B1898" s="28" t="s">
        <v>34</v>
      </c>
      <c r="C1898" s="28">
        <v>2010</v>
      </c>
      <c r="D1898" s="28" t="s">
        <v>7</v>
      </c>
      <c r="E1898" s="28" t="s">
        <v>17</v>
      </c>
      <c r="F1898" s="28">
        <v>153.680065885966</v>
      </c>
    </row>
    <row r="1899" spans="1:6">
      <c r="A1899" s="28" t="s">
        <v>49</v>
      </c>
      <c r="B1899" s="28" t="s">
        <v>34</v>
      </c>
      <c r="C1899" s="28">
        <v>2011</v>
      </c>
      <c r="D1899" s="28" t="s">
        <v>7</v>
      </c>
      <c r="E1899" s="28" t="s">
        <v>17</v>
      </c>
      <c r="F1899" s="28">
        <v>123.5401803324</v>
      </c>
    </row>
    <row r="1900" spans="1:6">
      <c r="A1900" s="28" t="s">
        <v>49</v>
      </c>
      <c r="B1900" s="28" t="s">
        <v>34</v>
      </c>
      <c r="C1900" s="28">
        <v>2012</v>
      </c>
      <c r="D1900" s="28" t="s">
        <v>7</v>
      </c>
      <c r="E1900" s="28" t="s">
        <v>17</v>
      </c>
      <c r="F1900" s="28">
        <v>248.39898988236101</v>
      </c>
    </row>
    <row r="1901" spans="1:6">
      <c r="A1901" s="28" t="s">
        <v>49</v>
      </c>
      <c r="B1901" s="28" t="s">
        <v>34</v>
      </c>
      <c r="C1901" s="28">
        <v>2013</v>
      </c>
      <c r="D1901" s="28" t="s">
        <v>7</v>
      </c>
      <c r="E1901" s="28" t="s">
        <v>17</v>
      </c>
      <c r="F1901" s="28">
        <v>348.37970375077902</v>
      </c>
    </row>
    <row r="1902" spans="1:6">
      <c r="A1902" s="28" t="s">
        <v>49</v>
      </c>
      <c r="B1902" s="28" t="s">
        <v>34</v>
      </c>
      <c r="C1902" s="28">
        <v>2014</v>
      </c>
      <c r="D1902" s="28" t="s">
        <v>7</v>
      </c>
      <c r="E1902" s="28" t="s">
        <v>17</v>
      </c>
      <c r="F1902" s="28">
        <v>254.79197773132501</v>
      </c>
    </row>
    <row r="1903" spans="1:6">
      <c r="A1903" s="28" t="s">
        <v>49</v>
      </c>
      <c r="B1903" s="28" t="s">
        <v>34</v>
      </c>
      <c r="C1903" s="28">
        <v>2015</v>
      </c>
      <c r="D1903" s="28" t="s">
        <v>7</v>
      </c>
      <c r="E1903" s="28" t="s">
        <v>17</v>
      </c>
      <c r="F1903" s="28">
        <v>251.11886634276701</v>
      </c>
    </row>
    <row r="1904" spans="1:6">
      <c r="A1904" s="28" t="s">
        <v>49</v>
      </c>
      <c r="B1904" s="28" t="s">
        <v>34</v>
      </c>
      <c r="C1904" s="28">
        <v>2016</v>
      </c>
      <c r="D1904" s="28" t="s">
        <v>7</v>
      </c>
      <c r="E1904" s="28" t="s">
        <v>17</v>
      </c>
      <c r="F1904" s="28">
        <v>402.04121872367398</v>
      </c>
    </row>
    <row r="1905" spans="1:6">
      <c r="A1905" s="28" t="s">
        <v>49</v>
      </c>
      <c r="B1905" s="28" t="s">
        <v>34</v>
      </c>
      <c r="C1905" s="28">
        <v>2017</v>
      </c>
      <c r="D1905" s="28" t="s">
        <v>7</v>
      </c>
      <c r="E1905" s="28" t="s">
        <v>17</v>
      </c>
      <c r="F1905" s="28">
        <v>431.42086312200303</v>
      </c>
    </row>
    <row r="1906" spans="1:6">
      <c r="A1906" s="28" t="s">
        <v>49</v>
      </c>
      <c r="B1906" s="28" t="s">
        <v>34</v>
      </c>
      <c r="C1906" s="28">
        <v>2010</v>
      </c>
      <c r="D1906" s="28" t="s">
        <v>20</v>
      </c>
      <c r="E1906" s="28" t="s">
        <v>18</v>
      </c>
      <c r="F1906" s="28">
        <v>103.905</v>
      </c>
    </row>
    <row r="1907" spans="1:6">
      <c r="A1907" s="28" t="s">
        <v>49</v>
      </c>
      <c r="B1907" s="28" t="s">
        <v>34</v>
      </c>
      <c r="C1907" s="28">
        <v>2011</v>
      </c>
      <c r="D1907" s="28" t="s">
        <v>20</v>
      </c>
      <c r="E1907" s="28" t="s">
        <v>18</v>
      </c>
      <c r="F1907" s="28">
        <v>98.623786999999993</v>
      </c>
    </row>
    <row r="1908" spans="1:6">
      <c r="A1908" s="28" t="s">
        <v>49</v>
      </c>
      <c r="B1908" s="28" t="s">
        <v>34</v>
      </c>
      <c r="C1908" s="28">
        <v>2012</v>
      </c>
      <c r="D1908" s="28" t="s">
        <v>20</v>
      </c>
      <c r="E1908" s="28" t="s">
        <v>18</v>
      </c>
      <c r="F1908" s="28">
        <v>85.211624</v>
      </c>
    </row>
    <row r="1909" spans="1:6">
      <c r="A1909" s="28" t="s">
        <v>49</v>
      </c>
      <c r="B1909" s="28" t="s">
        <v>34</v>
      </c>
      <c r="C1909" s="28">
        <v>2013</v>
      </c>
      <c r="D1909" s="28" t="s">
        <v>20</v>
      </c>
      <c r="E1909" s="28" t="s">
        <v>18</v>
      </c>
      <c r="F1909" s="28">
        <v>85.721824999999995</v>
      </c>
    </row>
    <row r="1910" spans="1:6">
      <c r="A1910" s="28" t="s">
        <v>49</v>
      </c>
      <c r="B1910" s="28" t="s">
        <v>34</v>
      </c>
      <c r="C1910" s="28">
        <v>2014</v>
      </c>
      <c r="D1910" s="28" t="s">
        <v>20</v>
      </c>
      <c r="E1910" s="28" t="s">
        <v>18</v>
      </c>
      <c r="F1910" s="28">
        <v>86.053244000000007</v>
      </c>
    </row>
    <row r="1911" spans="1:6">
      <c r="A1911" s="28" t="s">
        <v>49</v>
      </c>
      <c r="B1911" s="28" t="s">
        <v>34</v>
      </c>
      <c r="C1911" s="28">
        <v>2015</v>
      </c>
      <c r="D1911" s="28" t="s">
        <v>20</v>
      </c>
      <c r="E1911" s="28" t="s">
        <v>18</v>
      </c>
      <c r="F1911" s="28">
        <v>92.252707000000001</v>
      </c>
    </row>
    <row r="1912" spans="1:6">
      <c r="A1912" s="28" t="s">
        <v>49</v>
      </c>
      <c r="B1912" s="28" t="s">
        <v>34</v>
      </c>
      <c r="C1912" s="28">
        <v>2016</v>
      </c>
      <c r="D1912" s="28" t="s">
        <v>20</v>
      </c>
      <c r="E1912" s="28" t="s">
        <v>18</v>
      </c>
      <c r="F1912" s="28">
        <v>97.318746000000004</v>
      </c>
    </row>
    <row r="1913" spans="1:6">
      <c r="A1913" s="28" t="s">
        <v>49</v>
      </c>
      <c r="B1913" s="28" t="s">
        <v>34</v>
      </c>
      <c r="C1913" s="28">
        <v>2017</v>
      </c>
      <c r="D1913" s="28" t="s">
        <v>20</v>
      </c>
      <c r="E1913" s="28" t="s">
        <v>18</v>
      </c>
      <c r="F1913" s="28">
        <v>97.327427999999998</v>
      </c>
    </row>
    <row r="1914" spans="1:6">
      <c r="A1914" s="28" t="s">
        <v>49</v>
      </c>
      <c r="B1914" s="28" t="s">
        <v>34</v>
      </c>
      <c r="C1914" s="28">
        <v>2010</v>
      </c>
      <c r="D1914" s="28" t="s">
        <v>20</v>
      </c>
      <c r="E1914" s="28" t="s">
        <v>19</v>
      </c>
      <c r="F1914" s="28">
        <v>350</v>
      </c>
    </row>
    <row r="1915" spans="1:6">
      <c r="A1915" s="28" t="s">
        <v>49</v>
      </c>
      <c r="B1915" s="28" t="s">
        <v>34</v>
      </c>
      <c r="C1915" s="28">
        <v>2011</v>
      </c>
      <c r="D1915" s="28" t="s">
        <v>20</v>
      </c>
      <c r="E1915" s="28" t="s">
        <v>19</v>
      </c>
      <c r="F1915" s="28">
        <v>350</v>
      </c>
    </row>
    <row r="1916" spans="1:6">
      <c r="A1916" s="28" t="s">
        <v>49</v>
      </c>
      <c r="B1916" s="28" t="s">
        <v>34</v>
      </c>
      <c r="C1916" s="28">
        <v>2012</v>
      </c>
      <c r="D1916" s="28" t="s">
        <v>20</v>
      </c>
      <c r="E1916" s="28" t="s">
        <v>19</v>
      </c>
      <c r="F1916" s="28">
        <v>350</v>
      </c>
    </row>
    <row r="1917" spans="1:6">
      <c r="A1917" s="28" t="s">
        <v>49</v>
      </c>
      <c r="B1917" s="28" t="s">
        <v>34</v>
      </c>
      <c r="C1917" s="28">
        <v>2013</v>
      </c>
      <c r="D1917" s="28" t="s">
        <v>20</v>
      </c>
      <c r="E1917" s="28" t="s">
        <v>19</v>
      </c>
      <c r="F1917" s="28">
        <v>350</v>
      </c>
    </row>
    <row r="1918" spans="1:6">
      <c r="A1918" s="28" t="s">
        <v>49</v>
      </c>
      <c r="B1918" s="28" t="s">
        <v>34</v>
      </c>
      <c r="C1918" s="28">
        <v>2014</v>
      </c>
      <c r="D1918" s="28" t="s">
        <v>20</v>
      </c>
      <c r="E1918" s="28" t="s">
        <v>19</v>
      </c>
      <c r="F1918" s="28">
        <v>364</v>
      </c>
    </row>
    <row r="1919" spans="1:6">
      <c r="A1919" s="28" t="s">
        <v>49</v>
      </c>
      <c r="B1919" s="28" t="s">
        <v>34</v>
      </c>
      <c r="C1919" s="28">
        <v>2015</v>
      </c>
      <c r="D1919" s="28" t="s">
        <v>20</v>
      </c>
      <c r="E1919" s="28" t="s">
        <v>19</v>
      </c>
      <c r="F1919" s="28">
        <v>498</v>
      </c>
    </row>
    <row r="1920" spans="1:6">
      <c r="A1920" s="28" t="s">
        <v>49</v>
      </c>
      <c r="B1920" s="28" t="s">
        <v>34</v>
      </c>
      <c r="C1920" s="28">
        <v>2016</v>
      </c>
      <c r="D1920" s="28" t="s">
        <v>20</v>
      </c>
      <c r="E1920" s="28" t="s">
        <v>19</v>
      </c>
      <c r="F1920" s="28">
        <v>492</v>
      </c>
    </row>
    <row r="1921" spans="1:6">
      <c r="A1921" s="28" t="s">
        <v>49</v>
      </c>
      <c r="B1921" s="28" t="s">
        <v>34</v>
      </c>
      <c r="C1921" s="28">
        <v>2017</v>
      </c>
      <c r="D1921" s="28" t="s">
        <v>20</v>
      </c>
      <c r="E1921" s="28" t="s">
        <v>19</v>
      </c>
      <c r="F1921" s="28">
        <v>336</v>
      </c>
    </row>
    <row r="1922" spans="1:6">
      <c r="A1922" s="28" t="s">
        <v>50</v>
      </c>
      <c r="B1922" s="28" t="s">
        <v>34</v>
      </c>
      <c r="C1922" s="28">
        <v>2010</v>
      </c>
      <c r="D1922" s="28" t="s">
        <v>1</v>
      </c>
      <c r="E1922" s="28" t="s">
        <v>2</v>
      </c>
      <c r="F1922" s="28">
        <v>82656.979551099997</v>
      </c>
    </row>
    <row r="1923" spans="1:6">
      <c r="A1923" s="28" t="s">
        <v>50</v>
      </c>
      <c r="B1923" s="28" t="s">
        <v>34</v>
      </c>
      <c r="C1923" s="28">
        <v>2011</v>
      </c>
      <c r="D1923" s="28" t="s">
        <v>1</v>
      </c>
      <c r="E1923" s="28" t="s">
        <v>2</v>
      </c>
      <c r="F1923" s="28">
        <v>126107.64844210001</v>
      </c>
    </row>
    <row r="1924" spans="1:6">
      <c r="A1924" s="28" t="s">
        <v>50</v>
      </c>
      <c r="B1924" s="28" t="s">
        <v>34</v>
      </c>
      <c r="C1924" s="28">
        <v>2012</v>
      </c>
      <c r="D1924" s="28" t="s">
        <v>1</v>
      </c>
      <c r="E1924" s="28" t="s">
        <v>2</v>
      </c>
      <c r="F1924" s="28">
        <v>162701.25399999999</v>
      </c>
    </row>
    <row r="1925" spans="1:6">
      <c r="A1925" s="28" t="s">
        <v>50</v>
      </c>
      <c r="B1925" s="28" t="s">
        <v>34</v>
      </c>
      <c r="C1925" s="28">
        <v>2013</v>
      </c>
      <c r="D1925" s="28" t="s">
        <v>1</v>
      </c>
      <c r="E1925" s="28" t="s">
        <v>2</v>
      </c>
      <c r="F1925" s="28">
        <v>200920.65299999999</v>
      </c>
    </row>
    <row r="1926" spans="1:6">
      <c r="A1926" s="28" t="s">
        <v>50</v>
      </c>
      <c r="B1926" s="28" t="s">
        <v>34</v>
      </c>
      <c r="C1926" s="28">
        <v>2014</v>
      </c>
      <c r="D1926" s="28" t="s">
        <v>1</v>
      </c>
      <c r="E1926" s="28" t="s">
        <v>2</v>
      </c>
      <c r="F1926" s="28">
        <v>239012.61600000001</v>
      </c>
    </row>
    <row r="1927" spans="1:6">
      <c r="A1927" s="28" t="s">
        <v>50</v>
      </c>
      <c r="B1927" s="28" t="s">
        <v>34</v>
      </c>
      <c r="C1927" s="28">
        <v>2015</v>
      </c>
      <c r="D1927" s="28" t="s">
        <v>1</v>
      </c>
      <c r="E1927" s="28" t="s">
        <v>2</v>
      </c>
      <c r="F1927" s="28">
        <v>272376.72399999999</v>
      </c>
    </row>
    <row r="1928" spans="1:6">
      <c r="A1928" s="28" t="s">
        <v>50</v>
      </c>
      <c r="B1928" s="28" t="s">
        <v>34</v>
      </c>
      <c r="C1928" s="28">
        <v>2016</v>
      </c>
      <c r="D1928" s="28" t="s">
        <v>1</v>
      </c>
      <c r="E1928" s="28" t="s">
        <v>2</v>
      </c>
      <c r="F1928" s="28">
        <v>296025.929</v>
      </c>
    </row>
    <row r="1929" spans="1:6">
      <c r="A1929" s="28" t="s">
        <v>50</v>
      </c>
      <c r="B1929" s="28" t="s">
        <v>34</v>
      </c>
      <c r="C1929" s="28">
        <v>2017</v>
      </c>
      <c r="D1929" s="28" t="s">
        <v>1</v>
      </c>
      <c r="E1929" s="28" t="s">
        <v>2</v>
      </c>
      <c r="F1929" s="28">
        <v>336786.02299999999</v>
      </c>
    </row>
    <row r="1930" spans="1:6">
      <c r="A1930" s="28" t="s">
        <v>50</v>
      </c>
      <c r="B1930" s="28" t="s">
        <v>34</v>
      </c>
      <c r="C1930" s="28">
        <v>2010</v>
      </c>
      <c r="D1930" s="28" t="s">
        <v>1</v>
      </c>
      <c r="E1930" s="28" t="s">
        <v>3</v>
      </c>
      <c r="F1930" s="28">
        <v>29771.816918500001</v>
      </c>
    </row>
    <row r="1931" spans="1:6">
      <c r="A1931" s="28" t="s">
        <v>50</v>
      </c>
      <c r="B1931" s="28" t="s">
        <v>34</v>
      </c>
      <c r="C1931" s="28">
        <v>2011</v>
      </c>
      <c r="D1931" s="28" t="s">
        <v>1</v>
      </c>
      <c r="E1931" s="28" t="s">
        <v>3</v>
      </c>
      <c r="F1931" s="28">
        <v>49274.070499599999</v>
      </c>
    </row>
    <row r="1932" spans="1:6">
      <c r="A1932" s="28" t="s">
        <v>50</v>
      </c>
      <c r="B1932" s="28" t="s">
        <v>34</v>
      </c>
      <c r="C1932" s="28">
        <v>2012</v>
      </c>
      <c r="D1932" s="28" t="s">
        <v>1</v>
      </c>
      <c r="E1932" s="28" t="s">
        <v>3</v>
      </c>
      <c r="F1932" s="28">
        <v>57827.000999999997</v>
      </c>
    </row>
    <row r="1933" spans="1:6">
      <c r="A1933" s="28" t="s">
        <v>50</v>
      </c>
      <c r="B1933" s="28" t="s">
        <v>34</v>
      </c>
      <c r="C1933" s="28">
        <v>2013</v>
      </c>
      <c r="D1933" s="28" t="s">
        <v>1</v>
      </c>
      <c r="E1933" s="28" t="s">
        <v>3</v>
      </c>
      <c r="F1933" s="28">
        <v>67259.896999999997</v>
      </c>
    </row>
    <row r="1934" spans="1:6">
      <c r="A1934" s="28" t="s">
        <v>50</v>
      </c>
      <c r="B1934" s="28" t="s">
        <v>34</v>
      </c>
      <c r="C1934" s="28">
        <v>2014</v>
      </c>
      <c r="D1934" s="28" t="s">
        <v>1</v>
      </c>
      <c r="E1934" s="28" t="s">
        <v>3</v>
      </c>
      <c r="F1934" s="28">
        <v>105748.717</v>
      </c>
    </row>
    <row r="1935" spans="1:6">
      <c r="A1935" s="28" t="s">
        <v>50</v>
      </c>
      <c r="B1935" s="28" t="s">
        <v>34</v>
      </c>
      <c r="C1935" s="28">
        <v>2015</v>
      </c>
      <c r="D1935" s="28" t="s">
        <v>1</v>
      </c>
      <c r="E1935" s="28" t="s">
        <v>3</v>
      </c>
      <c r="F1935" s="28">
        <v>131816.24900000001</v>
      </c>
    </row>
    <row r="1936" spans="1:6">
      <c r="A1936" s="28" t="s">
        <v>50</v>
      </c>
      <c r="B1936" s="28" t="s">
        <v>34</v>
      </c>
      <c r="C1936" s="28">
        <v>2016</v>
      </c>
      <c r="D1936" s="28" t="s">
        <v>1</v>
      </c>
      <c r="E1936" s="28" t="s">
        <v>3</v>
      </c>
      <c r="F1936" s="28">
        <v>158889.557</v>
      </c>
    </row>
    <row r="1937" spans="1:6">
      <c r="A1937" s="28" t="s">
        <v>50</v>
      </c>
      <c r="B1937" s="28" t="s">
        <v>34</v>
      </c>
      <c r="C1937" s="28">
        <v>2017</v>
      </c>
      <c r="D1937" s="28" t="s">
        <v>1</v>
      </c>
      <c r="E1937" s="28" t="s">
        <v>3</v>
      </c>
      <c r="F1937" s="28">
        <v>189539.22399999999</v>
      </c>
    </row>
    <row r="1938" spans="1:6">
      <c r="A1938" s="28" t="s">
        <v>50</v>
      </c>
      <c r="B1938" s="28" t="s">
        <v>34</v>
      </c>
      <c r="C1938" s="28">
        <v>2010</v>
      </c>
      <c r="D1938" s="28" t="s">
        <v>1</v>
      </c>
      <c r="E1938" s="28" t="s">
        <v>5</v>
      </c>
      <c r="F1938" s="28">
        <v>112428.7964696</v>
      </c>
    </row>
    <row r="1939" spans="1:6">
      <c r="A1939" s="28" t="s">
        <v>50</v>
      </c>
      <c r="B1939" s="28" t="s">
        <v>34</v>
      </c>
      <c r="C1939" s="28">
        <v>2011</v>
      </c>
      <c r="D1939" s="28" t="s">
        <v>1</v>
      </c>
      <c r="E1939" s="28" t="s">
        <v>5</v>
      </c>
      <c r="F1939" s="28">
        <v>175381.7189417</v>
      </c>
    </row>
    <row r="1940" spans="1:6">
      <c r="A1940" s="28" t="s">
        <v>50</v>
      </c>
      <c r="B1940" s="28" t="s">
        <v>34</v>
      </c>
      <c r="C1940" s="28">
        <v>2012</v>
      </c>
      <c r="D1940" s="28" t="s">
        <v>1</v>
      </c>
      <c r="E1940" s="28" t="s">
        <v>5</v>
      </c>
      <c r="F1940" s="28">
        <v>220528.255</v>
      </c>
    </row>
    <row r="1941" spans="1:6">
      <c r="A1941" s="28" t="s">
        <v>50</v>
      </c>
      <c r="B1941" s="28" t="s">
        <v>34</v>
      </c>
      <c r="C1941" s="28">
        <v>2013</v>
      </c>
      <c r="D1941" s="28" t="s">
        <v>1</v>
      </c>
      <c r="E1941" s="28" t="s">
        <v>5</v>
      </c>
      <c r="F1941" s="28">
        <v>268180.55</v>
      </c>
    </row>
    <row r="1942" spans="1:6">
      <c r="A1942" s="28" t="s">
        <v>50</v>
      </c>
      <c r="B1942" s="28" t="s">
        <v>34</v>
      </c>
      <c r="C1942" s="28">
        <v>2014</v>
      </c>
      <c r="D1942" s="28" t="s">
        <v>1</v>
      </c>
      <c r="E1942" s="28" t="s">
        <v>5</v>
      </c>
      <c r="F1942" s="28">
        <v>344761.33299999998</v>
      </c>
    </row>
    <row r="1943" spans="1:6">
      <c r="A1943" s="28" t="s">
        <v>50</v>
      </c>
      <c r="B1943" s="28" t="s">
        <v>34</v>
      </c>
      <c r="C1943" s="28">
        <v>2015</v>
      </c>
      <c r="D1943" s="28" t="s">
        <v>1</v>
      </c>
      <c r="E1943" s="28" t="s">
        <v>5</v>
      </c>
      <c r="F1943" s="28">
        <v>404192.973</v>
      </c>
    </row>
    <row r="1944" spans="1:6">
      <c r="A1944" s="28" t="s">
        <v>50</v>
      </c>
      <c r="B1944" s="28" t="s">
        <v>34</v>
      </c>
      <c r="C1944" s="28">
        <v>2016</v>
      </c>
      <c r="D1944" s="28" t="s">
        <v>1</v>
      </c>
      <c r="E1944" s="28" t="s">
        <v>5</v>
      </c>
      <c r="F1944" s="28">
        <v>454915.48599999998</v>
      </c>
    </row>
    <row r="1945" spans="1:6">
      <c r="A1945" s="28" t="s">
        <v>50</v>
      </c>
      <c r="B1945" s="28" t="s">
        <v>34</v>
      </c>
      <c r="C1945" s="28">
        <v>2017</v>
      </c>
      <c r="D1945" s="28" t="s">
        <v>1</v>
      </c>
      <c r="E1945" s="28" t="s">
        <v>5</v>
      </c>
      <c r="F1945" s="28">
        <v>526325.24699999997</v>
      </c>
    </row>
    <row r="1946" spans="1:6">
      <c r="A1946" s="28" t="s">
        <v>50</v>
      </c>
      <c r="B1946" s="28" t="s">
        <v>34</v>
      </c>
      <c r="C1946" s="28">
        <v>2010</v>
      </c>
      <c r="D1946" s="28" t="s">
        <v>1</v>
      </c>
      <c r="E1946" s="28" t="s">
        <v>6</v>
      </c>
      <c r="F1946" s="28">
        <v>52501.275600200002</v>
      </c>
    </row>
    <row r="1947" spans="1:6">
      <c r="A1947" s="28" t="s">
        <v>50</v>
      </c>
      <c r="B1947" s="28" t="s">
        <v>34</v>
      </c>
      <c r="C1947" s="28">
        <v>2011</v>
      </c>
      <c r="D1947" s="28" t="s">
        <v>1</v>
      </c>
      <c r="E1947" s="28" t="s">
        <v>6</v>
      </c>
      <c r="F1947" s="28">
        <v>78695.671582099996</v>
      </c>
    </row>
    <row r="1948" spans="1:6">
      <c r="A1948" s="28" t="s">
        <v>50</v>
      </c>
      <c r="B1948" s="28" t="s">
        <v>34</v>
      </c>
      <c r="C1948" s="28">
        <v>2012</v>
      </c>
      <c r="D1948" s="28" t="s">
        <v>1</v>
      </c>
      <c r="E1948" s="28" t="s">
        <v>6</v>
      </c>
      <c r="F1948" s="28">
        <v>99235.714000000007</v>
      </c>
    </row>
    <row r="1949" spans="1:6">
      <c r="A1949" s="28" t="s">
        <v>50</v>
      </c>
      <c r="B1949" s="28" t="s">
        <v>34</v>
      </c>
      <c r="C1949" s="28">
        <v>2013</v>
      </c>
      <c r="D1949" s="28" t="s">
        <v>1</v>
      </c>
      <c r="E1949" s="28" t="s">
        <v>6</v>
      </c>
      <c r="F1949" s="28">
        <v>126162.13499999999</v>
      </c>
    </row>
    <row r="1950" spans="1:6">
      <c r="A1950" s="28" t="s">
        <v>50</v>
      </c>
      <c r="B1950" s="28" t="s">
        <v>34</v>
      </c>
      <c r="C1950" s="28">
        <v>2014</v>
      </c>
      <c r="D1950" s="28" t="s">
        <v>1</v>
      </c>
      <c r="E1950" s="28" t="s">
        <v>6</v>
      </c>
      <c r="F1950" s="28">
        <v>143651.62</v>
      </c>
    </row>
    <row r="1951" spans="1:6">
      <c r="A1951" s="28" t="s">
        <v>50</v>
      </c>
      <c r="B1951" s="28" t="s">
        <v>34</v>
      </c>
      <c r="C1951" s="28">
        <v>2015</v>
      </c>
      <c r="D1951" s="28" t="s">
        <v>1</v>
      </c>
      <c r="E1951" s="28" t="s">
        <v>6</v>
      </c>
      <c r="F1951" s="28">
        <v>165140.59599999999</v>
      </c>
    </row>
    <row r="1952" spans="1:6">
      <c r="A1952" s="28" t="s">
        <v>50</v>
      </c>
      <c r="B1952" s="28" t="s">
        <v>34</v>
      </c>
      <c r="C1952" s="28">
        <v>2016</v>
      </c>
      <c r="D1952" s="28" t="s">
        <v>1</v>
      </c>
      <c r="E1952" s="28" t="s">
        <v>6</v>
      </c>
      <c r="F1952" s="28">
        <v>196076.96799999999</v>
      </c>
    </row>
    <row r="1953" spans="1:6">
      <c r="A1953" s="28" t="s">
        <v>50</v>
      </c>
      <c r="B1953" s="28" t="s">
        <v>34</v>
      </c>
      <c r="C1953" s="28">
        <v>2017</v>
      </c>
      <c r="D1953" s="28" t="s">
        <v>1</v>
      </c>
      <c r="E1953" s="28" t="s">
        <v>6</v>
      </c>
      <c r="F1953" s="28">
        <v>259307.43900000001</v>
      </c>
    </row>
    <row r="1954" spans="1:6">
      <c r="A1954" s="28" t="s">
        <v>50</v>
      </c>
      <c r="B1954" s="28" t="s">
        <v>34</v>
      </c>
      <c r="C1954" s="28">
        <v>2010</v>
      </c>
      <c r="D1954" s="28" t="s">
        <v>1</v>
      </c>
      <c r="E1954" s="28" t="s">
        <v>8</v>
      </c>
      <c r="F1954" s="28">
        <v>26718.183923000001</v>
      </c>
    </row>
    <row r="1955" spans="1:6">
      <c r="A1955" s="28" t="s">
        <v>50</v>
      </c>
      <c r="B1955" s="28" t="s">
        <v>34</v>
      </c>
      <c r="C1955" s="28">
        <v>2011</v>
      </c>
      <c r="D1955" s="28" t="s">
        <v>1</v>
      </c>
      <c r="E1955" s="28" t="s">
        <v>8</v>
      </c>
      <c r="F1955" s="28">
        <v>50017.639429100003</v>
      </c>
    </row>
    <row r="1956" spans="1:6">
      <c r="A1956" s="28" t="s">
        <v>50</v>
      </c>
      <c r="B1956" s="28" t="s">
        <v>34</v>
      </c>
      <c r="C1956" s="28">
        <v>2012</v>
      </c>
      <c r="D1956" s="28" t="s">
        <v>1</v>
      </c>
      <c r="E1956" s="28" t="s">
        <v>8</v>
      </c>
      <c r="F1956" s="28">
        <v>44405.813999999998</v>
      </c>
    </row>
    <row r="1957" spans="1:6">
      <c r="A1957" s="28" t="s">
        <v>50</v>
      </c>
      <c r="B1957" s="28" t="s">
        <v>34</v>
      </c>
      <c r="C1957" s="28">
        <v>2013</v>
      </c>
      <c r="D1957" s="28" t="s">
        <v>1</v>
      </c>
      <c r="E1957" s="28" t="s">
        <v>8</v>
      </c>
      <c r="F1957" s="28">
        <v>45903.824000000001</v>
      </c>
    </row>
    <row r="1958" spans="1:6">
      <c r="A1958" s="28" t="s">
        <v>50</v>
      </c>
      <c r="B1958" s="28" t="s">
        <v>34</v>
      </c>
      <c r="C1958" s="28">
        <v>2014</v>
      </c>
      <c r="D1958" s="28" t="s">
        <v>1</v>
      </c>
      <c r="E1958" s="28" t="s">
        <v>8</v>
      </c>
      <c r="F1958" s="28">
        <v>55027.843000000001</v>
      </c>
    </row>
    <row r="1959" spans="1:6">
      <c r="A1959" s="28" t="s">
        <v>50</v>
      </c>
      <c r="B1959" s="28" t="s">
        <v>34</v>
      </c>
      <c r="C1959" s="28">
        <v>2015</v>
      </c>
      <c r="D1959" s="28" t="s">
        <v>1</v>
      </c>
      <c r="E1959" s="28" t="s">
        <v>8</v>
      </c>
      <c r="F1959" s="28">
        <v>72409.782000000007</v>
      </c>
    </row>
    <row r="1960" spans="1:6">
      <c r="A1960" s="28" t="s">
        <v>50</v>
      </c>
      <c r="B1960" s="28" t="s">
        <v>34</v>
      </c>
      <c r="C1960" s="28">
        <v>2016</v>
      </c>
      <c r="D1960" s="28" t="s">
        <v>1</v>
      </c>
      <c r="E1960" s="28" t="s">
        <v>8</v>
      </c>
      <c r="F1960" s="28">
        <v>93125.551999999996</v>
      </c>
    </row>
    <row r="1961" spans="1:6">
      <c r="A1961" s="28" t="s">
        <v>50</v>
      </c>
      <c r="B1961" s="28" t="s">
        <v>34</v>
      </c>
      <c r="C1961" s="28">
        <v>2017</v>
      </c>
      <c r="D1961" s="28" t="s">
        <v>1</v>
      </c>
      <c r="E1961" s="28" t="s">
        <v>8</v>
      </c>
      <c r="F1961" s="28">
        <v>108960.41800000001</v>
      </c>
    </row>
    <row r="1962" spans="1:6">
      <c r="A1962" s="28" t="s">
        <v>50</v>
      </c>
      <c r="B1962" s="28" t="s">
        <v>34</v>
      </c>
      <c r="C1962" s="28">
        <v>2010</v>
      </c>
      <c r="D1962" s="28" t="s">
        <v>1</v>
      </c>
      <c r="E1962" s="28" t="s">
        <v>9</v>
      </c>
      <c r="F1962" s="28">
        <v>33209.336946399999</v>
      </c>
    </row>
    <row r="1963" spans="1:6">
      <c r="A1963" s="28" t="s">
        <v>50</v>
      </c>
      <c r="B1963" s="28" t="s">
        <v>34</v>
      </c>
      <c r="C1963" s="28">
        <v>2011</v>
      </c>
      <c r="D1963" s="28" t="s">
        <v>1</v>
      </c>
      <c r="E1963" s="28" t="s">
        <v>9</v>
      </c>
      <c r="F1963" s="28">
        <v>46668.407930499998</v>
      </c>
    </row>
    <row r="1964" spans="1:6">
      <c r="A1964" s="28" t="s">
        <v>50</v>
      </c>
      <c r="B1964" s="28" t="s">
        <v>34</v>
      </c>
      <c r="C1964" s="28">
        <v>2012</v>
      </c>
      <c r="D1964" s="28" t="s">
        <v>1</v>
      </c>
      <c r="E1964" s="28" t="s">
        <v>9</v>
      </c>
      <c r="F1964" s="28">
        <v>76886.726999999999</v>
      </c>
    </row>
    <row r="1965" spans="1:6">
      <c r="A1965" s="28" t="s">
        <v>50</v>
      </c>
      <c r="B1965" s="28" t="s">
        <v>34</v>
      </c>
      <c r="C1965" s="28">
        <v>2013</v>
      </c>
      <c r="D1965" s="28" t="s">
        <v>1</v>
      </c>
      <c r="E1965" s="28" t="s">
        <v>9</v>
      </c>
      <c r="F1965" s="28">
        <v>96114.591</v>
      </c>
    </row>
    <row r="1966" spans="1:6">
      <c r="A1966" s="28" t="s">
        <v>50</v>
      </c>
      <c r="B1966" s="28" t="s">
        <v>34</v>
      </c>
      <c r="C1966" s="28">
        <v>2014</v>
      </c>
      <c r="D1966" s="28" t="s">
        <v>1</v>
      </c>
      <c r="E1966" s="28" t="s">
        <v>9</v>
      </c>
      <c r="F1966" s="28">
        <v>146081.87</v>
      </c>
    </row>
    <row r="1967" spans="1:6">
      <c r="A1967" s="28" t="s">
        <v>50</v>
      </c>
      <c r="B1967" s="28" t="s">
        <v>34</v>
      </c>
      <c r="C1967" s="28">
        <v>2015</v>
      </c>
      <c r="D1967" s="28" t="s">
        <v>1</v>
      </c>
      <c r="E1967" s="28" t="s">
        <v>9</v>
      </c>
      <c r="F1967" s="28">
        <v>166642.595</v>
      </c>
    </row>
    <row r="1968" spans="1:6">
      <c r="A1968" s="28" t="s">
        <v>50</v>
      </c>
      <c r="B1968" s="28" t="s">
        <v>34</v>
      </c>
      <c r="C1968" s="28">
        <v>2016</v>
      </c>
      <c r="D1968" s="28" t="s">
        <v>1</v>
      </c>
      <c r="E1968" s="28" t="s">
        <v>9</v>
      </c>
      <c r="F1968" s="28">
        <v>165712.96599999999</v>
      </c>
    </row>
    <row r="1969" spans="1:6">
      <c r="A1969" s="28" t="s">
        <v>50</v>
      </c>
      <c r="B1969" s="28" t="s">
        <v>34</v>
      </c>
      <c r="C1969" s="28">
        <v>2017</v>
      </c>
      <c r="D1969" s="28" t="s">
        <v>1</v>
      </c>
      <c r="E1969" s="28" t="s">
        <v>9</v>
      </c>
      <c r="F1969" s="28">
        <v>158057.39000000001</v>
      </c>
    </row>
    <row r="1970" spans="1:6">
      <c r="A1970" s="28" t="s">
        <v>50</v>
      </c>
      <c r="B1970" s="28" t="s">
        <v>34</v>
      </c>
      <c r="C1970" s="28">
        <v>2010</v>
      </c>
      <c r="D1970" s="28" t="s">
        <v>1</v>
      </c>
      <c r="E1970" s="28" t="s">
        <v>10</v>
      </c>
      <c r="F1970" s="28">
        <v>112428.7964696</v>
      </c>
    </row>
    <row r="1971" spans="1:6">
      <c r="A1971" s="28" t="s">
        <v>50</v>
      </c>
      <c r="B1971" s="28" t="s">
        <v>34</v>
      </c>
      <c r="C1971" s="28">
        <v>2011</v>
      </c>
      <c r="D1971" s="28" t="s">
        <v>1</v>
      </c>
      <c r="E1971" s="28" t="s">
        <v>10</v>
      </c>
      <c r="F1971" s="28">
        <v>175381.7189417</v>
      </c>
    </row>
    <row r="1972" spans="1:6">
      <c r="A1972" s="28" t="s">
        <v>50</v>
      </c>
      <c r="B1972" s="28" t="s">
        <v>34</v>
      </c>
      <c r="C1972" s="28">
        <v>2012</v>
      </c>
      <c r="D1972" s="28" t="s">
        <v>1</v>
      </c>
      <c r="E1972" s="28" t="s">
        <v>10</v>
      </c>
      <c r="F1972" s="28">
        <v>220528.255</v>
      </c>
    </row>
    <row r="1973" spans="1:6">
      <c r="A1973" s="28" t="s">
        <v>50</v>
      </c>
      <c r="B1973" s="28" t="s">
        <v>34</v>
      </c>
      <c r="C1973" s="28">
        <v>2013</v>
      </c>
      <c r="D1973" s="28" t="s">
        <v>1</v>
      </c>
      <c r="E1973" s="28" t="s">
        <v>10</v>
      </c>
      <c r="F1973" s="28">
        <v>268180.55</v>
      </c>
    </row>
    <row r="1974" spans="1:6">
      <c r="A1974" s="28" t="s">
        <v>50</v>
      </c>
      <c r="B1974" s="28" t="s">
        <v>34</v>
      </c>
      <c r="C1974" s="28">
        <v>2014</v>
      </c>
      <c r="D1974" s="28" t="s">
        <v>1</v>
      </c>
      <c r="E1974" s="28" t="s">
        <v>10</v>
      </c>
      <c r="F1974" s="28">
        <v>344761.33299999998</v>
      </c>
    </row>
    <row r="1975" spans="1:6">
      <c r="A1975" s="28" t="s">
        <v>50</v>
      </c>
      <c r="B1975" s="28" t="s">
        <v>34</v>
      </c>
      <c r="C1975" s="28">
        <v>2015</v>
      </c>
      <c r="D1975" s="28" t="s">
        <v>1</v>
      </c>
      <c r="E1975" s="28" t="s">
        <v>10</v>
      </c>
      <c r="F1975" s="28">
        <v>404192.973</v>
      </c>
    </row>
    <row r="1976" spans="1:6">
      <c r="A1976" s="28" t="s">
        <v>50</v>
      </c>
      <c r="B1976" s="28" t="s">
        <v>34</v>
      </c>
      <c r="C1976" s="28">
        <v>2016</v>
      </c>
      <c r="D1976" s="28" t="s">
        <v>1</v>
      </c>
      <c r="E1976" s="28" t="s">
        <v>10</v>
      </c>
      <c r="F1976" s="28">
        <v>454915.48599999998</v>
      </c>
    </row>
    <row r="1977" spans="1:6">
      <c r="A1977" s="28" t="s">
        <v>50</v>
      </c>
      <c r="B1977" s="28" t="s">
        <v>34</v>
      </c>
      <c r="C1977" s="28">
        <v>2017</v>
      </c>
      <c r="D1977" s="28" t="s">
        <v>1</v>
      </c>
      <c r="E1977" s="28" t="s">
        <v>10</v>
      </c>
      <c r="F1977" s="28">
        <v>526325.24699999997</v>
      </c>
    </row>
    <row r="1978" spans="1:6">
      <c r="A1978" s="28" t="s">
        <v>50</v>
      </c>
      <c r="B1978" s="28" t="s">
        <v>34</v>
      </c>
      <c r="C1978" s="28">
        <v>2010</v>
      </c>
      <c r="D1978" s="28" t="s">
        <v>1</v>
      </c>
      <c r="E1978" s="28" t="s">
        <v>11</v>
      </c>
      <c r="F1978" s="28">
        <v>0.53302643763160795</v>
      </c>
    </row>
    <row r="1979" spans="1:6">
      <c r="A1979" s="28" t="s">
        <v>50</v>
      </c>
      <c r="B1979" s="28" t="s">
        <v>34</v>
      </c>
      <c r="C1979" s="28">
        <v>2011</v>
      </c>
      <c r="D1979" s="28" t="s">
        <v>1</v>
      </c>
      <c r="E1979" s="28" t="s">
        <v>11</v>
      </c>
      <c r="F1979" s="28">
        <v>0.55128919902843598</v>
      </c>
    </row>
    <row r="1980" spans="1:6">
      <c r="A1980" s="28" t="s">
        <v>50</v>
      </c>
      <c r="B1980" s="28" t="s">
        <v>34</v>
      </c>
      <c r="C1980" s="28">
        <v>2012</v>
      </c>
      <c r="D1980" s="28" t="s">
        <v>1</v>
      </c>
      <c r="E1980" s="28" t="s">
        <v>11</v>
      </c>
      <c r="F1980" s="28">
        <v>0.550009072533585</v>
      </c>
    </row>
    <row r="1981" spans="1:6">
      <c r="A1981" s="28" t="s">
        <v>50</v>
      </c>
      <c r="B1981" s="28" t="s">
        <v>34</v>
      </c>
      <c r="C1981" s="28">
        <v>2013</v>
      </c>
      <c r="D1981" s="28" t="s">
        <v>1</v>
      </c>
      <c r="E1981" s="28" t="s">
        <v>11</v>
      </c>
      <c r="F1981" s="28">
        <v>0.52956269572867998</v>
      </c>
    </row>
    <row r="1982" spans="1:6">
      <c r="A1982" s="28" t="s">
        <v>50</v>
      </c>
      <c r="B1982" s="28" t="s">
        <v>34</v>
      </c>
      <c r="C1982" s="28">
        <v>2014</v>
      </c>
      <c r="D1982" s="28" t="s">
        <v>1</v>
      </c>
      <c r="E1982" s="28" t="s">
        <v>11</v>
      </c>
      <c r="F1982" s="28">
        <v>0.58333024544837797</v>
      </c>
    </row>
    <row r="1983" spans="1:6">
      <c r="A1983" s="28" t="s">
        <v>50</v>
      </c>
      <c r="B1983" s="28" t="s">
        <v>34</v>
      </c>
      <c r="C1983" s="28">
        <v>2015</v>
      </c>
      <c r="D1983" s="28" t="s">
        <v>1</v>
      </c>
      <c r="E1983" s="28" t="s">
        <v>11</v>
      </c>
      <c r="F1983" s="28">
        <v>0.59143130377974196</v>
      </c>
    </row>
    <row r="1984" spans="1:6">
      <c r="A1984" s="28" t="s">
        <v>50</v>
      </c>
      <c r="B1984" s="28" t="s">
        <v>34</v>
      </c>
      <c r="C1984" s="28">
        <v>2016</v>
      </c>
      <c r="D1984" s="28" t="s">
        <v>1</v>
      </c>
      <c r="E1984" s="28" t="s">
        <v>11</v>
      </c>
      <c r="F1984" s="28">
        <v>0.56898154924539102</v>
      </c>
    </row>
    <row r="1985" spans="1:6">
      <c r="A1985" s="28" t="s">
        <v>50</v>
      </c>
      <c r="B1985" s="28" t="s">
        <v>34</v>
      </c>
      <c r="C1985" s="28">
        <v>2017</v>
      </c>
      <c r="D1985" s="28" t="s">
        <v>1</v>
      </c>
      <c r="E1985" s="28" t="s">
        <v>11</v>
      </c>
      <c r="F1985" s="28">
        <v>0.50732471892992803</v>
      </c>
    </row>
    <row r="1986" spans="1:6">
      <c r="A1986" s="28" t="s">
        <v>50</v>
      </c>
      <c r="B1986" s="28" t="s">
        <v>34</v>
      </c>
      <c r="C1986" s="28">
        <v>2010</v>
      </c>
      <c r="D1986" s="28" t="s">
        <v>4</v>
      </c>
      <c r="E1986" s="28" t="s">
        <v>12</v>
      </c>
      <c r="F1986" s="28">
        <v>237031.1639676</v>
      </c>
    </row>
    <row r="1987" spans="1:6">
      <c r="A1987" s="28" t="s">
        <v>50</v>
      </c>
      <c r="B1987" s="28" t="s">
        <v>34</v>
      </c>
      <c r="C1987" s="28">
        <v>2011</v>
      </c>
      <c r="D1987" s="28" t="s">
        <v>4</v>
      </c>
      <c r="E1987" s="28" t="s">
        <v>12</v>
      </c>
      <c r="F1987" s="28">
        <v>367784.45348209998</v>
      </c>
    </row>
    <row r="1988" spans="1:6">
      <c r="A1988" s="28" t="s">
        <v>50</v>
      </c>
      <c r="B1988" s="28" t="s">
        <v>34</v>
      </c>
      <c r="C1988" s="28">
        <v>2012</v>
      </c>
      <c r="D1988" s="28" t="s">
        <v>4</v>
      </c>
      <c r="E1988" s="28" t="s">
        <v>12</v>
      </c>
      <c r="F1988" s="28">
        <v>448661.12699999998</v>
      </c>
    </row>
    <row r="1989" spans="1:6">
      <c r="A1989" s="28" t="s">
        <v>50</v>
      </c>
      <c r="B1989" s="28" t="s">
        <v>34</v>
      </c>
      <c r="C1989" s="28">
        <v>2013</v>
      </c>
      <c r="D1989" s="28" t="s">
        <v>4</v>
      </c>
      <c r="E1989" s="28" t="s">
        <v>12</v>
      </c>
      <c r="F1989" s="28">
        <v>579694.88</v>
      </c>
    </row>
    <row r="1990" spans="1:6">
      <c r="A1990" s="28" t="s">
        <v>50</v>
      </c>
      <c r="B1990" s="28" t="s">
        <v>34</v>
      </c>
      <c r="C1990" s="28">
        <v>2014</v>
      </c>
      <c r="D1990" s="28" t="s">
        <v>4</v>
      </c>
      <c r="E1990" s="28" t="s">
        <v>12</v>
      </c>
      <c r="F1990" s="28">
        <v>763527.25199999998</v>
      </c>
    </row>
    <row r="1991" spans="1:6">
      <c r="A1991" s="28" t="s">
        <v>50</v>
      </c>
      <c r="B1991" s="28" t="s">
        <v>34</v>
      </c>
      <c r="C1991" s="28">
        <v>2015</v>
      </c>
      <c r="D1991" s="28" t="s">
        <v>4</v>
      </c>
      <c r="E1991" s="28" t="s">
        <v>12</v>
      </c>
      <c r="F1991" s="28">
        <v>950613.33600000001</v>
      </c>
    </row>
    <row r="1992" spans="1:6">
      <c r="A1992" s="28" t="s">
        <v>50</v>
      </c>
      <c r="B1992" s="28" t="s">
        <v>34</v>
      </c>
      <c r="C1992" s="28">
        <v>2016</v>
      </c>
      <c r="D1992" s="28" t="s">
        <v>4</v>
      </c>
      <c r="E1992" s="28" t="s">
        <v>12</v>
      </c>
      <c r="F1992" s="28">
        <v>1074811.554</v>
      </c>
    </row>
    <row r="1993" spans="1:6">
      <c r="A1993" s="28" t="s">
        <v>50</v>
      </c>
      <c r="B1993" s="28" t="s">
        <v>34</v>
      </c>
      <c r="C1993" s="28">
        <v>2017</v>
      </c>
      <c r="D1993" s="28" t="s">
        <v>4</v>
      </c>
      <c r="E1993" s="28" t="s">
        <v>12</v>
      </c>
      <c r="F1993" s="28">
        <v>1143314.405</v>
      </c>
    </row>
    <row r="1994" spans="1:6">
      <c r="A1994" s="28" t="s">
        <v>50</v>
      </c>
      <c r="B1994" s="28" t="s">
        <v>34</v>
      </c>
      <c r="C1994" s="28">
        <v>2010</v>
      </c>
      <c r="D1994" s="28" t="s">
        <v>4</v>
      </c>
      <c r="E1994" s="28" t="s">
        <v>13</v>
      </c>
      <c r="F1994" s="28">
        <v>10170.019622399999</v>
      </c>
    </row>
    <row r="1995" spans="1:6">
      <c r="A1995" s="28" t="s">
        <v>50</v>
      </c>
      <c r="B1995" s="28" t="s">
        <v>34</v>
      </c>
      <c r="C1995" s="28">
        <v>2011</v>
      </c>
      <c r="D1995" s="28" t="s">
        <v>4</v>
      </c>
      <c r="E1995" s="28" t="s">
        <v>13</v>
      </c>
      <c r="F1995" s="28">
        <v>13479.734363600001</v>
      </c>
    </row>
    <row r="1996" spans="1:6">
      <c r="A1996" s="28" t="s">
        <v>50</v>
      </c>
      <c r="B1996" s="28" t="s">
        <v>34</v>
      </c>
      <c r="C1996" s="28">
        <v>2012</v>
      </c>
      <c r="D1996" s="28" t="s">
        <v>4</v>
      </c>
      <c r="E1996" s="28" t="s">
        <v>13</v>
      </c>
      <c r="F1996" s="28">
        <v>25117.281999999999</v>
      </c>
    </row>
    <row r="1997" spans="1:6">
      <c r="A1997" s="28" t="s">
        <v>50</v>
      </c>
      <c r="B1997" s="28" t="s">
        <v>34</v>
      </c>
      <c r="C1997" s="28">
        <v>2013</v>
      </c>
      <c r="D1997" s="28" t="s">
        <v>4</v>
      </c>
      <c r="E1997" s="28" t="s">
        <v>13</v>
      </c>
      <c r="F1997" s="28">
        <v>35620.375</v>
      </c>
    </row>
    <row r="1998" spans="1:6">
      <c r="A1998" s="28" t="s">
        <v>50</v>
      </c>
      <c r="B1998" s="28" t="s">
        <v>34</v>
      </c>
      <c r="C1998" s="28">
        <v>2014</v>
      </c>
      <c r="D1998" s="28" t="s">
        <v>4</v>
      </c>
      <c r="E1998" s="28" t="s">
        <v>13</v>
      </c>
      <c r="F1998" s="28">
        <v>47685.843999999997</v>
      </c>
    </row>
    <row r="1999" spans="1:6">
      <c r="A1999" s="28" t="s">
        <v>50</v>
      </c>
      <c r="B1999" s="28" t="s">
        <v>34</v>
      </c>
      <c r="C1999" s="28">
        <v>2015</v>
      </c>
      <c r="D1999" s="28" t="s">
        <v>4</v>
      </c>
      <c r="E1999" s="28" t="s">
        <v>13</v>
      </c>
      <c r="F1999" s="28">
        <v>59061.2</v>
      </c>
    </row>
    <row r="2000" spans="1:6">
      <c r="A2000" s="28" t="s">
        <v>50</v>
      </c>
      <c r="B2000" s="28" t="s">
        <v>34</v>
      </c>
      <c r="C2000" s="28">
        <v>2016</v>
      </c>
      <c r="D2000" s="28" t="s">
        <v>4</v>
      </c>
      <c r="E2000" s="28" t="s">
        <v>13</v>
      </c>
      <c r="F2000" s="28">
        <v>54408.993999999999</v>
      </c>
    </row>
    <row r="2001" spans="1:6">
      <c r="A2001" s="28" t="s">
        <v>50</v>
      </c>
      <c r="B2001" s="28" t="s">
        <v>34</v>
      </c>
      <c r="C2001" s="28">
        <v>2017</v>
      </c>
      <c r="D2001" s="28" t="s">
        <v>4</v>
      </c>
      <c r="E2001" s="28" t="s">
        <v>13</v>
      </c>
      <c r="F2001" s="28">
        <v>35538.972000000002</v>
      </c>
    </row>
    <row r="2002" spans="1:6">
      <c r="A2002" s="28" t="s">
        <v>50</v>
      </c>
      <c r="B2002" s="28" t="s">
        <v>34</v>
      </c>
      <c r="C2002" s="28">
        <v>2010</v>
      </c>
      <c r="D2002" s="28" t="s">
        <v>4</v>
      </c>
      <c r="E2002" s="28" t="s">
        <v>14</v>
      </c>
      <c r="F2002" s="28">
        <v>7777.4040000000005</v>
      </c>
    </row>
    <row r="2003" spans="1:6">
      <c r="A2003" s="28" t="s">
        <v>50</v>
      </c>
      <c r="B2003" s="28" t="s">
        <v>34</v>
      </c>
      <c r="C2003" s="28">
        <v>2011</v>
      </c>
      <c r="D2003" s="28" t="s">
        <v>4</v>
      </c>
      <c r="E2003" s="28" t="s">
        <v>14</v>
      </c>
      <c r="F2003" s="28">
        <v>11423.261</v>
      </c>
    </row>
    <row r="2004" spans="1:6">
      <c r="A2004" s="28" t="s">
        <v>50</v>
      </c>
      <c r="B2004" s="28" t="s">
        <v>34</v>
      </c>
      <c r="C2004" s="28">
        <v>2012</v>
      </c>
      <c r="D2004" s="28" t="s">
        <v>4</v>
      </c>
      <c r="E2004" s="28" t="s">
        <v>14</v>
      </c>
      <c r="F2004" s="28">
        <v>14771.8552186668</v>
      </c>
    </row>
    <row r="2005" spans="1:6">
      <c r="A2005" s="28" t="s">
        <v>50</v>
      </c>
      <c r="B2005" s="28" t="s">
        <v>34</v>
      </c>
      <c r="C2005" s="28">
        <v>2013</v>
      </c>
      <c r="D2005" s="28" t="s">
        <v>4</v>
      </c>
      <c r="E2005" s="28" t="s">
        <v>14</v>
      </c>
      <c r="F2005" s="28">
        <v>17711.8560795864</v>
      </c>
    </row>
    <row r="2006" spans="1:6">
      <c r="A2006" s="28" t="s">
        <v>50</v>
      </c>
      <c r="B2006" s="28" t="s">
        <v>34</v>
      </c>
      <c r="C2006" s="28">
        <v>2014</v>
      </c>
      <c r="D2006" s="28" t="s">
        <v>4</v>
      </c>
      <c r="E2006" s="28" t="s">
        <v>14</v>
      </c>
      <c r="F2006" s="28">
        <v>13571.7910925302</v>
      </c>
    </row>
    <row r="2007" spans="1:6">
      <c r="A2007" s="28" t="s">
        <v>50</v>
      </c>
      <c r="B2007" s="28" t="s">
        <v>34</v>
      </c>
      <c r="C2007" s="28">
        <v>2015</v>
      </c>
      <c r="D2007" s="28" t="s">
        <v>4</v>
      </c>
      <c r="E2007" s="28" t="s">
        <v>14</v>
      </c>
      <c r="F2007" s="28">
        <v>13043.0587231263</v>
      </c>
    </row>
    <row r="2008" spans="1:6">
      <c r="A2008" s="28" t="s">
        <v>50</v>
      </c>
      <c r="B2008" s="28" t="s">
        <v>34</v>
      </c>
      <c r="C2008" s="28">
        <v>2016</v>
      </c>
      <c r="D2008" s="28" t="s">
        <v>4</v>
      </c>
      <c r="E2008" s="28" t="s">
        <v>14</v>
      </c>
      <c r="F2008" s="28">
        <v>17719.526616098101</v>
      </c>
    </row>
    <row r="2009" spans="1:6">
      <c r="A2009" s="28" t="s">
        <v>50</v>
      </c>
      <c r="B2009" s="28" t="s">
        <v>34</v>
      </c>
      <c r="C2009" s="28">
        <v>2017</v>
      </c>
      <c r="D2009" s="28" t="s">
        <v>4</v>
      </c>
      <c r="E2009" s="28" t="s">
        <v>14</v>
      </c>
      <c r="F2009" s="28">
        <v>19849.139499515601</v>
      </c>
    </row>
    <row r="2010" spans="1:6">
      <c r="A2010" s="28" t="s">
        <v>50</v>
      </c>
      <c r="B2010" s="28" t="s">
        <v>34</v>
      </c>
      <c r="C2010" s="28">
        <v>2010</v>
      </c>
      <c r="D2010" s="28" t="s">
        <v>4</v>
      </c>
      <c r="E2010" s="28" t="s">
        <v>15</v>
      </c>
      <c r="F2010" s="28">
        <v>333.69600000000003</v>
      </c>
    </row>
    <row r="2011" spans="1:6">
      <c r="A2011" s="28" t="s">
        <v>50</v>
      </c>
      <c r="B2011" s="28" t="s">
        <v>34</v>
      </c>
      <c r="C2011" s="28">
        <v>2011</v>
      </c>
      <c r="D2011" s="28" t="s">
        <v>4</v>
      </c>
      <c r="E2011" s="28" t="s">
        <v>15</v>
      </c>
      <c r="F2011" s="28">
        <v>418.67599999999999</v>
      </c>
    </row>
    <row r="2012" spans="1:6">
      <c r="A2012" s="28" t="s">
        <v>50</v>
      </c>
      <c r="B2012" s="28" t="s">
        <v>34</v>
      </c>
      <c r="C2012" s="28">
        <v>2012</v>
      </c>
      <c r="D2012" s="28" t="s">
        <v>4</v>
      </c>
      <c r="E2012" s="28" t="s">
        <v>15</v>
      </c>
      <c r="F2012" s="28">
        <v>826.96902152261703</v>
      </c>
    </row>
    <row r="2013" spans="1:6">
      <c r="A2013" s="28" t="s">
        <v>50</v>
      </c>
      <c r="B2013" s="28" t="s">
        <v>34</v>
      </c>
      <c r="C2013" s="28">
        <v>2013</v>
      </c>
      <c r="D2013" s="28" t="s">
        <v>4</v>
      </c>
      <c r="E2013" s="28" t="s">
        <v>15</v>
      </c>
      <c r="F2013" s="28">
        <v>1088.3362563093499</v>
      </c>
    </row>
    <row r="2014" spans="1:6">
      <c r="A2014" s="28" t="s">
        <v>50</v>
      </c>
      <c r="B2014" s="28" t="s">
        <v>34</v>
      </c>
      <c r="C2014" s="28">
        <v>2014</v>
      </c>
      <c r="D2014" s="28" t="s">
        <v>4</v>
      </c>
      <c r="E2014" s="28" t="s">
        <v>15</v>
      </c>
      <c r="F2014" s="28">
        <v>847.62175959501201</v>
      </c>
    </row>
    <row r="2015" spans="1:6">
      <c r="A2015" s="28" t="s">
        <v>50</v>
      </c>
      <c r="B2015" s="28" t="s">
        <v>34</v>
      </c>
      <c r="C2015" s="28">
        <v>2015</v>
      </c>
      <c r="D2015" s="28" t="s">
        <v>4</v>
      </c>
      <c r="E2015" s="28" t="s">
        <v>15</v>
      </c>
      <c r="F2015" s="28">
        <v>810.35966011138396</v>
      </c>
    </row>
    <row r="2016" spans="1:6">
      <c r="A2016" s="28" t="s">
        <v>50</v>
      </c>
      <c r="B2016" s="28" t="s">
        <v>34</v>
      </c>
      <c r="C2016" s="28">
        <v>2016</v>
      </c>
      <c r="D2016" s="28" t="s">
        <v>4</v>
      </c>
      <c r="E2016" s="28" t="s">
        <v>15</v>
      </c>
      <c r="F2016" s="28">
        <v>896.99595594235802</v>
      </c>
    </row>
    <row r="2017" spans="1:6">
      <c r="A2017" s="28" t="s">
        <v>50</v>
      </c>
      <c r="B2017" s="28" t="s">
        <v>34</v>
      </c>
      <c r="C2017" s="28">
        <v>2017</v>
      </c>
      <c r="D2017" s="28" t="s">
        <v>4</v>
      </c>
      <c r="E2017" s="28" t="s">
        <v>15</v>
      </c>
      <c r="F2017" s="28">
        <v>616.99389932673796</v>
      </c>
    </row>
    <row r="2018" spans="1:6">
      <c r="A2018" s="28" t="s">
        <v>50</v>
      </c>
      <c r="B2018" s="28" t="s">
        <v>34</v>
      </c>
      <c r="C2018" s="28">
        <v>2010</v>
      </c>
      <c r="D2018" s="28" t="s">
        <v>7</v>
      </c>
      <c r="E2018" s="28" t="s">
        <v>16</v>
      </c>
      <c r="F2018" s="28">
        <v>15734.248209199999</v>
      </c>
    </row>
    <row r="2019" spans="1:6">
      <c r="A2019" s="28" t="s">
        <v>50</v>
      </c>
      <c r="B2019" s="28" t="s">
        <v>34</v>
      </c>
      <c r="C2019" s="28">
        <v>2011</v>
      </c>
      <c r="D2019" s="28" t="s">
        <v>7</v>
      </c>
      <c r="E2019" s="28" t="s">
        <v>16</v>
      </c>
      <c r="F2019" s="28">
        <v>24698.626389100002</v>
      </c>
    </row>
    <row r="2020" spans="1:6">
      <c r="A2020" s="28" t="s">
        <v>50</v>
      </c>
      <c r="B2020" s="28" t="s">
        <v>34</v>
      </c>
      <c r="C2020" s="28">
        <v>2012</v>
      </c>
      <c r="D2020" s="28" t="s">
        <v>7</v>
      </c>
      <c r="E2020" s="28" t="s">
        <v>16</v>
      </c>
      <c r="F2020" s="28">
        <v>37566.267</v>
      </c>
    </row>
    <row r="2021" spans="1:6">
      <c r="A2021" s="28" t="s">
        <v>50</v>
      </c>
      <c r="B2021" s="28" t="s">
        <v>34</v>
      </c>
      <c r="C2021" s="28">
        <v>2013</v>
      </c>
      <c r="D2021" s="28" t="s">
        <v>7</v>
      </c>
      <c r="E2021" s="28" t="s">
        <v>16</v>
      </c>
      <c r="F2021" s="28">
        <v>52787.495999999999</v>
      </c>
    </row>
    <row r="2022" spans="1:6">
      <c r="A2022" s="28" t="s">
        <v>50</v>
      </c>
      <c r="B2022" s="28" t="s">
        <v>34</v>
      </c>
      <c r="C2022" s="28">
        <v>2014</v>
      </c>
      <c r="D2022" s="28" t="s">
        <v>7</v>
      </c>
      <c r="E2022" s="28" t="s">
        <v>16</v>
      </c>
      <c r="F2022" s="28">
        <v>70041.528000000006</v>
      </c>
    </row>
    <row r="2023" spans="1:6">
      <c r="A2023" s="28" t="s">
        <v>50</v>
      </c>
      <c r="B2023" s="28" t="s">
        <v>34</v>
      </c>
      <c r="C2023" s="28">
        <v>2015</v>
      </c>
      <c r="D2023" s="28" t="s">
        <v>7</v>
      </c>
      <c r="E2023" s="28" t="s">
        <v>16</v>
      </c>
      <c r="F2023" s="28">
        <v>87629.535000000003</v>
      </c>
    </row>
    <row r="2024" spans="1:6">
      <c r="A2024" s="28" t="s">
        <v>50</v>
      </c>
      <c r="B2024" s="28" t="s">
        <v>34</v>
      </c>
      <c r="C2024" s="28">
        <v>2016</v>
      </c>
      <c r="D2024" s="28" t="s">
        <v>7</v>
      </c>
      <c r="E2024" s="28" t="s">
        <v>16</v>
      </c>
      <c r="F2024" s="28">
        <v>81167.548999999999</v>
      </c>
    </row>
    <row r="2025" spans="1:6">
      <c r="A2025" s="28" t="s">
        <v>50</v>
      </c>
      <c r="B2025" s="28" t="s">
        <v>34</v>
      </c>
      <c r="C2025" s="28">
        <v>2017</v>
      </c>
      <c r="D2025" s="28" t="s">
        <v>7</v>
      </c>
      <c r="E2025" s="28" t="s">
        <v>16</v>
      </c>
      <c r="F2025" s="28">
        <v>74394.138999999996</v>
      </c>
    </row>
    <row r="2026" spans="1:6">
      <c r="A2026" s="28" t="s">
        <v>50</v>
      </c>
      <c r="B2026" s="28" t="s">
        <v>34</v>
      </c>
      <c r="C2026" s="28">
        <v>2010</v>
      </c>
      <c r="D2026" s="28" t="s">
        <v>7</v>
      </c>
      <c r="E2026" s="28" t="s">
        <v>17</v>
      </c>
      <c r="F2026" s="28">
        <v>516.26800000000003</v>
      </c>
    </row>
    <row r="2027" spans="1:6">
      <c r="A2027" s="28" t="s">
        <v>50</v>
      </c>
      <c r="B2027" s="28" t="s">
        <v>34</v>
      </c>
      <c r="C2027" s="28">
        <v>2011</v>
      </c>
      <c r="D2027" s="28" t="s">
        <v>7</v>
      </c>
      <c r="E2027" s="28" t="s">
        <v>17</v>
      </c>
      <c r="F2027" s="28">
        <v>767.13099999999997</v>
      </c>
    </row>
    <row r="2028" spans="1:6">
      <c r="A2028" s="28" t="s">
        <v>50</v>
      </c>
      <c r="B2028" s="28" t="s">
        <v>34</v>
      </c>
      <c r="C2028" s="28">
        <v>2012</v>
      </c>
      <c r="D2028" s="28" t="s">
        <v>7</v>
      </c>
      <c r="E2028" s="28" t="s">
        <v>17</v>
      </c>
      <c r="F2028" s="28">
        <v>1236.84318483375</v>
      </c>
    </row>
    <row r="2029" spans="1:6">
      <c r="A2029" s="28" t="s">
        <v>50</v>
      </c>
      <c r="B2029" s="28" t="s">
        <v>34</v>
      </c>
      <c r="C2029" s="28">
        <v>2013</v>
      </c>
      <c r="D2029" s="28" t="s">
        <v>7</v>
      </c>
      <c r="E2029" s="28" t="s">
        <v>17</v>
      </c>
      <c r="F2029" s="28">
        <v>1612.85628735197</v>
      </c>
    </row>
    <row r="2030" spans="1:6">
      <c r="A2030" s="28" t="s">
        <v>50</v>
      </c>
      <c r="B2030" s="28" t="s">
        <v>34</v>
      </c>
      <c r="C2030" s="28">
        <v>2014</v>
      </c>
      <c r="D2030" s="28" t="s">
        <v>7</v>
      </c>
      <c r="E2030" s="28" t="s">
        <v>17</v>
      </c>
      <c r="F2030" s="28">
        <v>1244.9968004778</v>
      </c>
    </row>
    <row r="2031" spans="1:6">
      <c r="A2031" s="28" t="s">
        <v>50</v>
      </c>
      <c r="B2031" s="28" t="s">
        <v>34</v>
      </c>
      <c r="C2031" s="28">
        <v>2015</v>
      </c>
      <c r="D2031" s="28" t="s">
        <v>7</v>
      </c>
      <c r="E2031" s="28" t="s">
        <v>17</v>
      </c>
      <c r="F2031" s="28">
        <v>1202.33656272339</v>
      </c>
    </row>
    <row r="2032" spans="1:6">
      <c r="A2032" s="28" t="s">
        <v>50</v>
      </c>
      <c r="B2032" s="28" t="s">
        <v>34</v>
      </c>
      <c r="C2032" s="28">
        <v>2016</v>
      </c>
      <c r="D2032" s="28" t="s">
        <v>7</v>
      </c>
      <c r="E2032" s="28" t="s">
        <v>17</v>
      </c>
      <c r="F2032" s="28">
        <v>1338.14205803462</v>
      </c>
    </row>
    <row r="2033" spans="1:6">
      <c r="A2033" s="28" t="s">
        <v>50</v>
      </c>
      <c r="B2033" s="28" t="s">
        <v>34</v>
      </c>
      <c r="C2033" s="28">
        <v>2017</v>
      </c>
      <c r="D2033" s="28" t="s">
        <v>7</v>
      </c>
      <c r="E2033" s="28" t="s">
        <v>17</v>
      </c>
      <c r="F2033" s="28">
        <v>1291.56042860962</v>
      </c>
    </row>
    <row r="2034" spans="1:6">
      <c r="A2034" s="28" t="s">
        <v>50</v>
      </c>
      <c r="B2034" s="28" t="s">
        <v>34</v>
      </c>
      <c r="C2034" s="28">
        <v>2010</v>
      </c>
      <c r="D2034" s="28" t="s">
        <v>20</v>
      </c>
      <c r="E2034" s="28" t="s">
        <v>18</v>
      </c>
      <c r="F2034" s="28">
        <v>88.843999999999994</v>
      </c>
    </row>
    <row r="2035" spans="1:6">
      <c r="A2035" s="28" t="s">
        <v>50</v>
      </c>
      <c r="B2035" s="28" t="s">
        <v>34</v>
      </c>
      <c r="C2035" s="28">
        <v>2011</v>
      </c>
      <c r="D2035" s="28" t="s">
        <v>20</v>
      </c>
      <c r="E2035" s="28" t="s">
        <v>18</v>
      </c>
      <c r="F2035" s="28">
        <v>89.22</v>
      </c>
    </row>
    <row r="2036" spans="1:6">
      <c r="A2036" s="28" t="s">
        <v>50</v>
      </c>
      <c r="B2036" s="28" t="s">
        <v>34</v>
      </c>
      <c r="C2036" s="28">
        <v>2012</v>
      </c>
      <c r="D2036" s="28" t="s">
        <v>20</v>
      </c>
      <c r="E2036" s="28" t="s">
        <v>18</v>
      </c>
      <c r="F2036" s="28">
        <v>94.561000000000007</v>
      </c>
    </row>
    <row r="2037" spans="1:6">
      <c r="A2037" s="28" t="s">
        <v>50</v>
      </c>
      <c r="B2037" s="28" t="s">
        <v>34</v>
      </c>
      <c r="C2037" s="28">
        <v>2013</v>
      </c>
      <c r="D2037" s="28" t="s">
        <v>20</v>
      </c>
      <c r="E2037" s="28" t="s">
        <v>18</v>
      </c>
      <c r="F2037" s="28">
        <v>94.561000000000007</v>
      </c>
    </row>
    <row r="2038" spans="1:6">
      <c r="A2038" s="28" t="s">
        <v>50</v>
      </c>
      <c r="B2038" s="28" t="s">
        <v>34</v>
      </c>
      <c r="C2038" s="28">
        <v>2014</v>
      </c>
      <c r="D2038" s="28" t="s">
        <v>20</v>
      </c>
      <c r="E2038" s="28" t="s">
        <v>18</v>
      </c>
      <c r="F2038" s="28">
        <v>94.561000000000007</v>
      </c>
    </row>
    <row r="2039" spans="1:6">
      <c r="A2039" s="28" t="s">
        <v>50</v>
      </c>
      <c r="B2039" s="28" t="s">
        <v>34</v>
      </c>
      <c r="C2039" s="28">
        <v>2015</v>
      </c>
      <c r="D2039" s="28" t="s">
        <v>20</v>
      </c>
      <c r="E2039" s="28" t="s">
        <v>18</v>
      </c>
      <c r="F2039" s="28">
        <v>94.561000000000007</v>
      </c>
    </row>
    <row r="2040" spans="1:6">
      <c r="A2040" s="28" t="s">
        <v>50</v>
      </c>
      <c r="B2040" s="28" t="s">
        <v>34</v>
      </c>
      <c r="C2040" s="28">
        <v>2016</v>
      </c>
      <c r="D2040" s="28" t="s">
        <v>20</v>
      </c>
      <c r="E2040" s="28" t="s">
        <v>18</v>
      </c>
      <c r="F2040" s="28">
        <v>94.561000000000007</v>
      </c>
    </row>
    <row r="2041" spans="1:6">
      <c r="A2041" s="28" t="s">
        <v>50</v>
      </c>
      <c r="B2041" s="28" t="s">
        <v>34</v>
      </c>
      <c r="C2041" s="28">
        <v>2017</v>
      </c>
      <c r="D2041" s="28" t="s">
        <v>20</v>
      </c>
      <c r="E2041" s="28" t="s">
        <v>18</v>
      </c>
      <c r="F2041" s="28">
        <v>95.105000000000004</v>
      </c>
    </row>
    <row r="2042" spans="1:6">
      <c r="A2042" s="28" t="s">
        <v>50</v>
      </c>
      <c r="B2042" s="28" t="s">
        <v>34</v>
      </c>
      <c r="C2042" s="28">
        <v>2010</v>
      </c>
      <c r="D2042" s="28" t="s">
        <v>20</v>
      </c>
      <c r="E2042" s="28" t="s">
        <v>19</v>
      </c>
      <c r="F2042" s="28">
        <v>4080</v>
      </c>
    </row>
    <row r="2043" spans="1:6">
      <c r="A2043" s="28" t="s">
        <v>50</v>
      </c>
      <c r="B2043" s="28" t="s">
        <v>34</v>
      </c>
      <c r="C2043" s="28">
        <v>2011</v>
      </c>
      <c r="D2043" s="28" t="s">
        <v>20</v>
      </c>
      <c r="E2043" s="28" t="s">
        <v>19</v>
      </c>
      <c r="F2043" s="28">
        <v>2826</v>
      </c>
    </row>
    <row r="2044" spans="1:6">
      <c r="A2044" s="28" t="s">
        <v>50</v>
      </c>
      <c r="B2044" s="28" t="s">
        <v>34</v>
      </c>
      <c r="C2044" s="28">
        <v>2012</v>
      </c>
      <c r="D2044" s="28" t="s">
        <v>20</v>
      </c>
      <c r="E2044" s="28" t="s">
        <v>19</v>
      </c>
      <c r="F2044" s="28">
        <v>4786</v>
      </c>
    </row>
    <row r="2045" spans="1:6">
      <c r="A2045" s="28" t="s">
        <v>50</v>
      </c>
      <c r="B2045" s="28" t="s">
        <v>34</v>
      </c>
      <c r="C2045" s="28">
        <v>2013</v>
      </c>
      <c r="D2045" s="28" t="s">
        <v>20</v>
      </c>
      <c r="E2045" s="28" t="s">
        <v>19</v>
      </c>
      <c r="F2045" s="28">
        <v>9240</v>
      </c>
    </row>
    <row r="2046" spans="1:6">
      <c r="A2046" s="28" t="s">
        <v>50</v>
      </c>
      <c r="B2046" s="28" t="s">
        <v>34</v>
      </c>
      <c r="C2046" s="28">
        <v>2014</v>
      </c>
      <c r="D2046" s="28" t="s">
        <v>20</v>
      </c>
      <c r="E2046" s="28" t="s">
        <v>19</v>
      </c>
      <c r="F2046" s="28">
        <v>9701</v>
      </c>
    </row>
    <row r="2047" spans="1:6">
      <c r="A2047" s="28" t="s">
        <v>50</v>
      </c>
      <c r="B2047" s="28" t="s">
        <v>34</v>
      </c>
      <c r="C2047" s="28">
        <v>2015</v>
      </c>
      <c r="D2047" s="28" t="s">
        <v>20</v>
      </c>
      <c r="E2047" s="28" t="s">
        <v>19</v>
      </c>
      <c r="F2047" s="28">
        <v>11228</v>
      </c>
    </row>
    <row r="2048" spans="1:6">
      <c r="A2048" s="28" t="s">
        <v>50</v>
      </c>
      <c r="B2048" s="28" t="s">
        <v>34</v>
      </c>
      <c r="C2048" s="28">
        <v>2016</v>
      </c>
      <c r="D2048" s="28" t="s">
        <v>20</v>
      </c>
      <c r="E2048" s="28" t="s">
        <v>19</v>
      </c>
      <c r="F2048" s="28">
        <v>11000</v>
      </c>
    </row>
    <row r="2049" spans="1:6">
      <c r="A2049" s="28" t="s">
        <v>50</v>
      </c>
      <c r="B2049" s="28" t="s">
        <v>34</v>
      </c>
      <c r="C2049" s="28">
        <v>2017</v>
      </c>
      <c r="D2049" s="28" t="s">
        <v>20</v>
      </c>
      <c r="E2049" s="28" t="s">
        <v>19</v>
      </c>
      <c r="F2049" s="28">
        <v>6340</v>
      </c>
    </row>
    <row r="2050" spans="1:6">
      <c r="A2050" s="28" t="s">
        <v>51</v>
      </c>
      <c r="B2050" s="28" t="s">
        <v>34</v>
      </c>
      <c r="C2050" s="28">
        <v>2010</v>
      </c>
      <c r="D2050" s="28" t="s">
        <v>1</v>
      </c>
      <c r="E2050" s="28" t="s">
        <v>2</v>
      </c>
      <c r="F2050" s="28">
        <v>10238</v>
      </c>
    </row>
    <row r="2051" spans="1:6">
      <c r="A2051" s="28" t="s">
        <v>51</v>
      </c>
      <c r="B2051" s="28" t="s">
        <v>34</v>
      </c>
      <c r="C2051" s="28">
        <v>2011</v>
      </c>
      <c r="D2051" s="28" t="s">
        <v>1</v>
      </c>
      <c r="E2051" s="28" t="s">
        <v>2</v>
      </c>
      <c r="F2051" s="28">
        <v>12709</v>
      </c>
    </row>
    <row r="2052" spans="1:6">
      <c r="A2052" s="28" t="s">
        <v>51</v>
      </c>
      <c r="B2052" s="28" t="s">
        <v>34</v>
      </c>
      <c r="C2052" s="28">
        <v>2012</v>
      </c>
      <c r="D2052" s="28" t="s">
        <v>1</v>
      </c>
      <c r="E2052" s="28" t="s">
        <v>2</v>
      </c>
      <c r="F2052" s="28">
        <v>14601</v>
      </c>
    </row>
    <row r="2053" spans="1:6">
      <c r="A2053" s="28" t="s">
        <v>51</v>
      </c>
      <c r="B2053" s="28" t="s">
        <v>34</v>
      </c>
      <c r="C2053" s="28">
        <v>2013</v>
      </c>
      <c r="D2053" s="28" t="s">
        <v>1</v>
      </c>
      <c r="E2053" s="28" t="s">
        <v>2</v>
      </c>
      <c r="F2053" s="28">
        <v>16236</v>
      </c>
    </row>
    <row r="2054" spans="1:6">
      <c r="A2054" s="28" t="s">
        <v>51</v>
      </c>
      <c r="B2054" s="28" t="s">
        <v>34</v>
      </c>
      <c r="C2054" s="28">
        <v>2014</v>
      </c>
      <c r="D2054" s="28" t="s">
        <v>1</v>
      </c>
      <c r="E2054" s="28" t="s">
        <v>2</v>
      </c>
      <c r="F2054" s="28">
        <v>17965</v>
      </c>
    </row>
    <row r="2055" spans="1:6">
      <c r="A2055" s="28" t="s">
        <v>51</v>
      </c>
      <c r="B2055" s="28" t="s">
        <v>34</v>
      </c>
      <c r="C2055" s="28">
        <v>2015</v>
      </c>
      <c r="D2055" s="28" t="s">
        <v>1</v>
      </c>
      <c r="E2055" s="28" t="s">
        <v>2</v>
      </c>
      <c r="F2055" s="28">
        <v>18059</v>
      </c>
    </row>
    <row r="2056" spans="1:6">
      <c r="A2056" s="28" t="s">
        <v>51</v>
      </c>
      <c r="B2056" s="28" t="s">
        <v>34</v>
      </c>
      <c r="C2056" s="28">
        <v>2016</v>
      </c>
      <c r="D2056" s="28" t="s">
        <v>1</v>
      </c>
      <c r="E2056" s="28" t="s">
        <v>2</v>
      </c>
      <c r="F2056" s="28">
        <v>18959</v>
      </c>
    </row>
    <row r="2057" spans="1:6">
      <c r="A2057" s="28" t="s">
        <v>51</v>
      </c>
      <c r="B2057" s="28" t="s">
        <v>34</v>
      </c>
      <c r="C2057" s="28">
        <v>2017</v>
      </c>
      <c r="D2057" s="28" t="s">
        <v>1</v>
      </c>
      <c r="E2057" s="28" t="s">
        <v>2</v>
      </c>
      <c r="F2057" s="28">
        <v>23663</v>
      </c>
    </row>
    <row r="2058" spans="1:6">
      <c r="A2058" s="28" t="s">
        <v>51</v>
      </c>
      <c r="B2058" s="28" t="s">
        <v>34</v>
      </c>
      <c r="C2058" s="28">
        <v>2010</v>
      </c>
      <c r="D2058" s="28" t="s">
        <v>1</v>
      </c>
      <c r="E2058" s="28" t="s">
        <v>3</v>
      </c>
      <c r="F2058" s="28">
        <v>30457</v>
      </c>
    </row>
    <row r="2059" spans="1:6">
      <c r="A2059" s="28" t="s">
        <v>51</v>
      </c>
      <c r="B2059" s="28" t="s">
        <v>34</v>
      </c>
      <c r="C2059" s="28">
        <v>2011</v>
      </c>
      <c r="D2059" s="28" t="s">
        <v>1</v>
      </c>
      <c r="E2059" s="28" t="s">
        <v>3</v>
      </c>
      <c r="F2059" s="28">
        <v>40638</v>
      </c>
    </row>
    <row r="2060" spans="1:6">
      <c r="A2060" s="28" t="s">
        <v>51</v>
      </c>
      <c r="B2060" s="28" t="s">
        <v>34</v>
      </c>
      <c r="C2060" s="28">
        <v>2012</v>
      </c>
      <c r="D2060" s="28" t="s">
        <v>1</v>
      </c>
      <c r="E2060" s="28" t="s">
        <v>3</v>
      </c>
      <c r="F2060" s="28">
        <v>43344</v>
      </c>
    </row>
    <row r="2061" spans="1:6">
      <c r="A2061" s="28" t="s">
        <v>51</v>
      </c>
      <c r="B2061" s="28" t="s">
        <v>34</v>
      </c>
      <c r="C2061" s="28">
        <v>2013</v>
      </c>
      <c r="D2061" s="28" t="s">
        <v>1</v>
      </c>
      <c r="E2061" s="28" t="s">
        <v>3</v>
      </c>
      <c r="F2061" s="28">
        <v>48383</v>
      </c>
    </row>
    <row r="2062" spans="1:6">
      <c r="A2062" s="28" t="s">
        <v>51</v>
      </c>
      <c r="B2062" s="28" t="s">
        <v>34</v>
      </c>
      <c r="C2062" s="28">
        <v>2014</v>
      </c>
      <c r="D2062" s="28" t="s">
        <v>1</v>
      </c>
      <c r="E2062" s="28" t="s">
        <v>3</v>
      </c>
      <c r="F2062" s="28">
        <v>73553</v>
      </c>
    </row>
    <row r="2063" spans="1:6">
      <c r="A2063" s="28" t="s">
        <v>51</v>
      </c>
      <c r="B2063" s="28" t="s">
        <v>34</v>
      </c>
      <c r="C2063" s="28">
        <v>2015</v>
      </c>
      <c r="D2063" s="28" t="s">
        <v>1</v>
      </c>
      <c r="E2063" s="28" t="s">
        <v>3</v>
      </c>
      <c r="F2063" s="28">
        <v>69548</v>
      </c>
    </row>
    <row r="2064" spans="1:6">
      <c r="A2064" s="28" t="s">
        <v>51</v>
      </c>
      <c r="B2064" s="28" t="s">
        <v>34</v>
      </c>
      <c r="C2064" s="28">
        <v>2016</v>
      </c>
      <c r="D2064" s="28" t="s">
        <v>1</v>
      </c>
      <c r="E2064" s="28" t="s">
        <v>3</v>
      </c>
      <c r="F2064" s="28">
        <v>81342</v>
      </c>
    </row>
    <row r="2065" spans="1:6">
      <c r="A2065" s="28" t="s">
        <v>51</v>
      </c>
      <c r="B2065" s="28" t="s">
        <v>34</v>
      </c>
      <c r="C2065" s="28">
        <v>2017</v>
      </c>
      <c r="D2065" s="28" t="s">
        <v>1</v>
      </c>
      <c r="E2065" s="28" t="s">
        <v>3</v>
      </c>
      <c r="F2065" s="28">
        <v>97862</v>
      </c>
    </row>
    <row r="2066" spans="1:6">
      <c r="A2066" s="28" t="s">
        <v>51</v>
      </c>
      <c r="B2066" s="28" t="s">
        <v>34</v>
      </c>
      <c r="C2066" s="28">
        <v>2010</v>
      </c>
      <c r="D2066" s="28" t="s">
        <v>1</v>
      </c>
      <c r="E2066" s="28" t="s">
        <v>5</v>
      </c>
      <c r="F2066" s="28">
        <v>40695</v>
      </c>
    </row>
    <row r="2067" spans="1:6">
      <c r="A2067" s="28" t="s">
        <v>51</v>
      </c>
      <c r="B2067" s="28" t="s">
        <v>34</v>
      </c>
      <c r="C2067" s="28">
        <v>2011</v>
      </c>
      <c r="D2067" s="28" t="s">
        <v>1</v>
      </c>
      <c r="E2067" s="28" t="s">
        <v>5</v>
      </c>
      <c r="F2067" s="28">
        <v>53347</v>
      </c>
    </row>
    <row r="2068" spans="1:6">
      <c r="A2068" s="28" t="s">
        <v>51</v>
      </c>
      <c r="B2068" s="28" t="s">
        <v>34</v>
      </c>
      <c r="C2068" s="28">
        <v>2012</v>
      </c>
      <c r="D2068" s="28" t="s">
        <v>1</v>
      </c>
      <c r="E2068" s="28" t="s">
        <v>5</v>
      </c>
      <c r="F2068" s="28">
        <v>57945</v>
      </c>
    </row>
    <row r="2069" spans="1:6">
      <c r="A2069" s="28" t="s">
        <v>51</v>
      </c>
      <c r="B2069" s="28" t="s">
        <v>34</v>
      </c>
      <c r="C2069" s="28">
        <v>2013</v>
      </c>
      <c r="D2069" s="28" t="s">
        <v>1</v>
      </c>
      <c r="E2069" s="28" t="s">
        <v>5</v>
      </c>
      <c r="F2069" s="28">
        <v>64619</v>
      </c>
    </row>
    <row r="2070" spans="1:6">
      <c r="A2070" s="28" t="s">
        <v>51</v>
      </c>
      <c r="B2070" s="28" t="s">
        <v>34</v>
      </c>
      <c r="C2070" s="28">
        <v>2014</v>
      </c>
      <c r="D2070" s="28" t="s">
        <v>1</v>
      </c>
      <c r="E2070" s="28" t="s">
        <v>5</v>
      </c>
      <c r="F2070" s="28">
        <v>91518</v>
      </c>
    </row>
    <row r="2071" spans="1:6">
      <c r="A2071" s="28" t="s">
        <v>51</v>
      </c>
      <c r="B2071" s="28" t="s">
        <v>34</v>
      </c>
      <c r="C2071" s="28">
        <v>2015</v>
      </c>
      <c r="D2071" s="28" t="s">
        <v>1</v>
      </c>
      <c r="E2071" s="28" t="s">
        <v>5</v>
      </c>
      <c r="F2071" s="28">
        <v>87607</v>
      </c>
    </row>
    <row r="2072" spans="1:6">
      <c r="A2072" s="28" t="s">
        <v>51</v>
      </c>
      <c r="B2072" s="28" t="s">
        <v>34</v>
      </c>
      <c r="C2072" s="28">
        <v>2016</v>
      </c>
      <c r="D2072" s="28" t="s">
        <v>1</v>
      </c>
      <c r="E2072" s="28" t="s">
        <v>5</v>
      </c>
      <c r="F2072" s="28">
        <v>100301</v>
      </c>
    </row>
    <row r="2073" spans="1:6">
      <c r="A2073" s="28" t="s">
        <v>51</v>
      </c>
      <c r="B2073" s="28" t="s">
        <v>34</v>
      </c>
      <c r="C2073" s="28">
        <v>2017</v>
      </c>
      <c r="D2073" s="28" t="s">
        <v>1</v>
      </c>
      <c r="E2073" s="28" t="s">
        <v>5</v>
      </c>
      <c r="F2073" s="28">
        <v>121525</v>
      </c>
    </row>
    <row r="2074" spans="1:6">
      <c r="A2074" s="28" t="s">
        <v>51</v>
      </c>
      <c r="B2074" s="28" t="s">
        <v>34</v>
      </c>
      <c r="C2074" s="28">
        <v>2010</v>
      </c>
      <c r="D2074" s="28" t="s">
        <v>1</v>
      </c>
      <c r="E2074" s="28" t="s">
        <v>6</v>
      </c>
      <c r="F2074" s="28">
        <v>10065</v>
      </c>
    </row>
    <row r="2075" spans="1:6">
      <c r="A2075" s="28" t="s">
        <v>51</v>
      </c>
      <c r="B2075" s="28" t="s">
        <v>34</v>
      </c>
      <c r="C2075" s="28">
        <v>2011</v>
      </c>
      <c r="D2075" s="28" t="s">
        <v>1</v>
      </c>
      <c r="E2075" s="28" t="s">
        <v>6</v>
      </c>
      <c r="F2075" s="28">
        <v>12827</v>
      </c>
    </row>
    <row r="2076" spans="1:6">
      <c r="A2076" s="28" t="s">
        <v>51</v>
      </c>
      <c r="B2076" s="28" t="s">
        <v>34</v>
      </c>
      <c r="C2076" s="28">
        <v>2012</v>
      </c>
      <c r="D2076" s="28" t="s">
        <v>1</v>
      </c>
      <c r="E2076" s="28" t="s">
        <v>6</v>
      </c>
      <c r="F2076" s="28">
        <v>10692</v>
      </c>
    </row>
    <row r="2077" spans="1:6">
      <c r="A2077" s="28" t="s">
        <v>51</v>
      </c>
      <c r="B2077" s="28" t="s">
        <v>34</v>
      </c>
      <c r="C2077" s="28">
        <v>2013</v>
      </c>
      <c r="D2077" s="28" t="s">
        <v>1</v>
      </c>
      <c r="E2077" s="28" t="s">
        <v>6</v>
      </c>
      <c r="F2077" s="28">
        <v>13933</v>
      </c>
    </row>
    <row r="2078" spans="1:6">
      <c r="A2078" s="28" t="s">
        <v>51</v>
      </c>
      <c r="B2078" s="28" t="s">
        <v>34</v>
      </c>
      <c r="C2078" s="28">
        <v>2014</v>
      </c>
      <c r="D2078" s="28" t="s">
        <v>1</v>
      </c>
      <c r="E2078" s="28" t="s">
        <v>6</v>
      </c>
      <c r="F2078" s="28">
        <v>14348</v>
      </c>
    </row>
    <row r="2079" spans="1:6">
      <c r="A2079" s="28" t="s">
        <v>51</v>
      </c>
      <c r="B2079" s="28" t="s">
        <v>34</v>
      </c>
      <c r="C2079" s="28">
        <v>2015</v>
      </c>
      <c r="D2079" s="28" t="s">
        <v>1</v>
      </c>
      <c r="E2079" s="28" t="s">
        <v>6</v>
      </c>
      <c r="F2079" s="28">
        <v>13995</v>
      </c>
    </row>
    <row r="2080" spans="1:6">
      <c r="A2080" s="28" t="s">
        <v>51</v>
      </c>
      <c r="B2080" s="28" t="s">
        <v>34</v>
      </c>
      <c r="C2080" s="28">
        <v>2016</v>
      </c>
      <c r="D2080" s="28" t="s">
        <v>1</v>
      </c>
      <c r="E2080" s="28" t="s">
        <v>6</v>
      </c>
      <c r="F2080" s="28">
        <v>15951</v>
      </c>
    </row>
    <row r="2081" spans="1:6">
      <c r="A2081" s="28" t="s">
        <v>51</v>
      </c>
      <c r="B2081" s="28" t="s">
        <v>34</v>
      </c>
      <c r="C2081" s="28">
        <v>2017</v>
      </c>
      <c r="D2081" s="28" t="s">
        <v>1</v>
      </c>
      <c r="E2081" s="28" t="s">
        <v>6</v>
      </c>
      <c r="F2081" s="28">
        <v>23154</v>
      </c>
    </row>
    <row r="2082" spans="1:6">
      <c r="A2082" s="28" t="s">
        <v>51</v>
      </c>
      <c r="B2082" s="28" t="s">
        <v>34</v>
      </c>
      <c r="C2082" s="28">
        <v>2010</v>
      </c>
      <c r="D2082" s="28" t="s">
        <v>1</v>
      </c>
      <c r="E2082" s="28" t="s">
        <v>8</v>
      </c>
      <c r="F2082" s="28">
        <v>474</v>
      </c>
    </row>
    <row r="2083" spans="1:6">
      <c r="A2083" s="28" t="s">
        <v>51</v>
      </c>
      <c r="B2083" s="28" t="s">
        <v>34</v>
      </c>
      <c r="C2083" s="28">
        <v>2011</v>
      </c>
      <c r="D2083" s="28" t="s">
        <v>1</v>
      </c>
      <c r="E2083" s="28" t="s">
        <v>8</v>
      </c>
      <c r="F2083" s="28">
        <v>417</v>
      </c>
    </row>
    <row r="2084" spans="1:6">
      <c r="A2084" s="28" t="s">
        <v>51</v>
      </c>
      <c r="B2084" s="28" t="s">
        <v>34</v>
      </c>
      <c r="C2084" s="28">
        <v>2012</v>
      </c>
      <c r="D2084" s="28" t="s">
        <v>1</v>
      </c>
      <c r="E2084" s="28" t="s">
        <v>8</v>
      </c>
      <c r="F2084" s="28">
        <v>208</v>
      </c>
    </row>
    <row r="2085" spans="1:6">
      <c r="A2085" s="28" t="s">
        <v>51</v>
      </c>
      <c r="B2085" s="28" t="s">
        <v>34</v>
      </c>
      <c r="C2085" s="28">
        <v>2013</v>
      </c>
      <c r="D2085" s="28" t="s">
        <v>1</v>
      </c>
      <c r="E2085" s="28" t="s">
        <v>8</v>
      </c>
      <c r="F2085" s="28">
        <v>83</v>
      </c>
    </row>
    <row r="2086" spans="1:6">
      <c r="A2086" s="28" t="s">
        <v>51</v>
      </c>
      <c r="B2086" s="28" t="s">
        <v>34</v>
      </c>
      <c r="C2086" s="28">
        <v>2014</v>
      </c>
      <c r="D2086" s="28" t="s">
        <v>1</v>
      </c>
      <c r="E2086" s="28" t="s">
        <v>8</v>
      </c>
      <c r="F2086" s="28">
        <v>5</v>
      </c>
    </row>
    <row r="2087" spans="1:6">
      <c r="A2087" s="28" t="s">
        <v>51</v>
      </c>
      <c r="B2087" s="28" t="s">
        <v>34</v>
      </c>
      <c r="C2087" s="28">
        <v>2015</v>
      </c>
      <c r="D2087" s="28" t="s">
        <v>1</v>
      </c>
      <c r="E2087" s="28" t="s">
        <v>8</v>
      </c>
      <c r="F2087" s="28">
        <v>72</v>
      </c>
    </row>
    <row r="2088" spans="1:6">
      <c r="A2088" s="28" t="s">
        <v>51</v>
      </c>
      <c r="B2088" s="28" t="s">
        <v>34</v>
      </c>
      <c r="C2088" s="28">
        <v>2016</v>
      </c>
      <c r="D2088" s="28" t="s">
        <v>1</v>
      </c>
      <c r="E2088" s="28" t="s">
        <v>8</v>
      </c>
      <c r="F2088" s="28">
        <v>75</v>
      </c>
    </row>
    <row r="2089" spans="1:6">
      <c r="A2089" s="28" t="s">
        <v>51</v>
      </c>
      <c r="B2089" s="28" t="s">
        <v>34</v>
      </c>
      <c r="C2089" s="28">
        <v>2017</v>
      </c>
      <c r="D2089" s="28" t="s">
        <v>1</v>
      </c>
      <c r="E2089" s="28" t="s">
        <v>8</v>
      </c>
      <c r="F2089" s="28">
        <v>4</v>
      </c>
    </row>
    <row r="2090" spans="1:6">
      <c r="A2090" s="28" t="s">
        <v>51</v>
      </c>
      <c r="B2090" s="28" t="s">
        <v>34</v>
      </c>
      <c r="C2090" s="28">
        <v>2010</v>
      </c>
      <c r="D2090" s="28" t="s">
        <v>1</v>
      </c>
      <c r="E2090" s="28" t="s">
        <v>9</v>
      </c>
      <c r="F2090" s="28">
        <v>30156</v>
      </c>
    </row>
    <row r="2091" spans="1:6">
      <c r="A2091" s="28" t="s">
        <v>51</v>
      </c>
      <c r="B2091" s="28" t="s">
        <v>34</v>
      </c>
      <c r="C2091" s="28">
        <v>2011</v>
      </c>
      <c r="D2091" s="28" t="s">
        <v>1</v>
      </c>
      <c r="E2091" s="28" t="s">
        <v>9</v>
      </c>
      <c r="F2091" s="28">
        <v>40103</v>
      </c>
    </row>
    <row r="2092" spans="1:6">
      <c r="A2092" s="28" t="s">
        <v>51</v>
      </c>
      <c r="B2092" s="28" t="s">
        <v>34</v>
      </c>
      <c r="C2092" s="28">
        <v>2012</v>
      </c>
      <c r="D2092" s="28" t="s">
        <v>1</v>
      </c>
      <c r="E2092" s="28" t="s">
        <v>9</v>
      </c>
      <c r="F2092" s="28">
        <v>47045</v>
      </c>
    </row>
    <row r="2093" spans="1:6">
      <c r="A2093" s="28" t="s">
        <v>51</v>
      </c>
      <c r="B2093" s="28" t="s">
        <v>34</v>
      </c>
      <c r="C2093" s="28">
        <v>2013</v>
      </c>
      <c r="D2093" s="28" t="s">
        <v>1</v>
      </c>
      <c r="E2093" s="28" t="s">
        <v>9</v>
      </c>
      <c r="F2093" s="28">
        <v>50603</v>
      </c>
    </row>
    <row r="2094" spans="1:6">
      <c r="A2094" s="28" t="s">
        <v>51</v>
      </c>
      <c r="B2094" s="28" t="s">
        <v>34</v>
      </c>
      <c r="C2094" s="28">
        <v>2014</v>
      </c>
      <c r="D2094" s="28" t="s">
        <v>1</v>
      </c>
      <c r="E2094" s="28" t="s">
        <v>9</v>
      </c>
      <c r="F2094" s="28">
        <v>77165</v>
      </c>
    </row>
    <row r="2095" spans="1:6">
      <c r="A2095" s="28" t="s">
        <v>51</v>
      </c>
      <c r="B2095" s="28" t="s">
        <v>34</v>
      </c>
      <c r="C2095" s="28">
        <v>2015</v>
      </c>
      <c r="D2095" s="28" t="s">
        <v>1</v>
      </c>
      <c r="E2095" s="28" t="s">
        <v>9</v>
      </c>
      <c r="F2095" s="28">
        <v>73540</v>
      </c>
    </row>
    <row r="2096" spans="1:6">
      <c r="A2096" s="28" t="s">
        <v>51</v>
      </c>
      <c r="B2096" s="28" t="s">
        <v>34</v>
      </c>
      <c r="C2096" s="28">
        <v>2016</v>
      </c>
      <c r="D2096" s="28" t="s">
        <v>1</v>
      </c>
      <c r="E2096" s="28" t="s">
        <v>9</v>
      </c>
      <c r="F2096" s="28">
        <v>84275</v>
      </c>
    </row>
    <row r="2097" spans="1:6">
      <c r="A2097" s="28" t="s">
        <v>51</v>
      </c>
      <c r="B2097" s="28" t="s">
        <v>34</v>
      </c>
      <c r="C2097" s="28">
        <v>2017</v>
      </c>
      <c r="D2097" s="28" t="s">
        <v>1</v>
      </c>
      <c r="E2097" s="28" t="s">
        <v>9</v>
      </c>
      <c r="F2097" s="28">
        <v>98367</v>
      </c>
    </row>
    <row r="2098" spans="1:6">
      <c r="A2098" s="28" t="s">
        <v>51</v>
      </c>
      <c r="B2098" s="28" t="s">
        <v>34</v>
      </c>
      <c r="C2098" s="28">
        <v>2010</v>
      </c>
      <c r="D2098" s="28" t="s">
        <v>1</v>
      </c>
      <c r="E2098" s="28" t="s">
        <v>10</v>
      </c>
      <c r="F2098" s="28">
        <v>40695</v>
      </c>
    </row>
    <row r="2099" spans="1:6">
      <c r="A2099" s="28" t="s">
        <v>51</v>
      </c>
      <c r="B2099" s="28" t="s">
        <v>34</v>
      </c>
      <c r="C2099" s="28">
        <v>2011</v>
      </c>
      <c r="D2099" s="28" t="s">
        <v>1</v>
      </c>
      <c r="E2099" s="28" t="s">
        <v>10</v>
      </c>
      <c r="F2099" s="28">
        <v>53347</v>
      </c>
    </row>
    <row r="2100" spans="1:6">
      <c r="A2100" s="28" t="s">
        <v>51</v>
      </c>
      <c r="B2100" s="28" t="s">
        <v>34</v>
      </c>
      <c r="C2100" s="28">
        <v>2012</v>
      </c>
      <c r="D2100" s="28" t="s">
        <v>1</v>
      </c>
      <c r="E2100" s="28" t="s">
        <v>10</v>
      </c>
      <c r="F2100" s="28">
        <v>57945</v>
      </c>
    </row>
    <row r="2101" spans="1:6">
      <c r="A2101" s="28" t="s">
        <v>51</v>
      </c>
      <c r="B2101" s="28" t="s">
        <v>34</v>
      </c>
      <c r="C2101" s="28">
        <v>2013</v>
      </c>
      <c r="D2101" s="28" t="s">
        <v>1</v>
      </c>
      <c r="E2101" s="28" t="s">
        <v>10</v>
      </c>
      <c r="F2101" s="28">
        <v>64619</v>
      </c>
    </row>
    <row r="2102" spans="1:6">
      <c r="A2102" s="28" t="s">
        <v>51</v>
      </c>
      <c r="B2102" s="28" t="s">
        <v>34</v>
      </c>
      <c r="C2102" s="28">
        <v>2014</v>
      </c>
      <c r="D2102" s="28" t="s">
        <v>1</v>
      </c>
      <c r="E2102" s="28" t="s">
        <v>10</v>
      </c>
      <c r="F2102" s="28">
        <v>91518</v>
      </c>
    </row>
    <row r="2103" spans="1:6">
      <c r="A2103" s="28" t="s">
        <v>51</v>
      </c>
      <c r="B2103" s="28" t="s">
        <v>34</v>
      </c>
      <c r="C2103" s="28">
        <v>2015</v>
      </c>
      <c r="D2103" s="28" t="s">
        <v>1</v>
      </c>
      <c r="E2103" s="28" t="s">
        <v>10</v>
      </c>
      <c r="F2103" s="28">
        <v>87607</v>
      </c>
    </row>
    <row r="2104" spans="1:6">
      <c r="A2104" s="28" t="s">
        <v>51</v>
      </c>
      <c r="B2104" s="28" t="s">
        <v>34</v>
      </c>
      <c r="C2104" s="28">
        <v>2016</v>
      </c>
      <c r="D2104" s="28" t="s">
        <v>1</v>
      </c>
      <c r="E2104" s="28" t="s">
        <v>10</v>
      </c>
      <c r="F2104" s="28">
        <v>100301</v>
      </c>
    </row>
    <row r="2105" spans="1:6">
      <c r="A2105" s="28" t="s">
        <v>51</v>
      </c>
      <c r="B2105" s="28" t="s">
        <v>34</v>
      </c>
      <c r="C2105" s="28">
        <v>2017</v>
      </c>
      <c r="D2105" s="28" t="s">
        <v>1</v>
      </c>
      <c r="E2105" s="28" t="s">
        <v>10</v>
      </c>
      <c r="F2105" s="28">
        <v>121525</v>
      </c>
    </row>
    <row r="2106" spans="1:6">
      <c r="A2106" s="28" t="s">
        <v>51</v>
      </c>
      <c r="B2106" s="28" t="s">
        <v>34</v>
      </c>
      <c r="C2106" s="28">
        <v>2010</v>
      </c>
      <c r="D2106" s="28" t="s">
        <v>1</v>
      </c>
      <c r="E2106" s="28" t="s">
        <v>11</v>
      </c>
      <c r="F2106" s="28">
        <v>0.75267231846664195</v>
      </c>
    </row>
    <row r="2107" spans="1:6">
      <c r="A2107" s="28" t="s">
        <v>51</v>
      </c>
      <c r="B2107" s="28" t="s">
        <v>34</v>
      </c>
      <c r="C2107" s="28">
        <v>2011</v>
      </c>
      <c r="D2107" s="28" t="s">
        <v>1</v>
      </c>
      <c r="E2107" s="28" t="s">
        <v>11</v>
      </c>
      <c r="F2107" s="28">
        <v>0.75955536393799095</v>
      </c>
    </row>
    <row r="2108" spans="1:6">
      <c r="A2108" s="28" t="s">
        <v>51</v>
      </c>
      <c r="B2108" s="28" t="s">
        <v>34</v>
      </c>
      <c r="C2108" s="28">
        <v>2012</v>
      </c>
      <c r="D2108" s="28" t="s">
        <v>1</v>
      </c>
      <c r="E2108" s="28" t="s">
        <v>11</v>
      </c>
      <c r="F2108" s="28">
        <v>0.81548019673828598</v>
      </c>
    </row>
    <row r="2109" spans="1:6">
      <c r="A2109" s="28" t="s">
        <v>51</v>
      </c>
      <c r="B2109" s="28" t="s">
        <v>34</v>
      </c>
      <c r="C2109" s="28">
        <v>2013</v>
      </c>
      <c r="D2109" s="28" t="s">
        <v>1</v>
      </c>
      <c r="E2109" s="28" t="s">
        <v>11</v>
      </c>
      <c r="F2109" s="28">
        <v>0.78438230241879303</v>
      </c>
    </row>
    <row r="2110" spans="1:6">
      <c r="A2110" s="28" t="s">
        <v>51</v>
      </c>
      <c r="B2110" s="28" t="s">
        <v>34</v>
      </c>
      <c r="C2110" s="28">
        <v>2014</v>
      </c>
      <c r="D2110" s="28" t="s">
        <v>1</v>
      </c>
      <c r="E2110" s="28" t="s">
        <v>11</v>
      </c>
      <c r="F2110" s="28">
        <v>0.84322209838501705</v>
      </c>
    </row>
    <row r="2111" spans="1:6">
      <c r="A2111" s="28" t="s">
        <v>51</v>
      </c>
      <c r="B2111" s="28" t="s">
        <v>34</v>
      </c>
      <c r="C2111" s="28">
        <v>2015</v>
      </c>
      <c r="D2111" s="28" t="s">
        <v>1</v>
      </c>
      <c r="E2111" s="28" t="s">
        <v>11</v>
      </c>
      <c r="F2111" s="28">
        <v>0.84025249123928503</v>
      </c>
    </row>
    <row r="2112" spans="1:6">
      <c r="A2112" s="28" t="s">
        <v>51</v>
      </c>
      <c r="B2112" s="28" t="s">
        <v>34</v>
      </c>
      <c r="C2112" s="28">
        <v>2016</v>
      </c>
      <c r="D2112" s="28" t="s">
        <v>1</v>
      </c>
      <c r="E2112" s="28" t="s">
        <v>11</v>
      </c>
      <c r="F2112" s="28">
        <v>0.84096868426037596</v>
      </c>
    </row>
    <row r="2113" spans="1:6">
      <c r="A2113" s="28" t="s">
        <v>51</v>
      </c>
      <c r="B2113" s="28" t="s">
        <v>34</v>
      </c>
      <c r="C2113" s="28">
        <v>2017</v>
      </c>
      <c r="D2113" s="28" t="s">
        <v>1</v>
      </c>
      <c r="E2113" s="28" t="s">
        <v>11</v>
      </c>
      <c r="F2113" s="28">
        <v>0.80947130220119301</v>
      </c>
    </row>
    <row r="2114" spans="1:6">
      <c r="A2114" s="28" t="s">
        <v>51</v>
      </c>
      <c r="B2114" s="28" t="s">
        <v>34</v>
      </c>
      <c r="C2114" s="28">
        <v>2010</v>
      </c>
      <c r="D2114" s="28" t="s">
        <v>4</v>
      </c>
      <c r="E2114" s="28" t="s">
        <v>12</v>
      </c>
      <c r="F2114" s="28">
        <v>86565</v>
      </c>
    </row>
    <row r="2115" spans="1:6">
      <c r="A2115" s="28" t="s">
        <v>51</v>
      </c>
      <c r="B2115" s="28" t="s">
        <v>34</v>
      </c>
      <c r="C2115" s="28">
        <v>2011</v>
      </c>
      <c r="D2115" s="28" t="s">
        <v>4</v>
      </c>
      <c r="E2115" s="28" t="s">
        <v>12</v>
      </c>
      <c r="F2115" s="28">
        <v>111937</v>
      </c>
    </row>
    <row r="2116" spans="1:6">
      <c r="A2116" s="28" t="s">
        <v>51</v>
      </c>
      <c r="B2116" s="28" t="s">
        <v>34</v>
      </c>
      <c r="C2116" s="28">
        <v>2012</v>
      </c>
      <c r="D2116" s="28" t="s">
        <v>4</v>
      </c>
      <c r="E2116" s="28" t="s">
        <v>12</v>
      </c>
      <c r="F2116" s="28">
        <v>133593</v>
      </c>
    </row>
    <row r="2117" spans="1:6">
      <c r="A2117" s="28" t="s">
        <v>51</v>
      </c>
      <c r="B2117" s="28" t="s">
        <v>34</v>
      </c>
      <c r="C2117" s="28">
        <v>2013</v>
      </c>
      <c r="D2117" s="28" t="s">
        <v>4</v>
      </c>
      <c r="E2117" s="28" t="s">
        <v>12</v>
      </c>
      <c r="F2117" s="28">
        <v>148042</v>
      </c>
    </row>
    <row r="2118" spans="1:6">
      <c r="A2118" s="28" t="s">
        <v>51</v>
      </c>
      <c r="B2118" s="28" t="s">
        <v>34</v>
      </c>
      <c r="C2118" s="28">
        <v>2014</v>
      </c>
      <c r="D2118" s="28" t="s">
        <v>4</v>
      </c>
      <c r="E2118" s="28" t="s">
        <v>12</v>
      </c>
      <c r="F2118" s="28">
        <v>172712</v>
      </c>
    </row>
    <row r="2119" spans="1:6">
      <c r="A2119" s="28" t="s">
        <v>51</v>
      </c>
      <c r="B2119" s="28" t="s">
        <v>34</v>
      </c>
      <c r="C2119" s="28">
        <v>2015</v>
      </c>
      <c r="D2119" s="28" t="s">
        <v>4</v>
      </c>
      <c r="E2119" s="28" t="s">
        <v>12</v>
      </c>
      <c r="F2119" s="28">
        <v>161691</v>
      </c>
    </row>
    <row r="2120" spans="1:6">
      <c r="A2120" s="28" t="s">
        <v>51</v>
      </c>
      <c r="B2120" s="28" t="s">
        <v>34</v>
      </c>
      <c r="C2120" s="28">
        <v>2016</v>
      </c>
      <c r="D2120" s="28" t="s">
        <v>4</v>
      </c>
      <c r="E2120" s="28" t="s">
        <v>12</v>
      </c>
      <c r="F2120" s="28">
        <v>183219</v>
      </c>
    </row>
    <row r="2121" spans="1:6">
      <c r="A2121" s="28" t="s">
        <v>51</v>
      </c>
      <c r="B2121" s="28" t="s">
        <v>34</v>
      </c>
      <c r="C2121" s="28">
        <v>2017</v>
      </c>
      <c r="D2121" s="28" t="s">
        <v>4</v>
      </c>
      <c r="E2121" s="28" t="s">
        <v>12</v>
      </c>
      <c r="F2121" s="28">
        <v>198197</v>
      </c>
    </row>
    <row r="2122" spans="1:6">
      <c r="A2122" s="28" t="s">
        <v>51</v>
      </c>
      <c r="B2122" s="28" t="s">
        <v>34</v>
      </c>
      <c r="C2122" s="28">
        <v>2010</v>
      </c>
      <c r="D2122" s="28" t="s">
        <v>4</v>
      </c>
      <c r="E2122" s="28" t="s">
        <v>13</v>
      </c>
      <c r="F2122" s="28">
        <v>2221</v>
      </c>
    </row>
    <row r="2123" spans="1:6">
      <c r="A2123" s="28" t="s">
        <v>51</v>
      </c>
      <c r="B2123" s="28" t="s">
        <v>34</v>
      </c>
      <c r="C2123" s="28">
        <v>2011</v>
      </c>
      <c r="D2123" s="28" t="s">
        <v>4</v>
      </c>
      <c r="E2123" s="28" t="s">
        <v>13</v>
      </c>
      <c r="F2123" s="28">
        <v>3374</v>
      </c>
    </row>
    <row r="2124" spans="1:6">
      <c r="A2124" s="28" t="s">
        <v>51</v>
      </c>
      <c r="B2124" s="28" t="s">
        <v>34</v>
      </c>
      <c r="C2124" s="28">
        <v>2012</v>
      </c>
      <c r="D2124" s="28" t="s">
        <v>4</v>
      </c>
      <c r="E2124" s="28" t="s">
        <v>13</v>
      </c>
      <c r="F2124" s="28">
        <v>4141</v>
      </c>
    </row>
    <row r="2125" spans="1:6">
      <c r="A2125" s="28" t="s">
        <v>51</v>
      </c>
      <c r="B2125" s="28" t="s">
        <v>34</v>
      </c>
      <c r="C2125" s="28">
        <v>2013</v>
      </c>
      <c r="D2125" s="28" t="s">
        <v>4</v>
      </c>
      <c r="E2125" s="28" t="s">
        <v>13</v>
      </c>
      <c r="F2125" s="28">
        <v>5729</v>
      </c>
    </row>
    <row r="2126" spans="1:6">
      <c r="A2126" s="28" t="s">
        <v>51</v>
      </c>
      <c r="B2126" s="28" t="s">
        <v>34</v>
      </c>
      <c r="C2126" s="28">
        <v>2014</v>
      </c>
      <c r="D2126" s="28" t="s">
        <v>4</v>
      </c>
      <c r="E2126" s="28" t="s">
        <v>13</v>
      </c>
      <c r="F2126" s="28">
        <v>8174</v>
      </c>
    </row>
    <row r="2127" spans="1:6">
      <c r="A2127" s="28" t="s">
        <v>51</v>
      </c>
      <c r="B2127" s="28" t="s">
        <v>34</v>
      </c>
      <c r="C2127" s="28">
        <v>2015</v>
      </c>
      <c r="D2127" s="28" t="s">
        <v>4</v>
      </c>
      <c r="E2127" s="28" t="s">
        <v>13</v>
      </c>
      <c r="F2127" s="28">
        <v>4557</v>
      </c>
    </row>
    <row r="2128" spans="1:6">
      <c r="A2128" s="28" t="s">
        <v>51</v>
      </c>
      <c r="B2128" s="28" t="s">
        <v>34</v>
      </c>
      <c r="C2128" s="28">
        <v>2016</v>
      </c>
      <c r="D2128" s="28" t="s">
        <v>4</v>
      </c>
      <c r="E2128" s="28" t="s">
        <v>13</v>
      </c>
      <c r="F2128" s="28">
        <v>5546</v>
      </c>
    </row>
    <row r="2129" spans="1:6">
      <c r="A2129" s="28" t="s">
        <v>51</v>
      </c>
      <c r="B2129" s="28" t="s">
        <v>34</v>
      </c>
      <c r="C2129" s="28">
        <v>2017</v>
      </c>
      <c r="D2129" s="28" t="s">
        <v>4</v>
      </c>
      <c r="E2129" s="28" t="s">
        <v>13</v>
      </c>
      <c r="F2129" s="28">
        <v>6974</v>
      </c>
    </row>
    <row r="2130" spans="1:6">
      <c r="A2130" s="28" t="s">
        <v>51</v>
      </c>
      <c r="B2130" s="28" t="s">
        <v>34</v>
      </c>
      <c r="C2130" s="28">
        <v>2010</v>
      </c>
      <c r="D2130" s="28" t="s">
        <v>4</v>
      </c>
      <c r="E2130" s="28" t="s">
        <v>14</v>
      </c>
      <c r="F2130" s="28">
        <v>2840.34793564962</v>
      </c>
    </row>
    <row r="2131" spans="1:6">
      <c r="A2131" s="28" t="s">
        <v>51</v>
      </c>
      <c r="B2131" s="28" t="s">
        <v>34</v>
      </c>
      <c r="C2131" s="28">
        <v>2011</v>
      </c>
      <c r="D2131" s="28" t="s">
        <v>4</v>
      </c>
      <c r="E2131" s="28" t="s">
        <v>14</v>
      </c>
      <c r="F2131" s="28">
        <v>3476.7254419013502</v>
      </c>
    </row>
    <row r="2132" spans="1:6">
      <c r="A2132" s="28" t="s">
        <v>51</v>
      </c>
      <c r="B2132" s="28" t="s">
        <v>34</v>
      </c>
      <c r="C2132" s="28">
        <v>2012</v>
      </c>
      <c r="D2132" s="28" t="s">
        <v>4</v>
      </c>
      <c r="E2132" s="28" t="s">
        <v>14</v>
      </c>
      <c r="F2132" s="28">
        <v>4398.4565086409802</v>
      </c>
    </row>
    <row r="2133" spans="1:6">
      <c r="A2133" s="28" t="s">
        <v>51</v>
      </c>
      <c r="B2133" s="28" t="s">
        <v>34</v>
      </c>
      <c r="C2133" s="28">
        <v>2013</v>
      </c>
      <c r="D2133" s="28" t="s">
        <v>4</v>
      </c>
      <c r="E2133" s="28" t="s">
        <v>14</v>
      </c>
      <c r="F2133" s="28">
        <v>4523.2391870256497</v>
      </c>
    </row>
    <row r="2134" spans="1:6">
      <c r="A2134" s="28" t="s">
        <v>51</v>
      </c>
      <c r="B2134" s="28" t="s">
        <v>34</v>
      </c>
      <c r="C2134" s="28">
        <v>2014</v>
      </c>
      <c r="D2134" s="28" t="s">
        <v>4</v>
      </c>
      <c r="E2134" s="28" t="s">
        <v>14</v>
      </c>
      <c r="F2134" s="28">
        <v>3069.97710564111</v>
      </c>
    </row>
    <row r="2135" spans="1:6">
      <c r="A2135" s="28" t="s">
        <v>51</v>
      </c>
      <c r="B2135" s="28" t="s">
        <v>34</v>
      </c>
      <c r="C2135" s="28">
        <v>2015</v>
      </c>
      <c r="D2135" s="28" t="s">
        <v>4</v>
      </c>
      <c r="E2135" s="28" t="s">
        <v>14</v>
      </c>
      <c r="F2135" s="28">
        <v>2218.5100167803898</v>
      </c>
    </row>
    <row r="2136" spans="1:6">
      <c r="A2136" s="28" t="s">
        <v>51</v>
      </c>
      <c r="B2136" s="28" t="s">
        <v>34</v>
      </c>
      <c r="C2136" s="28">
        <v>2016</v>
      </c>
      <c r="D2136" s="28" t="s">
        <v>4</v>
      </c>
      <c r="E2136" s="28" t="s">
        <v>14</v>
      </c>
      <c r="F2136" s="28">
        <v>3020.57968672979</v>
      </c>
    </row>
    <row r="2137" spans="1:6">
      <c r="A2137" s="28" t="s">
        <v>51</v>
      </c>
      <c r="B2137" s="28" t="s">
        <v>34</v>
      </c>
      <c r="C2137" s="28">
        <v>2017</v>
      </c>
      <c r="D2137" s="28" t="s">
        <v>4</v>
      </c>
      <c r="E2137" s="28" t="s">
        <v>14</v>
      </c>
      <c r="F2137" s="28">
        <v>3440.9081912910001</v>
      </c>
    </row>
    <row r="2138" spans="1:6">
      <c r="A2138" s="28" t="s">
        <v>51</v>
      </c>
      <c r="B2138" s="28" t="s">
        <v>34</v>
      </c>
      <c r="C2138" s="28">
        <v>2010</v>
      </c>
      <c r="D2138" s="28" t="s">
        <v>4</v>
      </c>
      <c r="E2138" s="28" t="s">
        <v>15</v>
      </c>
      <c r="F2138" s="28">
        <v>72.874865882028701</v>
      </c>
    </row>
    <row r="2139" spans="1:6">
      <c r="A2139" s="28" t="s">
        <v>51</v>
      </c>
      <c r="B2139" s="28" t="s">
        <v>34</v>
      </c>
      <c r="C2139" s="28">
        <v>2011</v>
      </c>
      <c r="D2139" s="28" t="s">
        <v>4</v>
      </c>
      <c r="E2139" s="28" t="s">
        <v>15</v>
      </c>
      <c r="F2139" s="28">
        <v>104.79530129425601</v>
      </c>
    </row>
    <row r="2140" spans="1:6">
      <c r="A2140" s="28" t="s">
        <v>51</v>
      </c>
      <c r="B2140" s="28" t="s">
        <v>34</v>
      </c>
      <c r="C2140" s="28">
        <v>2012</v>
      </c>
      <c r="D2140" s="28" t="s">
        <v>4</v>
      </c>
      <c r="E2140" s="28" t="s">
        <v>15</v>
      </c>
      <c r="F2140" s="28">
        <v>136.33954175954099</v>
      </c>
    </row>
    <row r="2141" spans="1:6">
      <c r="A2141" s="28" t="s">
        <v>51</v>
      </c>
      <c r="B2141" s="28" t="s">
        <v>34</v>
      </c>
      <c r="C2141" s="28">
        <v>2013</v>
      </c>
      <c r="D2141" s="28" t="s">
        <v>4</v>
      </c>
      <c r="E2141" s="28" t="s">
        <v>15</v>
      </c>
      <c r="F2141" s="28">
        <v>175.042469721228</v>
      </c>
    </row>
    <row r="2142" spans="1:6">
      <c r="A2142" s="28" t="s">
        <v>51</v>
      </c>
      <c r="B2142" s="28" t="s">
        <v>34</v>
      </c>
      <c r="C2142" s="28">
        <v>2014</v>
      </c>
      <c r="D2142" s="28" t="s">
        <v>4</v>
      </c>
      <c r="E2142" s="28" t="s">
        <v>15</v>
      </c>
      <c r="F2142" s="28">
        <v>145.29385833937701</v>
      </c>
    </row>
    <row r="2143" spans="1:6">
      <c r="A2143" s="28" t="s">
        <v>51</v>
      </c>
      <c r="B2143" s="28" t="s">
        <v>34</v>
      </c>
      <c r="C2143" s="28">
        <v>2015</v>
      </c>
      <c r="D2143" s="28" t="s">
        <v>4</v>
      </c>
      <c r="E2143" s="28" t="s">
        <v>15</v>
      </c>
      <c r="F2143" s="28">
        <v>62.525125990118397</v>
      </c>
    </row>
    <row r="2144" spans="1:6">
      <c r="A2144" s="28" t="s">
        <v>51</v>
      </c>
      <c r="B2144" s="28" t="s">
        <v>34</v>
      </c>
      <c r="C2144" s="28">
        <v>2016</v>
      </c>
      <c r="D2144" s="28" t="s">
        <v>4</v>
      </c>
      <c r="E2144" s="28" t="s">
        <v>15</v>
      </c>
      <c r="F2144" s="28">
        <v>91.432302013455995</v>
      </c>
    </row>
    <row r="2145" spans="1:6">
      <c r="A2145" s="28" t="s">
        <v>51</v>
      </c>
      <c r="B2145" s="28" t="s">
        <v>34</v>
      </c>
      <c r="C2145" s="28">
        <v>2017</v>
      </c>
      <c r="D2145" s="28" t="s">
        <v>4</v>
      </c>
      <c r="E2145" s="28" t="s">
        <v>15</v>
      </c>
      <c r="F2145" s="28">
        <v>121.075968486221</v>
      </c>
    </row>
    <row r="2146" spans="1:6">
      <c r="A2146" s="28" t="s">
        <v>51</v>
      </c>
      <c r="B2146" s="28" t="s">
        <v>34</v>
      </c>
      <c r="C2146" s="28">
        <v>2010</v>
      </c>
      <c r="D2146" s="28" t="s">
        <v>7</v>
      </c>
      <c r="E2146" s="28" t="s">
        <v>16</v>
      </c>
      <c r="F2146" s="28">
        <v>4336</v>
      </c>
    </row>
    <row r="2147" spans="1:6">
      <c r="A2147" s="28" t="s">
        <v>51</v>
      </c>
      <c r="B2147" s="28" t="s">
        <v>34</v>
      </c>
      <c r="C2147" s="28">
        <v>2011</v>
      </c>
      <c r="D2147" s="28" t="s">
        <v>7</v>
      </c>
      <c r="E2147" s="28" t="s">
        <v>16</v>
      </c>
      <c r="F2147" s="28">
        <v>4993</v>
      </c>
    </row>
    <row r="2148" spans="1:6">
      <c r="A2148" s="28" t="s">
        <v>51</v>
      </c>
      <c r="B2148" s="28" t="s">
        <v>34</v>
      </c>
      <c r="C2148" s="28">
        <v>2012</v>
      </c>
      <c r="D2148" s="28" t="s">
        <v>7</v>
      </c>
      <c r="E2148" s="28" t="s">
        <v>16</v>
      </c>
      <c r="F2148" s="28">
        <v>7378</v>
      </c>
    </row>
    <row r="2149" spans="1:6">
      <c r="A2149" s="28" t="s">
        <v>51</v>
      </c>
      <c r="B2149" s="28" t="s">
        <v>34</v>
      </c>
      <c r="C2149" s="28">
        <v>2013</v>
      </c>
      <c r="D2149" s="28" t="s">
        <v>7</v>
      </c>
      <c r="E2149" s="28" t="s">
        <v>16</v>
      </c>
      <c r="F2149" s="28">
        <v>8555</v>
      </c>
    </row>
    <row r="2150" spans="1:6">
      <c r="A2150" s="28" t="s">
        <v>51</v>
      </c>
      <c r="B2150" s="28" t="s">
        <v>34</v>
      </c>
      <c r="C2150" s="28">
        <v>2014</v>
      </c>
      <c r="D2150" s="28" t="s">
        <v>7</v>
      </c>
      <c r="E2150" s="28" t="s">
        <v>16</v>
      </c>
      <c r="F2150" s="28">
        <v>12020</v>
      </c>
    </row>
    <row r="2151" spans="1:6">
      <c r="A2151" s="28" t="s">
        <v>51</v>
      </c>
      <c r="B2151" s="28" t="s">
        <v>34</v>
      </c>
      <c r="C2151" s="28">
        <v>2015</v>
      </c>
      <c r="D2151" s="28" t="s">
        <v>7</v>
      </c>
      <c r="E2151" s="28" t="s">
        <v>16</v>
      </c>
      <c r="F2151" s="28">
        <v>7311</v>
      </c>
    </row>
    <row r="2152" spans="1:6">
      <c r="A2152" s="28" t="s">
        <v>51</v>
      </c>
      <c r="B2152" s="28" t="s">
        <v>34</v>
      </c>
      <c r="C2152" s="28">
        <v>2016</v>
      </c>
      <c r="D2152" s="28" t="s">
        <v>7</v>
      </c>
      <c r="E2152" s="28" t="s">
        <v>16</v>
      </c>
      <c r="F2152" s="28">
        <v>8878</v>
      </c>
    </row>
    <row r="2153" spans="1:6">
      <c r="A2153" s="28" t="s">
        <v>51</v>
      </c>
      <c r="B2153" s="28" t="s">
        <v>34</v>
      </c>
      <c r="C2153" s="28">
        <v>2017</v>
      </c>
      <c r="D2153" s="28" t="s">
        <v>7</v>
      </c>
      <c r="E2153" s="28" t="s">
        <v>16</v>
      </c>
      <c r="F2153" s="28">
        <v>9773</v>
      </c>
    </row>
    <row r="2154" spans="1:6">
      <c r="A2154" s="28" t="s">
        <v>51</v>
      </c>
      <c r="B2154" s="28" t="s">
        <v>34</v>
      </c>
      <c r="C2154" s="28">
        <v>2010</v>
      </c>
      <c r="D2154" s="28" t="s">
        <v>7</v>
      </c>
      <c r="E2154" s="28" t="s">
        <v>17</v>
      </c>
      <c r="F2154" s="28">
        <v>142.27168773727001</v>
      </c>
    </row>
    <row r="2155" spans="1:6">
      <c r="A2155" s="28" t="s">
        <v>51</v>
      </c>
      <c r="B2155" s="28" t="s">
        <v>34</v>
      </c>
      <c r="C2155" s="28">
        <v>2011</v>
      </c>
      <c r="D2155" s="28" t="s">
        <v>7</v>
      </c>
      <c r="E2155" s="28" t="s">
        <v>17</v>
      </c>
      <c r="F2155" s="28">
        <v>155.08089489099601</v>
      </c>
    </row>
    <row r="2156" spans="1:6">
      <c r="A2156" s="28" t="s">
        <v>51</v>
      </c>
      <c r="B2156" s="28" t="s">
        <v>34</v>
      </c>
      <c r="C2156" s="28">
        <v>2012</v>
      </c>
      <c r="D2156" s="28" t="s">
        <v>7</v>
      </c>
      <c r="E2156" s="28" t="s">
        <v>17</v>
      </c>
      <c r="F2156" s="28">
        <v>242.91551294419</v>
      </c>
    </row>
    <row r="2157" spans="1:6">
      <c r="A2157" s="28" t="s">
        <v>51</v>
      </c>
      <c r="B2157" s="28" t="s">
        <v>34</v>
      </c>
      <c r="C2157" s="28">
        <v>2013</v>
      </c>
      <c r="D2157" s="28" t="s">
        <v>7</v>
      </c>
      <c r="E2157" s="28" t="s">
        <v>17</v>
      </c>
      <c r="F2157" s="28">
        <v>261.38738496510803</v>
      </c>
    </row>
    <row r="2158" spans="1:6">
      <c r="A2158" s="28" t="s">
        <v>51</v>
      </c>
      <c r="B2158" s="28" t="s">
        <v>34</v>
      </c>
      <c r="C2158" s="28">
        <v>2014</v>
      </c>
      <c r="D2158" s="28" t="s">
        <v>7</v>
      </c>
      <c r="E2158" s="28" t="s">
        <v>17</v>
      </c>
      <c r="F2158" s="28">
        <v>213.65698277946001</v>
      </c>
    </row>
    <row r="2159" spans="1:6">
      <c r="A2159" s="28" t="s">
        <v>51</v>
      </c>
      <c r="B2159" s="28" t="s">
        <v>34</v>
      </c>
      <c r="C2159" s="28">
        <v>2015</v>
      </c>
      <c r="D2159" s="28" t="s">
        <v>7</v>
      </c>
      <c r="E2159" s="28" t="s">
        <v>17</v>
      </c>
      <c r="F2159" s="28">
        <v>100.311870992705</v>
      </c>
    </row>
    <row r="2160" spans="1:6">
      <c r="A2160" s="28" t="s">
        <v>51</v>
      </c>
      <c r="B2160" s="28" t="s">
        <v>34</v>
      </c>
      <c r="C2160" s="28">
        <v>2016</v>
      </c>
      <c r="D2160" s="28" t="s">
        <v>7</v>
      </c>
      <c r="E2160" s="28" t="s">
        <v>17</v>
      </c>
      <c r="F2160" s="28">
        <v>146.36422237206301</v>
      </c>
    </row>
    <row r="2161" spans="1:6">
      <c r="A2161" s="28" t="s">
        <v>51</v>
      </c>
      <c r="B2161" s="28" t="s">
        <v>34</v>
      </c>
      <c r="C2161" s="28">
        <v>2017</v>
      </c>
      <c r="D2161" s="28" t="s">
        <v>7</v>
      </c>
      <c r="E2161" s="28" t="s">
        <v>17</v>
      </c>
      <c r="F2161" s="28">
        <v>169.669549758508</v>
      </c>
    </row>
    <row r="2162" spans="1:6">
      <c r="A2162" s="28" t="s">
        <v>51</v>
      </c>
      <c r="B2162" s="28" t="s">
        <v>34</v>
      </c>
      <c r="C2162" s="28">
        <v>2010</v>
      </c>
      <c r="D2162" s="28" t="s">
        <v>20</v>
      </c>
      <c r="E2162" s="28" t="s">
        <v>18</v>
      </c>
      <c r="F2162" s="28">
        <v>178.93</v>
      </c>
    </row>
    <row r="2163" spans="1:6">
      <c r="A2163" s="28" t="s">
        <v>51</v>
      </c>
      <c r="B2163" s="28" t="s">
        <v>34</v>
      </c>
      <c r="C2163" s="28">
        <v>2011</v>
      </c>
      <c r="D2163" s="28" t="s">
        <v>20</v>
      </c>
      <c r="E2163" s="28" t="s">
        <v>18</v>
      </c>
      <c r="F2163" s="28">
        <v>177.07</v>
      </c>
    </row>
    <row r="2164" spans="1:6">
      <c r="A2164" s="28" t="s">
        <v>51</v>
      </c>
      <c r="B2164" s="28" t="s">
        <v>34</v>
      </c>
      <c r="C2164" s="28">
        <v>2012</v>
      </c>
      <c r="D2164" s="28" t="s">
        <v>20</v>
      </c>
      <c r="E2164" s="28" t="s">
        <v>18</v>
      </c>
      <c r="F2164" s="28">
        <v>177.07</v>
      </c>
    </row>
    <row r="2165" spans="1:6">
      <c r="A2165" s="28" t="s">
        <v>51</v>
      </c>
      <c r="B2165" s="28" t="s">
        <v>34</v>
      </c>
      <c r="C2165" s="28">
        <v>2013</v>
      </c>
      <c r="D2165" s="28" t="s">
        <v>20</v>
      </c>
      <c r="E2165" s="28" t="s">
        <v>18</v>
      </c>
      <c r="F2165" s="28">
        <v>177.94</v>
      </c>
    </row>
    <row r="2166" spans="1:6">
      <c r="A2166" s="28" t="s">
        <v>51</v>
      </c>
      <c r="B2166" s="28" t="s">
        <v>34</v>
      </c>
      <c r="C2166" s="28">
        <v>2014</v>
      </c>
      <c r="D2166" s="28" t="s">
        <v>20</v>
      </c>
      <c r="E2166" s="28" t="s">
        <v>18</v>
      </c>
      <c r="F2166" s="28">
        <v>179.25</v>
      </c>
    </row>
    <row r="2167" spans="1:6">
      <c r="A2167" s="28" t="s">
        <v>51</v>
      </c>
      <c r="B2167" s="28" t="s">
        <v>34</v>
      </c>
      <c r="C2167" s="28">
        <v>2015</v>
      </c>
      <c r="D2167" s="28" t="s">
        <v>20</v>
      </c>
      <c r="E2167" s="28" t="s">
        <v>18</v>
      </c>
      <c r="F2167" s="28">
        <v>178.26</v>
      </c>
    </row>
    <row r="2168" spans="1:6">
      <c r="A2168" s="28" t="s">
        <v>51</v>
      </c>
      <c r="B2168" s="28" t="s">
        <v>34</v>
      </c>
      <c r="C2168" s="28">
        <v>2016</v>
      </c>
      <c r="D2168" s="28" t="s">
        <v>20</v>
      </c>
      <c r="E2168" s="28" t="s">
        <v>18</v>
      </c>
      <c r="F2168" s="28">
        <v>179.53</v>
      </c>
    </row>
    <row r="2169" spans="1:6">
      <c r="A2169" s="28" t="s">
        <v>51</v>
      </c>
      <c r="B2169" s="28" t="s">
        <v>34</v>
      </c>
      <c r="C2169" s="28">
        <v>2017</v>
      </c>
      <c r="D2169" s="28" t="s">
        <v>20</v>
      </c>
      <c r="E2169" s="28" t="s">
        <v>18</v>
      </c>
      <c r="F2169" s="28">
        <v>179.53</v>
      </c>
    </row>
    <row r="2170" spans="1:6">
      <c r="A2170" s="28" t="s">
        <v>51</v>
      </c>
      <c r="B2170" s="28" t="s">
        <v>34</v>
      </c>
      <c r="C2170" s="28">
        <v>2010</v>
      </c>
      <c r="D2170" s="28" t="s">
        <v>20</v>
      </c>
      <c r="E2170" s="28" t="s">
        <v>19</v>
      </c>
      <c r="F2170" s="28">
        <v>266.8</v>
      </c>
    </row>
    <row r="2171" spans="1:6">
      <c r="A2171" s="28" t="s">
        <v>51</v>
      </c>
      <c r="B2171" s="28" t="s">
        <v>34</v>
      </c>
      <c r="C2171" s="28">
        <v>2011</v>
      </c>
      <c r="D2171" s="28" t="s">
        <v>20</v>
      </c>
      <c r="E2171" s="28" t="s">
        <v>19</v>
      </c>
      <c r="F2171" s="28">
        <v>181.4</v>
      </c>
    </row>
    <row r="2172" spans="1:6">
      <c r="A2172" s="28" t="s">
        <v>51</v>
      </c>
      <c r="B2172" s="28" t="s">
        <v>34</v>
      </c>
      <c r="C2172" s="28">
        <v>2012</v>
      </c>
      <c r="D2172" s="28" t="s">
        <v>20</v>
      </c>
      <c r="E2172" s="28" t="s">
        <v>19</v>
      </c>
      <c r="F2172" s="28">
        <v>243</v>
      </c>
    </row>
    <row r="2173" spans="1:6">
      <c r="A2173" s="28" t="s">
        <v>51</v>
      </c>
      <c r="B2173" s="28" t="s">
        <v>34</v>
      </c>
      <c r="C2173" s="28">
        <v>2013</v>
      </c>
      <c r="D2173" s="28" t="s">
        <v>20</v>
      </c>
      <c r="E2173" s="28" t="s">
        <v>19</v>
      </c>
      <c r="F2173" s="28">
        <v>298</v>
      </c>
    </row>
    <row r="2174" spans="1:6">
      <c r="A2174" s="28" t="s">
        <v>51</v>
      </c>
      <c r="B2174" s="28" t="s">
        <v>34</v>
      </c>
      <c r="C2174" s="28">
        <v>2014</v>
      </c>
      <c r="D2174" s="28" t="s">
        <v>20</v>
      </c>
      <c r="E2174" s="28" t="s">
        <v>19</v>
      </c>
      <c r="F2174" s="28">
        <v>123.4</v>
      </c>
    </row>
    <row r="2175" spans="1:6">
      <c r="A2175" s="28" t="s">
        <v>51</v>
      </c>
      <c r="B2175" s="28" t="s">
        <v>34</v>
      </c>
      <c r="C2175" s="28">
        <v>2015</v>
      </c>
      <c r="D2175" s="28" t="s">
        <v>20</v>
      </c>
      <c r="E2175" s="28" t="s">
        <v>19</v>
      </c>
      <c r="F2175" s="28">
        <v>268.5</v>
      </c>
    </row>
    <row r="2176" spans="1:6">
      <c r="A2176" s="28" t="s">
        <v>51</v>
      </c>
      <c r="B2176" s="28" t="s">
        <v>34</v>
      </c>
      <c r="C2176" s="28">
        <v>2016</v>
      </c>
      <c r="D2176" s="28" t="s">
        <v>20</v>
      </c>
      <c r="E2176" s="28" t="s">
        <v>19</v>
      </c>
      <c r="F2176" s="28">
        <v>387.5</v>
      </c>
    </row>
    <row r="2177" spans="1:6">
      <c r="A2177" s="28" t="s">
        <v>51</v>
      </c>
      <c r="B2177" s="28" t="s">
        <v>34</v>
      </c>
      <c r="C2177" s="28">
        <v>2017</v>
      </c>
      <c r="D2177" s="28" t="s">
        <v>20</v>
      </c>
      <c r="E2177" s="28" t="s">
        <v>19</v>
      </c>
      <c r="F2177" s="28">
        <v>415</v>
      </c>
    </row>
    <row r="2178" spans="1:6">
      <c r="A2178" s="28" t="s">
        <v>52</v>
      </c>
      <c r="B2178" s="28" t="s">
        <v>53</v>
      </c>
      <c r="C2178" s="28">
        <v>2010</v>
      </c>
      <c r="D2178" s="28" t="s">
        <v>1</v>
      </c>
      <c r="E2178" s="28" t="s">
        <v>2</v>
      </c>
      <c r="F2178" s="28">
        <v>635459</v>
      </c>
    </row>
    <row r="2179" spans="1:6">
      <c r="A2179" s="28" t="s">
        <v>52</v>
      </c>
      <c r="B2179" s="28" t="s">
        <v>53</v>
      </c>
      <c r="C2179" s="28">
        <v>2011</v>
      </c>
      <c r="D2179" s="28" t="s">
        <v>1</v>
      </c>
      <c r="E2179" s="28" t="s">
        <v>2</v>
      </c>
      <c r="F2179" s="28">
        <v>686659</v>
      </c>
    </row>
    <row r="2180" spans="1:6">
      <c r="A2180" s="28" t="s">
        <v>52</v>
      </c>
      <c r="B2180" s="28" t="s">
        <v>53</v>
      </c>
      <c r="C2180" s="28">
        <v>2012</v>
      </c>
      <c r="D2180" s="28" t="s">
        <v>1</v>
      </c>
      <c r="E2180" s="28" t="s">
        <v>2</v>
      </c>
      <c r="F2180" s="28">
        <v>661695</v>
      </c>
    </row>
    <row r="2181" spans="1:6">
      <c r="A2181" s="28" t="s">
        <v>52</v>
      </c>
      <c r="B2181" s="28" t="s">
        <v>53</v>
      </c>
      <c r="C2181" s="28">
        <v>2013</v>
      </c>
      <c r="D2181" s="28" t="s">
        <v>1</v>
      </c>
      <c r="E2181" s="28" t="s">
        <v>2</v>
      </c>
      <c r="F2181" s="28">
        <v>694917</v>
      </c>
    </row>
    <row r="2182" spans="1:6">
      <c r="A2182" s="28" t="s">
        <v>52</v>
      </c>
      <c r="B2182" s="28" t="s">
        <v>53</v>
      </c>
      <c r="C2182" s="28">
        <v>2014</v>
      </c>
      <c r="D2182" s="28" t="s">
        <v>1</v>
      </c>
      <c r="E2182" s="28" t="s">
        <v>2</v>
      </c>
      <c r="F2182" s="28">
        <v>734730</v>
      </c>
    </row>
    <row r="2183" spans="1:6">
      <c r="A2183" s="28" t="s">
        <v>52</v>
      </c>
      <c r="B2183" s="28" t="s">
        <v>53</v>
      </c>
      <c r="C2183" s="28">
        <v>2015</v>
      </c>
      <c r="D2183" s="28" t="s">
        <v>1</v>
      </c>
      <c r="E2183" s="28" t="s">
        <v>2</v>
      </c>
      <c r="F2183" s="28">
        <v>791709</v>
      </c>
    </row>
    <row r="2184" spans="1:6">
      <c r="A2184" s="28" t="s">
        <v>52</v>
      </c>
      <c r="B2184" s="28" t="s">
        <v>53</v>
      </c>
      <c r="C2184" s="28">
        <v>2016</v>
      </c>
      <c r="D2184" s="28" t="s">
        <v>1</v>
      </c>
      <c r="E2184" s="28" t="s">
        <v>2</v>
      </c>
      <c r="F2184" s="28">
        <v>834993</v>
      </c>
    </row>
    <row r="2185" spans="1:6">
      <c r="A2185" s="28" t="s">
        <v>52</v>
      </c>
      <c r="B2185" s="28" t="s">
        <v>53</v>
      </c>
      <c r="C2185" s="28">
        <v>2017</v>
      </c>
      <c r="D2185" s="28" t="s">
        <v>1</v>
      </c>
      <c r="E2185" s="28" t="s">
        <v>2</v>
      </c>
      <c r="F2185" s="28">
        <v>873132</v>
      </c>
    </row>
    <row r="2186" spans="1:6">
      <c r="A2186" s="28" t="s">
        <v>52</v>
      </c>
      <c r="B2186" s="28" t="s">
        <v>53</v>
      </c>
      <c r="C2186" s="28">
        <v>2010</v>
      </c>
      <c r="D2186" s="28" t="s">
        <v>1</v>
      </c>
      <c r="E2186" s="28" t="s">
        <v>3</v>
      </c>
      <c r="F2186" s="28">
        <v>109534</v>
      </c>
    </row>
    <row r="2187" spans="1:6">
      <c r="A2187" s="28" t="s">
        <v>52</v>
      </c>
      <c r="B2187" s="28" t="s">
        <v>53</v>
      </c>
      <c r="C2187" s="28">
        <v>2011</v>
      </c>
      <c r="D2187" s="28" t="s">
        <v>1</v>
      </c>
      <c r="E2187" s="28" t="s">
        <v>3</v>
      </c>
      <c r="F2187" s="28">
        <v>125124</v>
      </c>
    </row>
    <row r="2188" spans="1:6">
      <c r="A2188" s="28" t="s">
        <v>52</v>
      </c>
      <c r="B2188" s="28" t="s">
        <v>53</v>
      </c>
      <c r="C2188" s="28">
        <v>2012</v>
      </c>
      <c r="D2188" s="28" t="s">
        <v>1</v>
      </c>
      <c r="E2188" s="28" t="s">
        <v>3</v>
      </c>
      <c r="F2188" s="28">
        <v>192572</v>
      </c>
    </row>
    <row r="2189" spans="1:6">
      <c r="A2189" s="28" t="s">
        <v>52</v>
      </c>
      <c r="B2189" s="28" t="s">
        <v>53</v>
      </c>
      <c r="C2189" s="28">
        <v>2013</v>
      </c>
      <c r="D2189" s="28" t="s">
        <v>1</v>
      </c>
      <c r="E2189" s="28" t="s">
        <v>3</v>
      </c>
      <c r="F2189" s="28">
        <v>157129</v>
      </c>
    </row>
    <row r="2190" spans="1:6">
      <c r="A2190" s="28" t="s">
        <v>52</v>
      </c>
      <c r="B2190" s="28" t="s">
        <v>53</v>
      </c>
      <c r="C2190" s="28">
        <v>2014</v>
      </c>
      <c r="D2190" s="28" t="s">
        <v>1</v>
      </c>
      <c r="E2190" s="28" t="s">
        <v>3</v>
      </c>
      <c r="F2190" s="28">
        <v>149040</v>
      </c>
    </row>
    <row r="2191" spans="1:6">
      <c r="A2191" s="28" t="s">
        <v>52</v>
      </c>
      <c r="B2191" s="28" t="s">
        <v>53</v>
      </c>
      <c r="C2191" s="28">
        <v>2015</v>
      </c>
      <c r="D2191" s="28" t="s">
        <v>1</v>
      </c>
      <c r="E2191" s="28" t="s">
        <v>3</v>
      </c>
      <c r="F2191" s="28">
        <v>146428</v>
      </c>
    </row>
    <row r="2192" spans="1:6">
      <c r="A2192" s="28" t="s">
        <v>52</v>
      </c>
      <c r="B2192" s="28" t="s">
        <v>53</v>
      </c>
      <c r="C2192" s="28">
        <v>2016</v>
      </c>
      <c r="D2192" s="28" t="s">
        <v>1</v>
      </c>
      <c r="E2192" s="28" t="s">
        <v>3</v>
      </c>
      <c r="F2192" s="28">
        <v>148453</v>
      </c>
    </row>
    <row r="2193" spans="1:6">
      <c r="A2193" s="28" t="s">
        <v>52</v>
      </c>
      <c r="B2193" s="28" t="s">
        <v>53</v>
      </c>
      <c r="C2193" s="28">
        <v>2017</v>
      </c>
      <c r="D2193" s="28" t="s">
        <v>1</v>
      </c>
      <c r="E2193" s="28" t="s">
        <v>3</v>
      </c>
      <c r="F2193" s="28">
        <v>155119</v>
      </c>
    </row>
    <row r="2194" spans="1:6">
      <c r="A2194" s="28" t="s">
        <v>52</v>
      </c>
      <c r="B2194" s="28" t="s">
        <v>53</v>
      </c>
      <c r="C2194" s="28">
        <v>2010</v>
      </c>
      <c r="D2194" s="28" t="s">
        <v>1</v>
      </c>
      <c r="E2194" s="28" t="s">
        <v>5</v>
      </c>
      <c r="F2194" s="28">
        <v>744993</v>
      </c>
    </row>
    <row r="2195" spans="1:6">
      <c r="A2195" s="28" t="s">
        <v>52</v>
      </c>
      <c r="B2195" s="28" t="s">
        <v>53</v>
      </c>
      <c r="C2195" s="28">
        <v>2011</v>
      </c>
      <c r="D2195" s="28" t="s">
        <v>1</v>
      </c>
      <c r="E2195" s="28" t="s">
        <v>5</v>
      </c>
      <c r="F2195" s="28">
        <v>811783</v>
      </c>
    </row>
    <row r="2196" spans="1:6">
      <c r="A2196" s="28" t="s">
        <v>52</v>
      </c>
      <c r="B2196" s="28" t="s">
        <v>53</v>
      </c>
      <c r="C2196" s="28">
        <v>2012</v>
      </c>
      <c r="D2196" s="28" t="s">
        <v>1</v>
      </c>
      <c r="E2196" s="28" t="s">
        <v>5</v>
      </c>
      <c r="F2196" s="28">
        <v>854267</v>
      </c>
    </row>
    <row r="2197" spans="1:6">
      <c r="A2197" s="28" t="s">
        <v>52</v>
      </c>
      <c r="B2197" s="28" t="s">
        <v>53</v>
      </c>
      <c r="C2197" s="28">
        <v>2013</v>
      </c>
      <c r="D2197" s="28" t="s">
        <v>1</v>
      </c>
      <c r="E2197" s="28" t="s">
        <v>5</v>
      </c>
      <c r="F2197" s="28">
        <v>852046</v>
      </c>
    </row>
    <row r="2198" spans="1:6">
      <c r="A2198" s="28" t="s">
        <v>52</v>
      </c>
      <c r="B2198" s="28" t="s">
        <v>53</v>
      </c>
      <c r="C2198" s="28">
        <v>2014</v>
      </c>
      <c r="D2198" s="28" t="s">
        <v>1</v>
      </c>
      <c r="E2198" s="28" t="s">
        <v>5</v>
      </c>
      <c r="F2198" s="28">
        <v>883770</v>
      </c>
    </row>
    <row r="2199" spans="1:6">
      <c r="A2199" s="28" t="s">
        <v>52</v>
      </c>
      <c r="B2199" s="28" t="s">
        <v>53</v>
      </c>
      <c r="C2199" s="28">
        <v>2015</v>
      </c>
      <c r="D2199" s="28" t="s">
        <v>1</v>
      </c>
      <c r="E2199" s="28" t="s">
        <v>5</v>
      </c>
      <c r="F2199" s="28">
        <v>938137</v>
      </c>
    </row>
    <row r="2200" spans="1:6">
      <c r="A2200" s="28" t="s">
        <v>52</v>
      </c>
      <c r="B2200" s="28" t="s">
        <v>53</v>
      </c>
      <c r="C2200" s="28">
        <v>2016</v>
      </c>
      <c r="D2200" s="28" t="s">
        <v>1</v>
      </c>
      <c r="E2200" s="28" t="s">
        <v>5</v>
      </c>
      <c r="F2200" s="28">
        <v>983446</v>
      </c>
    </row>
    <row r="2201" spans="1:6">
      <c r="A2201" s="28" t="s">
        <v>52</v>
      </c>
      <c r="B2201" s="28" t="s">
        <v>53</v>
      </c>
      <c r="C2201" s="28">
        <v>2017</v>
      </c>
      <c r="D2201" s="28" t="s">
        <v>1</v>
      </c>
      <c r="E2201" s="28" t="s">
        <v>5</v>
      </c>
      <c r="F2201" s="28">
        <v>1028251</v>
      </c>
    </row>
    <row r="2202" spans="1:6">
      <c r="A2202" s="28" t="s">
        <v>52</v>
      </c>
      <c r="B2202" s="28" t="s">
        <v>53</v>
      </c>
      <c r="C2202" s="28">
        <v>2010</v>
      </c>
      <c r="D2202" s="28" t="s">
        <v>1</v>
      </c>
      <c r="E2202" s="28" t="s">
        <v>6</v>
      </c>
      <c r="F2202" s="28">
        <v>539568</v>
      </c>
    </row>
    <row r="2203" spans="1:6">
      <c r="A2203" s="28" t="s">
        <v>52</v>
      </c>
      <c r="B2203" s="28" t="s">
        <v>53</v>
      </c>
      <c r="C2203" s="28">
        <v>2011</v>
      </c>
      <c r="D2203" s="28" t="s">
        <v>1</v>
      </c>
      <c r="E2203" s="28" t="s">
        <v>6</v>
      </c>
      <c r="F2203" s="28">
        <v>525659</v>
      </c>
    </row>
    <row r="2204" spans="1:6">
      <c r="A2204" s="28" t="s">
        <v>52</v>
      </c>
      <c r="B2204" s="28" t="s">
        <v>53</v>
      </c>
      <c r="C2204" s="28">
        <v>2012</v>
      </c>
      <c r="D2204" s="28" t="s">
        <v>1</v>
      </c>
      <c r="E2204" s="28" t="s">
        <v>6</v>
      </c>
      <c r="F2204" s="28">
        <v>540405</v>
      </c>
    </row>
    <row r="2205" spans="1:6">
      <c r="A2205" s="28" t="s">
        <v>52</v>
      </c>
      <c r="B2205" s="28" t="s">
        <v>53</v>
      </c>
      <c r="C2205" s="28">
        <v>2013</v>
      </c>
      <c r="D2205" s="28" t="s">
        <v>1</v>
      </c>
      <c r="E2205" s="28" t="s">
        <v>6</v>
      </c>
      <c r="F2205" s="28">
        <v>596707</v>
      </c>
    </row>
    <row r="2206" spans="1:6">
      <c r="A2206" s="28" t="s">
        <v>52</v>
      </c>
      <c r="B2206" s="28" t="s">
        <v>53</v>
      </c>
      <c r="C2206" s="28">
        <v>2014</v>
      </c>
      <c r="D2206" s="28" t="s">
        <v>1</v>
      </c>
      <c r="E2206" s="28" t="s">
        <v>6</v>
      </c>
      <c r="F2206" s="28">
        <v>595151</v>
      </c>
    </row>
    <row r="2207" spans="1:6">
      <c r="A2207" s="28" t="s">
        <v>52</v>
      </c>
      <c r="B2207" s="28" t="s">
        <v>53</v>
      </c>
      <c r="C2207" s="28">
        <v>2015</v>
      </c>
      <c r="D2207" s="28" t="s">
        <v>1</v>
      </c>
      <c r="E2207" s="28" t="s">
        <v>6</v>
      </c>
      <c r="F2207" s="28">
        <v>613919</v>
      </c>
    </row>
    <row r="2208" spans="1:6">
      <c r="A2208" s="28" t="s">
        <v>52</v>
      </c>
      <c r="B2208" s="28" t="s">
        <v>53</v>
      </c>
      <c r="C2208" s="28">
        <v>2016</v>
      </c>
      <c r="D2208" s="28" t="s">
        <v>1</v>
      </c>
      <c r="E2208" s="28" t="s">
        <v>6</v>
      </c>
      <c r="F2208" s="28">
        <v>650932</v>
      </c>
    </row>
    <row r="2209" spans="1:6">
      <c r="A2209" s="28" t="s">
        <v>52</v>
      </c>
      <c r="B2209" s="28" t="s">
        <v>53</v>
      </c>
      <c r="C2209" s="28">
        <v>2017</v>
      </c>
      <c r="D2209" s="28" t="s">
        <v>1</v>
      </c>
      <c r="E2209" s="28" t="s">
        <v>6</v>
      </c>
      <c r="F2209" s="28">
        <v>695564</v>
      </c>
    </row>
    <row r="2210" spans="1:6">
      <c r="A2210" s="28" t="s">
        <v>52</v>
      </c>
      <c r="B2210" s="28" t="s">
        <v>53</v>
      </c>
      <c r="C2210" s="28">
        <v>2010</v>
      </c>
      <c r="D2210" s="28" t="s">
        <v>1</v>
      </c>
      <c r="E2210" s="28" t="s">
        <v>8</v>
      </c>
      <c r="F2210" s="28">
        <v>106194</v>
      </c>
    </row>
    <row r="2211" spans="1:6">
      <c r="A2211" s="28" t="s">
        <v>52</v>
      </c>
      <c r="B2211" s="28" t="s">
        <v>53</v>
      </c>
      <c r="C2211" s="28">
        <v>2011</v>
      </c>
      <c r="D2211" s="28" t="s">
        <v>1</v>
      </c>
      <c r="E2211" s="28" t="s">
        <v>8</v>
      </c>
      <c r="F2211" s="28">
        <v>159965</v>
      </c>
    </row>
    <row r="2212" spans="1:6">
      <c r="A2212" s="28" t="s">
        <v>52</v>
      </c>
      <c r="B2212" s="28" t="s">
        <v>53</v>
      </c>
      <c r="C2212" s="28">
        <v>2012</v>
      </c>
      <c r="D2212" s="28" t="s">
        <v>1</v>
      </c>
      <c r="E2212" s="28" t="s">
        <v>8</v>
      </c>
      <c r="F2212" s="28">
        <v>118844</v>
      </c>
    </row>
    <row r="2213" spans="1:6">
      <c r="A2213" s="28" t="s">
        <v>52</v>
      </c>
      <c r="B2213" s="28" t="s">
        <v>53</v>
      </c>
      <c r="C2213" s="28">
        <v>2013</v>
      </c>
      <c r="D2213" s="28" t="s">
        <v>1</v>
      </c>
      <c r="E2213" s="28" t="s">
        <v>8</v>
      </c>
      <c r="F2213" s="28">
        <v>174920</v>
      </c>
    </row>
    <row r="2214" spans="1:6">
      <c r="A2214" s="28" t="s">
        <v>52</v>
      </c>
      <c r="B2214" s="28" t="s">
        <v>53</v>
      </c>
      <c r="C2214" s="28">
        <v>2014</v>
      </c>
      <c r="D2214" s="28" t="s">
        <v>1</v>
      </c>
      <c r="E2214" s="28" t="s">
        <v>8</v>
      </c>
      <c r="F2214" s="28">
        <v>166273</v>
      </c>
    </row>
    <row r="2215" spans="1:6">
      <c r="A2215" s="28" t="s">
        <v>52</v>
      </c>
      <c r="B2215" s="28" t="s">
        <v>53</v>
      </c>
      <c r="C2215" s="28">
        <v>2015</v>
      </c>
      <c r="D2215" s="28" t="s">
        <v>1</v>
      </c>
      <c r="E2215" s="28" t="s">
        <v>8</v>
      </c>
      <c r="F2215" s="28">
        <v>186764</v>
      </c>
    </row>
    <row r="2216" spans="1:6">
      <c r="A2216" s="28" t="s">
        <v>52</v>
      </c>
      <c r="B2216" s="28" t="s">
        <v>53</v>
      </c>
      <c r="C2216" s="28">
        <v>2016</v>
      </c>
      <c r="D2216" s="28" t="s">
        <v>1</v>
      </c>
      <c r="E2216" s="28" t="s">
        <v>8</v>
      </c>
      <c r="F2216" s="28">
        <v>215858</v>
      </c>
    </row>
    <row r="2217" spans="1:6">
      <c r="A2217" s="28" t="s">
        <v>52</v>
      </c>
      <c r="B2217" s="28" t="s">
        <v>53</v>
      </c>
      <c r="C2217" s="28">
        <v>2017</v>
      </c>
      <c r="D2217" s="28" t="s">
        <v>1</v>
      </c>
      <c r="E2217" s="28" t="s">
        <v>8</v>
      </c>
      <c r="F2217" s="28">
        <v>181439</v>
      </c>
    </row>
    <row r="2218" spans="1:6">
      <c r="A2218" s="28" t="s">
        <v>52</v>
      </c>
      <c r="B2218" s="28" t="s">
        <v>53</v>
      </c>
      <c r="C2218" s="28">
        <v>2010</v>
      </c>
      <c r="D2218" s="28" t="s">
        <v>1</v>
      </c>
      <c r="E2218" s="28" t="s">
        <v>9</v>
      </c>
      <c r="F2218" s="28">
        <v>99231</v>
      </c>
    </row>
    <row r="2219" spans="1:6">
      <c r="A2219" s="28" t="s">
        <v>52</v>
      </c>
      <c r="B2219" s="28" t="s">
        <v>53</v>
      </c>
      <c r="C2219" s="28">
        <v>2011</v>
      </c>
      <c r="D2219" s="28" t="s">
        <v>1</v>
      </c>
      <c r="E2219" s="28" t="s">
        <v>9</v>
      </c>
      <c r="F2219" s="28">
        <v>126159</v>
      </c>
    </row>
    <row r="2220" spans="1:6">
      <c r="A2220" s="28" t="s">
        <v>52</v>
      </c>
      <c r="B2220" s="28" t="s">
        <v>53</v>
      </c>
      <c r="C2220" s="28">
        <v>2012</v>
      </c>
      <c r="D2220" s="28" t="s">
        <v>1</v>
      </c>
      <c r="E2220" s="28" t="s">
        <v>9</v>
      </c>
      <c r="F2220" s="28">
        <v>195018</v>
      </c>
    </row>
    <row r="2221" spans="1:6">
      <c r="A2221" s="28" t="s">
        <v>52</v>
      </c>
      <c r="B2221" s="28" t="s">
        <v>53</v>
      </c>
      <c r="C2221" s="28">
        <v>2013</v>
      </c>
      <c r="D2221" s="28" t="s">
        <v>1</v>
      </c>
      <c r="E2221" s="28" t="s">
        <v>9</v>
      </c>
      <c r="F2221" s="28">
        <v>80419</v>
      </c>
    </row>
    <row r="2222" spans="1:6">
      <c r="A2222" s="28" t="s">
        <v>52</v>
      </c>
      <c r="B2222" s="28" t="s">
        <v>53</v>
      </c>
      <c r="C2222" s="28">
        <v>2014</v>
      </c>
      <c r="D2222" s="28" t="s">
        <v>1</v>
      </c>
      <c r="E2222" s="28" t="s">
        <v>9</v>
      </c>
      <c r="F2222" s="28">
        <v>122346</v>
      </c>
    </row>
    <row r="2223" spans="1:6">
      <c r="A2223" s="28" t="s">
        <v>52</v>
      </c>
      <c r="B2223" s="28" t="s">
        <v>53</v>
      </c>
      <c r="C2223" s="28">
        <v>2015</v>
      </c>
      <c r="D2223" s="28" t="s">
        <v>1</v>
      </c>
      <c r="E2223" s="28" t="s">
        <v>9</v>
      </c>
      <c r="F2223" s="28">
        <v>137454</v>
      </c>
    </row>
    <row r="2224" spans="1:6">
      <c r="A2224" s="28" t="s">
        <v>52</v>
      </c>
      <c r="B2224" s="28" t="s">
        <v>53</v>
      </c>
      <c r="C2224" s="28">
        <v>2016</v>
      </c>
      <c r="D2224" s="28" t="s">
        <v>1</v>
      </c>
      <c r="E2224" s="28" t="s">
        <v>9</v>
      </c>
      <c r="F2224" s="28">
        <v>116656</v>
      </c>
    </row>
    <row r="2225" spans="1:6">
      <c r="A2225" s="28" t="s">
        <v>52</v>
      </c>
      <c r="B2225" s="28" t="s">
        <v>53</v>
      </c>
      <c r="C2225" s="28">
        <v>2017</v>
      </c>
      <c r="D2225" s="28" t="s">
        <v>1</v>
      </c>
      <c r="E2225" s="28" t="s">
        <v>9</v>
      </c>
      <c r="F2225" s="28">
        <v>151248</v>
      </c>
    </row>
    <row r="2226" spans="1:6">
      <c r="A2226" s="28" t="s">
        <v>52</v>
      </c>
      <c r="B2226" s="28" t="s">
        <v>53</v>
      </c>
      <c r="C2226" s="28">
        <v>2010</v>
      </c>
      <c r="D2226" s="28" t="s">
        <v>1</v>
      </c>
      <c r="E2226" s="28" t="s">
        <v>10</v>
      </c>
      <c r="F2226" s="28">
        <v>744993</v>
      </c>
    </row>
    <row r="2227" spans="1:6">
      <c r="A2227" s="28" t="s">
        <v>52</v>
      </c>
      <c r="B2227" s="28" t="s">
        <v>53</v>
      </c>
      <c r="C2227" s="28">
        <v>2011</v>
      </c>
      <c r="D2227" s="28" t="s">
        <v>1</v>
      </c>
      <c r="E2227" s="28" t="s">
        <v>10</v>
      </c>
      <c r="F2227" s="28">
        <v>811783</v>
      </c>
    </row>
    <row r="2228" spans="1:6">
      <c r="A2228" s="28" t="s">
        <v>52</v>
      </c>
      <c r="B2228" s="28" t="s">
        <v>53</v>
      </c>
      <c r="C2228" s="28">
        <v>2012</v>
      </c>
      <c r="D2228" s="28" t="s">
        <v>1</v>
      </c>
      <c r="E2228" s="28" t="s">
        <v>10</v>
      </c>
      <c r="F2228" s="28">
        <v>854267</v>
      </c>
    </row>
    <row r="2229" spans="1:6">
      <c r="A2229" s="28" t="s">
        <v>52</v>
      </c>
      <c r="B2229" s="28" t="s">
        <v>53</v>
      </c>
      <c r="C2229" s="28">
        <v>2013</v>
      </c>
      <c r="D2229" s="28" t="s">
        <v>1</v>
      </c>
      <c r="E2229" s="28" t="s">
        <v>10</v>
      </c>
      <c r="F2229" s="28">
        <v>852046</v>
      </c>
    </row>
    <row r="2230" spans="1:6">
      <c r="A2230" s="28" t="s">
        <v>52</v>
      </c>
      <c r="B2230" s="28" t="s">
        <v>53</v>
      </c>
      <c r="C2230" s="28">
        <v>2014</v>
      </c>
      <c r="D2230" s="28" t="s">
        <v>1</v>
      </c>
      <c r="E2230" s="28" t="s">
        <v>10</v>
      </c>
      <c r="F2230" s="28">
        <v>883770</v>
      </c>
    </row>
    <row r="2231" spans="1:6">
      <c r="A2231" s="28" t="s">
        <v>52</v>
      </c>
      <c r="B2231" s="28" t="s">
        <v>53</v>
      </c>
      <c r="C2231" s="28">
        <v>2015</v>
      </c>
      <c r="D2231" s="28" t="s">
        <v>1</v>
      </c>
      <c r="E2231" s="28" t="s">
        <v>10</v>
      </c>
      <c r="F2231" s="28">
        <v>938137</v>
      </c>
    </row>
    <row r="2232" spans="1:6">
      <c r="A2232" s="28" t="s">
        <v>52</v>
      </c>
      <c r="B2232" s="28" t="s">
        <v>53</v>
      </c>
      <c r="C2232" s="28">
        <v>2016</v>
      </c>
      <c r="D2232" s="28" t="s">
        <v>1</v>
      </c>
      <c r="E2232" s="28" t="s">
        <v>10</v>
      </c>
      <c r="F2232" s="28">
        <v>983446</v>
      </c>
    </row>
    <row r="2233" spans="1:6">
      <c r="A2233" s="28" t="s">
        <v>52</v>
      </c>
      <c r="B2233" s="28" t="s">
        <v>53</v>
      </c>
      <c r="C2233" s="28">
        <v>2017</v>
      </c>
      <c r="D2233" s="28" t="s">
        <v>1</v>
      </c>
      <c r="E2233" s="28" t="s">
        <v>10</v>
      </c>
      <c r="F2233" s="28">
        <v>1028251</v>
      </c>
    </row>
    <row r="2234" spans="1:6">
      <c r="A2234" s="28" t="s">
        <v>52</v>
      </c>
      <c r="B2234" s="28" t="s">
        <v>53</v>
      </c>
      <c r="C2234" s="28">
        <v>2010</v>
      </c>
      <c r="D2234" s="28" t="s">
        <v>1</v>
      </c>
      <c r="E2234" s="28" t="s">
        <v>11</v>
      </c>
      <c r="F2234" s="28">
        <v>0.27574084588714298</v>
      </c>
    </row>
    <row r="2235" spans="1:6">
      <c r="A2235" s="28" t="s">
        <v>52</v>
      </c>
      <c r="B2235" s="28" t="s">
        <v>53</v>
      </c>
      <c r="C2235" s="28">
        <v>2011</v>
      </c>
      <c r="D2235" s="28" t="s">
        <v>1</v>
      </c>
      <c r="E2235" s="28" t="s">
        <v>11</v>
      </c>
      <c r="F2235" s="28">
        <v>0.352463651000329</v>
      </c>
    </row>
    <row r="2236" spans="1:6">
      <c r="A2236" s="28" t="s">
        <v>52</v>
      </c>
      <c r="B2236" s="28" t="s">
        <v>53</v>
      </c>
      <c r="C2236" s="28">
        <v>2012</v>
      </c>
      <c r="D2236" s="28" t="s">
        <v>1</v>
      </c>
      <c r="E2236" s="28" t="s">
        <v>11</v>
      </c>
      <c r="F2236" s="28">
        <v>0.36740503847157902</v>
      </c>
    </row>
    <row r="2237" spans="1:6">
      <c r="A2237" s="28" t="s">
        <v>52</v>
      </c>
      <c r="B2237" s="28" t="s">
        <v>53</v>
      </c>
      <c r="C2237" s="28">
        <v>2013</v>
      </c>
      <c r="D2237" s="28" t="s">
        <v>1</v>
      </c>
      <c r="E2237" s="28" t="s">
        <v>11</v>
      </c>
      <c r="F2237" s="28">
        <v>0.29967748220166501</v>
      </c>
    </row>
    <row r="2238" spans="1:6">
      <c r="A2238" s="28" t="s">
        <v>52</v>
      </c>
      <c r="B2238" s="28" t="s">
        <v>53</v>
      </c>
      <c r="C2238" s="28">
        <v>2014</v>
      </c>
      <c r="D2238" s="28" t="s">
        <v>1</v>
      </c>
      <c r="E2238" s="28" t="s">
        <v>11</v>
      </c>
      <c r="F2238" s="28">
        <v>0.32657705059008602</v>
      </c>
    </row>
    <row r="2239" spans="1:6">
      <c r="A2239" s="28" t="s">
        <v>52</v>
      </c>
      <c r="B2239" s="28" t="s">
        <v>53</v>
      </c>
      <c r="C2239" s="28">
        <v>2015</v>
      </c>
      <c r="D2239" s="28" t="s">
        <v>1</v>
      </c>
      <c r="E2239" s="28" t="s">
        <v>11</v>
      </c>
      <c r="F2239" s="28">
        <v>0.34559771120849098</v>
      </c>
    </row>
    <row r="2240" spans="1:6">
      <c r="A2240" s="28" t="s">
        <v>52</v>
      </c>
      <c r="B2240" s="28" t="s">
        <v>53</v>
      </c>
      <c r="C2240" s="28">
        <v>2016</v>
      </c>
      <c r="D2240" s="28" t="s">
        <v>1</v>
      </c>
      <c r="E2240" s="28" t="s">
        <v>11</v>
      </c>
      <c r="F2240" s="28">
        <v>0.33811109100042103</v>
      </c>
    </row>
    <row r="2241" spans="1:6">
      <c r="A2241" s="28" t="s">
        <v>52</v>
      </c>
      <c r="B2241" s="28" t="s">
        <v>53</v>
      </c>
      <c r="C2241" s="28">
        <v>2017</v>
      </c>
      <c r="D2241" s="28" t="s">
        <v>1</v>
      </c>
      <c r="E2241" s="28" t="s">
        <v>11</v>
      </c>
      <c r="F2241" s="28">
        <v>0.32354648816290998</v>
      </c>
    </row>
    <row r="2242" spans="1:6">
      <c r="A2242" s="28" t="s">
        <v>52</v>
      </c>
      <c r="B2242" s="28" t="s">
        <v>53</v>
      </c>
      <c r="C2242" s="28">
        <v>2010</v>
      </c>
      <c r="D2242" s="28" t="s">
        <v>4</v>
      </c>
      <c r="E2242" s="28" t="s">
        <v>12</v>
      </c>
      <c r="F2242" s="28">
        <v>526581</v>
      </c>
    </row>
    <row r="2243" spans="1:6">
      <c r="A2243" s="28" t="s">
        <v>52</v>
      </c>
      <c r="B2243" s="28" t="s">
        <v>53</v>
      </c>
      <c r="C2243" s="28">
        <v>2011</v>
      </c>
      <c r="D2243" s="28" t="s">
        <v>4</v>
      </c>
      <c r="E2243" s="28" t="s">
        <v>12</v>
      </c>
      <c r="F2243" s="28">
        <v>362599</v>
      </c>
    </row>
    <row r="2244" spans="1:6">
      <c r="A2244" s="28" t="s">
        <v>52</v>
      </c>
      <c r="B2244" s="28" t="s">
        <v>53</v>
      </c>
      <c r="C2244" s="28">
        <v>2012</v>
      </c>
      <c r="D2244" s="28" t="s">
        <v>4</v>
      </c>
      <c r="E2244" s="28" t="s">
        <v>12</v>
      </c>
      <c r="F2244" s="28">
        <v>298805</v>
      </c>
    </row>
    <row r="2245" spans="1:6">
      <c r="A2245" s="28" t="s">
        <v>52</v>
      </c>
      <c r="B2245" s="28" t="s">
        <v>53</v>
      </c>
      <c r="C2245" s="28">
        <v>2013</v>
      </c>
      <c r="D2245" s="28" t="s">
        <v>4</v>
      </c>
      <c r="E2245" s="28" t="s">
        <v>12</v>
      </c>
      <c r="F2245" s="28">
        <v>313632</v>
      </c>
    </row>
    <row r="2246" spans="1:6">
      <c r="A2246" s="28" t="s">
        <v>52</v>
      </c>
      <c r="B2246" s="28" t="s">
        <v>53</v>
      </c>
      <c r="C2246" s="28">
        <v>2014</v>
      </c>
      <c r="D2246" s="28" t="s">
        <v>4</v>
      </c>
      <c r="E2246" s="28" t="s">
        <v>12</v>
      </c>
      <c r="F2246" s="28">
        <v>329560</v>
      </c>
    </row>
    <row r="2247" spans="1:6">
      <c r="A2247" s="28" t="s">
        <v>52</v>
      </c>
      <c r="B2247" s="28" t="s">
        <v>53</v>
      </c>
      <c r="C2247" s="28">
        <v>2015</v>
      </c>
      <c r="D2247" s="28" t="s">
        <v>4</v>
      </c>
      <c r="E2247" s="28" t="s">
        <v>12</v>
      </c>
      <c r="F2247" s="28">
        <v>347512</v>
      </c>
    </row>
    <row r="2248" spans="1:6">
      <c r="A2248" s="28" t="s">
        <v>52</v>
      </c>
      <c r="B2248" s="28" t="s">
        <v>53</v>
      </c>
      <c r="C2248" s="28">
        <v>2016</v>
      </c>
      <c r="D2248" s="28" t="s">
        <v>4</v>
      </c>
      <c r="E2248" s="28" t="s">
        <v>12</v>
      </c>
      <c r="F2248" s="28">
        <v>374072</v>
      </c>
    </row>
    <row r="2249" spans="1:6">
      <c r="A2249" s="28" t="s">
        <v>52</v>
      </c>
      <c r="B2249" s="28" t="s">
        <v>53</v>
      </c>
      <c r="C2249" s="28">
        <v>2017</v>
      </c>
      <c r="D2249" s="28" t="s">
        <v>4</v>
      </c>
      <c r="E2249" s="28" t="s">
        <v>12</v>
      </c>
      <c r="F2249" s="28">
        <v>348119</v>
      </c>
    </row>
    <row r="2250" spans="1:6">
      <c r="A2250" s="28" t="s">
        <v>52</v>
      </c>
      <c r="B2250" s="28" t="s">
        <v>53</v>
      </c>
      <c r="C2250" s="28">
        <v>2010</v>
      </c>
      <c r="D2250" s="28" t="s">
        <v>4</v>
      </c>
      <c r="E2250" s="28" t="s">
        <v>13</v>
      </c>
      <c r="F2250" s="28">
        <v>9139</v>
      </c>
    </row>
    <row r="2251" spans="1:6">
      <c r="A2251" s="28" t="s">
        <v>52</v>
      </c>
      <c r="B2251" s="28" t="s">
        <v>53</v>
      </c>
      <c r="C2251" s="28">
        <v>2011</v>
      </c>
      <c r="D2251" s="28" t="s">
        <v>4</v>
      </c>
      <c r="E2251" s="28" t="s">
        <v>13</v>
      </c>
      <c r="F2251" s="28">
        <v>31411</v>
      </c>
    </row>
    <row r="2252" spans="1:6">
      <c r="A2252" s="28" t="s">
        <v>52</v>
      </c>
      <c r="B2252" s="28" t="s">
        <v>53</v>
      </c>
      <c r="C2252" s="28">
        <v>2012</v>
      </c>
      <c r="D2252" s="28" t="s">
        <v>4</v>
      </c>
      <c r="E2252" s="28" t="s">
        <v>13</v>
      </c>
      <c r="F2252" s="28">
        <v>-22631</v>
      </c>
    </row>
    <row r="2253" spans="1:6">
      <c r="A2253" s="28" t="s">
        <v>52</v>
      </c>
      <c r="B2253" s="28" t="s">
        <v>53</v>
      </c>
      <c r="C2253" s="28">
        <v>2013</v>
      </c>
      <c r="D2253" s="28" t="s">
        <v>4</v>
      </c>
      <c r="E2253" s="28" t="s">
        <v>13</v>
      </c>
      <c r="F2253" s="28">
        <v>19767</v>
      </c>
    </row>
    <row r="2254" spans="1:6">
      <c r="A2254" s="28" t="s">
        <v>52</v>
      </c>
      <c r="B2254" s="28" t="s">
        <v>53</v>
      </c>
      <c r="C2254" s="28">
        <v>2014</v>
      </c>
      <c r="D2254" s="28" t="s">
        <v>4</v>
      </c>
      <c r="E2254" s="28" t="s">
        <v>13</v>
      </c>
      <c r="F2254" s="28">
        <v>25606</v>
      </c>
    </row>
    <row r="2255" spans="1:6">
      <c r="A2255" s="28" t="s">
        <v>52</v>
      </c>
      <c r="B2255" s="28" t="s">
        <v>53</v>
      </c>
      <c r="C2255" s="28">
        <v>2015</v>
      </c>
      <c r="D2255" s="28" t="s">
        <v>4</v>
      </c>
      <c r="E2255" s="28" t="s">
        <v>13</v>
      </c>
      <c r="F2255" s="28">
        <v>31539</v>
      </c>
    </row>
    <row r="2256" spans="1:6">
      <c r="A2256" s="28" t="s">
        <v>52</v>
      </c>
      <c r="B2256" s="28" t="s">
        <v>53</v>
      </c>
      <c r="C2256" s="28">
        <v>2016</v>
      </c>
      <c r="D2256" s="28" t="s">
        <v>4</v>
      </c>
      <c r="E2256" s="28" t="s">
        <v>13</v>
      </c>
      <c r="F2256" s="28">
        <v>40205</v>
      </c>
    </row>
    <row r="2257" spans="1:6">
      <c r="A2257" s="28" t="s">
        <v>52</v>
      </c>
      <c r="B2257" s="28" t="s">
        <v>53</v>
      </c>
      <c r="C2257" s="28">
        <v>2017</v>
      </c>
      <c r="D2257" s="28" t="s">
        <v>4</v>
      </c>
      <c r="E2257" s="28" t="s">
        <v>13</v>
      </c>
      <c r="F2257" s="28">
        <v>24013</v>
      </c>
    </row>
    <row r="2258" spans="1:6">
      <c r="A2258" s="28" t="s">
        <v>52</v>
      </c>
      <c r="B2258" s="28" t="s">
        <v>53</v>
      </c>
      <c r="C2258" s="28">
        <v>2010</v>
      </c>
      <c r="D2258" s="28" t="s">
        <v>4</v>
      </c>
      <c r="E2258" s="28" t="s">
        <v>14</v>
      </c>
      <c r="F2258" s="28">
        <v>17278.036808205601</v>
      </c>
    </row>
    <row r="2259" spans="1:6">
      <c r="A2259" s="28" t="s">
        <v>52</v>
      </c>
      <c r="B2259" s="28" t="s">
        <v>53</v>
      </c>
      <c r="C2259" s="28">
        <v>2011</v>
      </c>
      <c r="D2259" s="28" t="s">
        <v>4</v>
      </c>
      <c r="E2259" s="28" t="s">
        <v>14</v>
      </c>
      <c r="F2259" s="28">
        <v>11262.2025649069</v>
      </c>
    </row>
    <row r="2260" spans="1:6">
      <c r="A2260" s="28" t="s">
        <v>52</v>
      </c>
      <c r="B2260" s="28" t="s">
        <v>53</v>
      </c>
      <c r="C2260" s="28">
        <v>2012</v>
      </c>
      <c r="D2260" s="28" t="s">
        <v>4</v>
      </c>
      <c r="E2260" s="28" t="s">
        <v>14</v>
      </c>
      <c r="F2260" s="28">
        <v>9837.9465770247607</v>
      </c>
    </row>
    <row r="2261" spans="1:6">
      <c r="A2261" s="28" t="s">
        <v>52</v>
      </c>
      <c r="B2261" s="28" t="s">
        <v>53</v>
      </c>
      <c r="C2261" s="28">
        <v>2013</v>
      </c>
      <c r="D2261" s="28" t="s">
        <v>4</v>
      </c>
      <c r="E2261" s="28" t="s">
        <v>14</v>
      </c>
      <c r="F2261" s="28">
        <v>9582.6356892316307</v>
      </c>
    </row>
    <row r="2262" spans="1:6">
      <c r="A2262" s="28" t="s">
        <v>52</v>
      </c>
      <c r="B2262" s="28" t="s">
        <v>53</v>
      </c>
      <c r="C2262" s="28">
        <v>2014</v>
      </c>
      <c r="D2262" s="28" t="s">
        <v>4</v>
      </c>
      <c r="E2262" s="28" t="s">
        <v>14</v>
      </c>
      <c r="F2262" s="28">
        <v>5857.9696543093996</v>
      </c>
    </row>
    <row r="2263" spans="1:6">
      <c r="A2263" s="28" t="s">
        <v>52</v>
      </c>
      <c r="B2263" s="28" t="s">
        <v>53</v>
      </c>
      <c r="C2263" s="28">
        <v>2015</v>
      </c>
      <c r="D2263" s="28" t="s">
        <v>4</v>
      </c>
      <c r="E2263" s="28" t="s">
        <v>14</v>
      </c>
      <c r="F2263" s="28">
        <v>4768.0999743423299</v>
      </c>
    </row>
    <row r="2264" spans="1:6">
      <c r="A2264" s="28" t="s">
        <v>52</v>
      </c>
      <c r="B2264" s="28" t="s">
        <v>53</v>
      </c>
      <c r="C2264" s="28">
        <v>2016</v>
      </c>
      <c r="D2264" s="28" t="s">
        <v>4</v>
      </c>
      <c r="E2264" s="28" t="s">
        <v>14</v>
      </c>
      <c r="F2264" s="28">
        <v>6167.0147996353298</v>
      </c>
    </row>
    <row r="2265" spans="1:6">
      <c r="A2265" s="28" t="s">
        <v>52</v>
      </c>
      <c r="B2265" s="28" t="s">
        <v>53</v>
      </c>
      <c r="C2265" s="28">
        <v>2017</v>
      </c>
      <c r="D2265" s="28" t="s">
        <v>4</v>
      </c>
      <c r="E2265" s="28" t="s">
        <v>14</v>
      </c>
      <c r="F2265" s="28">
        <v>6043.7116537789798</v>
      </c>
    </row>
    <row r="2266" spans="1:6">
      <c r="A2266" s="28" t="s">
        <v>52</v>
      </c>
      <c r="B2266" s="28" t="s">
        <v>53</v>
      </c>
      <c r="C2266" s="28">
        <v>2010</v>
      </c>
      <c r="D2266" s="28" t="s">
        <v>4</v>
      </c>
      <c r="E2266" s="28" t="s">
        <v>15</v>
      </c>
      <c r="F2266" s="28">
        <v>299.86645623406599</v>
      </c>
    </row>
    <row r="2267" spans="1:6">
      <c r="A2267" s="28" t="s">
        <v>52</v>
      </c>
      <c r="B2267" s="28" t="s">
        <v>53</v>
      </c>
      <c r="C2267" s="28">
        <v>2011</v>
      </c>
      <c r="D2267" s="28" t="s">
        <v>4</v>
      </c>
      <c r="E2267" s="28" t="s">
        <v>15</v>
      </c>
      <c r="F2267" s="28">
        <v>975.61505896676897</v>
      </c>
    </row>
    <row r="2268" spans="1:6">
      <c r="A2268" s="28" t="s">
        <v>52</v>
      </c>
      <c r="B2268" s="28" t="s">
        <v>53</v>
      </c>
      <c r="C2268" s="28">
        <v>2012</v>
      </c>
      <c r="D2268" s="28" t="s">
        <v>4</v>
      </c>
      <c r="E2268" s="28" t="s">
        <v>15</v>
      </c>
      <c r="F2268" s="28">
        <v>-745.10991778801395</v>
      </c>
    </row>
    <row r="2269" spans="1:6">
      <c r="A2269" s="28" t="s">
        <v>52</v>
      </c>
      <c r="B2269" s="28" t="s">
        <v>53</v>
      </c>
      <c r="C2269" s="28">
        <v>2013</v>
      </c>
      <c r="D2269" s="28" t="s">
        <v>4</v>
      </c>
      <c r="E2269" s="28" t="s">
        <v>15</v>
      </c>
      <c r="F2269" s="28">
        <v>603.95610036297899</v>
      </c>
    </row>
    <row r="2270" spans="1:6">
      <c r="A2270" s="28" t="s">
        <v>52</v>
      </c>
      <c r="B2270" s="28" t="s">
        <v>53</v>
      </c>
      <c r="C2270" s="28">
        <v>2014</v>
      </c>
      <c r="D2270" s="28" t="s">
        <v>4</v>
      </c>
      <c r="E2270" s="28" t="s">
        <v>15</v>
      </c>
      <c r="F2270" s="28">
        <v>455.14980873967301</v>
      </c>
    </row>
    <row r="2271" spans="1:6">
      <c r="A2271" s="28" t="s">
        <v>52</v>
      </c>
      <c r="B2271" s="28" t="s">
        <v>53</v>
      </c>
      <c r="C2271" s="28">
        <v>2015</v>
      </c>
      <c r="D2271" s="28" t="s">
        <v>4</v>
      </c>
      <c r="E2271" s="28" t="s">
        <v>15</v>
      </c>
      <c r="F2271" s="28">
        <v>432.736438139641</v>
      </c>
    </row>
    <row r="2272" spans="1:6">
      <c r="A2272" s="28" t="s">
        <v>52</v>
      </c>
      <c r="B2272" s="28" t="s">
        <v>53</v>
      </c>
      <c r="C2272" s="28">
        <v>2016</v>
      </c>
      <c r="D2272" s="28" t="s">
        <v>4</v>
      </c>
      <c r="E2272" s="28" t="s">
        <v>15</v>
      </c>
      <c r="F2272" s="28">
        <v>662.82648800054096</v>
      </c>
    </row>
    <row r="2273" spans="1:6">
      <c r="A2273" s="28" t="s">
        <v>52</v>
      </c>
      <c r="B2273" s="28" t="s">
        <v>53</v>
      </c>
      <c r="C2273" s="28">
        <v>2017</v>
      </c>
      <c r="D2273" s="28" t="s">
        <v>4</v>
      </c>
      <c r="E2273" s="28" t="s">
        <v>15</v>
      </c>
      <c r="F2273" s="28">
        <v>416.89091357321701</v>
      </c>
    </row>
    <row r="2274" spans="1:6">
      <c r="A2274" s="28" t="s">
        <v>52</v>
      </c>
      <c r="B2274" s="28" t="s">
        <v>53</v>
      </c>
      <c r="C2274" s="28">
        <v>2010</v>
      </c>
      <c r="D2274" s="28" t="s">
        <v>7</v>
      </c>
      <c r="E2274" s="28" t="s">
        <v>16</v>
      </c>
      <c r="F2274" s="28">
        <v>59888</v>
      </c>
    </row>
    <row r="2275" spans="1:6">
      <c r="A2275" s="28" t="s">
        <v>52</v>
      </c>
      <c r="B2275" s="28" t="s">
        <v>53</v>
      </c>
      <c r="C2275" s="28">
        <v>2011</v>
      </c>
      <c r="D2275" s="28" t="s">
        <v>7</v>
      </c>
      <c r="E2275" s="28" t="s">
        <v>16</v>
      </c>
      <c r="F2275" s="28">
        <v>62526</v>
      </c>
    </row>
    <row r="2276" spans="1:6">
      <c r="A2276" s="28" t="s">
        <v>52</v>
      </c>
      <c r="B2276" s="28" t="s">
        <v>53</v>
      </c>
      <c r="C2276" s="28">
        <v>2012</v>
      </c>
      <c r="D2276" s="28" t="s">
        <v>7</v>
      </c>
      <c r="E2276" s="28" t="s">
        <v>16</v>
      </c>
      <c r="F2276" s="28">
        <v>61254</v>
      </c>
    </row>
    <row r="2277" spans="1:6">
      <c r="A2277" s="28" t="s">
        <v>52</v>
      </c>
      <c r="B2277" s="28" t="s">
        <v>53</v>
      </c>
      <c r="C2277" s="28">
        <v>2013</v>
      </c>
      <c r="D2277" s="28" t="s">
        <v>7</v>
      </c>
      <c r="E2277" s="28" t="s">
        <v>16</v>
      </c>
      <c r="F2277" s="28">
        <v>72713</v>
      </c>
    </row>
    <row r="2278" spans="1:6">
      <c r="A2278" s="28" t="s">
        <v>52</v>
      </c>
      <c r="B2278" s="28" t="s">
        <v>53</v>
      </c>
      <c r="C2278" s="28">
        <v>2014</v>
      </c>
      <c r="D2278" s="28" t="s">
        <v>7</v>
      </c>
      <c r="E2278" s="28" t="s">
        <v>16</v>
      </c>
      <c r="F2278" s="28">
        <v>60708</v>
      </c>
    </row>
    <row r="2279" spans="1:6">
      <c r="A2279" s="28" t="s">
        <v>52</v>
      </c>
      <c r="B2279" s="28" t="s">
        <v>53</v>
      </c>
      <c r="C2279" s="28">
        <v>2015</v>
      </c>
      <c r="D2279" s="28" t="s">
        <v>7</v>
      </c>
      <c r="E2279" s="28" t="s">
        <v>16</v>
      </c>
      <c r="F2279" s="28">
        <v>53143</v>
      </c>
    </row>
    <row r="2280" spans="1:6">
      <c r="A2280" s="28" t="s">
        <v>52</v>
      </c>
      <c r="B2280" s="28" t="s">
        <v>53</v>
      </c>
      <c r="C2280" s="28">
        <v>2016</v>
      </c>
      <c r="D2280" s="28" t="s">
        <v>7</v>
      </c>
      <c r="E2280" s="28" t="s">
        <v>16</v>
      </c>
      <c r="F2280" s="28">
        <v>73590</v>
      </c>
    </row>
    <row r="2281" spans="1:6">
      <c r="A2281" s="28" t="s">
        <v>52</v>
      </c>
      <c r="B2281" s="28" t="s">
        <v>53</v>
      </c>
      <c r="C2281" s="28">
        <v>2017</v>
      </c>
      <c r="D2281" s="28" t="s">
        <v>7</v>
      </c>
      <c r="E2281" s="28" t="s">
        <v>16</v>
      </c>
      <c r="F2281" s="28">
        <v>79670</v>
      </c>
    </row>
    <row r="2282" spans="1:6">
      <c r="A2282" s="28" t="s">
        <v>52</v>
      </c>
      <c r="B2282" s="28" t="s">
        <v>53</v>
      </c>
      <c r="C2282" s="28">
        <v>2010</v>
      </c>
      <c r="D2282" s="28" t="s">
        <v>7</v>
      </c>
      <c r="E2282" s="28" t="s">
        <v>17</v>
      </c>
      <c r="F2282" s="28">
        <v>1965.0292516627301</v>
      </c>
    </row>
    <row r="2283" spans="1:6">
      <c r="A2283" s="28" t="s">
        <v>52</v>
      </c>
      <c r="B2283" s="28" t="s">
        <v>53</v>
      </c>
      <c r="C2283" s="28">
        <v>2011</v>
      </c>
      <c r="D2283" s="28" t="s">
        <v>7</v>
      </c>
      <c r="E2283" s="28" t="s">
        <v>17</v>
      </c>
      <c r="F2283" s="28">
        <v>1942.0364578318499</v>
      </c>
    </row>
    <row r="2284" spans="1:6">
      <c r="A2284" s="28" t="s">
        <v>52</v>
      </c>
      <c r="B2284" s="28" t="s">
        <v>53</v>
      </c>
      <c r="C2284" s="28">
        <v>2012</v>
      </c>
      <c r="D2284" s="28" t="s">
        <v>7</v>
      </c>
      <c r="E2284" s="28" t="s">
        <v>17</v>
      </c>
      <c r="F2284" s="28">
        <v>2016.74530087875</v>
      </c>
    </row>
    <row r="2285" spans="1:6">
      <c r="A2285" s="28" t="s">
        <v>52</v>
      </c>
      <c r="B2285" s="28" t="s">
        <v>53</v>
      </c>
      <c r="C2285" s="28">
        <v>2013</v>
      </c>
      <c r="D2285" s="28" t="s">
        <v>7</v>
      </c>
      <c r="E2285" s="28" t="s">
        <v>17</v>
      </c>
      <c r="F2285" s="28">
        <v>2221.65528030016</v>
      </c>
    </row>
    <row r="2286" spans="1:6">
      <c r="A2286" s="28" t="s">
        <v>52</v>
      </c>
      <c r="B2286" s="28" t="s">
        <v>53</v>
      </c>
      <c r="C2286" s="28">
        <v>2014</v>
      </c>
      <c r="D2286" s="28" t="s">
        <v>7</v>
      </c>
      <c r="E2286" s="28" t="s">
        <v>17</v>
      </c>
      <c r="F2286" s="28">
        <v>1079.09218889979</v>
      </c>
    </row>
    <row r="2287" spans="1:6">
      <c r="A2287" s="28" t="s">
        <v>52</v>
      </c>
      <c r="B2287" s="28" t="s">
        <v>53</v>
      </c>
      <c r="C2287" s="28">
        <v>2015</v>
      </c>
      <c r="D2287" s="28" t="s">
        <v>7</v>
      </c>
      <c r="E2287" s="28" t="s">
        <v>17</v>
      </c>
      <c r="F2287" s="28">
        <v>729.15794831969697</v>
      </c>
    </row>
    <row r="2288" spans="1:6">
      <c r="A2288" s="28" t="s">
        <v>52</v>
      </c>
      <c r="B2288" s="28" t="s">
        <v>53</v>
      </c>
      <c r="C2288" s="28">
        <v>2016</v>
      </c>
      <c r="D2288" s="28" t="s">
        <v>7</v>
      </c>
      <c r="E2288" s="28" t="s">
        <v>17</v>
      </c>
      <c r="F2288" s="28">
        <v>1213.21729267404</v>
      </c>
    </row>
    <row r="2289" spans="1:6">
      <c r="A2289" s="28" t="s">
        <v>52</v>
      </c>
      <c r="B2289" s="28" t="s">
        <v>53</v>
      </c>
      <c r="C2289" s="28">
        <v>2017</v>
      </c>
      <c r="D2289" s="28" t="s">
        <v>7</v>
      </c>
      <c r="E2289" s="28" t="s">
        <v>17</v>
      </c>
      <c r="F2289" s="28">
        <v>1383.1549196009701</v>
      </c>
    </row>
    <row r="2290" spans="1:6">
      <c r="A2290" s="28" t="s">
        <v>52</v>
      </c>
      <c r="B2290" s="28" t="s">
        <v>53</v>
      </c>
      <c r="C2290" s="28">
        <v>2010</v>
      </c>
      <c r="D2290" s="28" t="s">
        <v>20</v>
      </c>
      <c r="E2290" s="28" t="s">
        <v>18</v>
      </c>
      <c r="F2290" s="28">
        <v>260732.85200000001</v>
      </c>
    </row>
    <row r="2291" spans="1:6">
      <c r="A2291" s="28" t="s">
        <v>52</v>
      </c>
      <c r="B2291" s="28" t="s">
        <v>53</v>
      </c>
      <c r="C2291" s="28">
        <v>2011</v>
      </c>
      <c r="D2291" s="28" t="s">
        <v>20</v>
      </c>
      <c r="E2291" s="28" t="s">
        <v>18</v>
      </c>
      <c r="F2291" s="28">
        <v>281247.95199999999</v>
      </c>
    </row>
    <row r="2292" spans="1:6">
      <c r="A2292" s="28" t="s">
        <v>52</v>
      </c>
      <c r="B2292" s="28" t="s">
        <v>53</v>
      </c>
      <c r="C2292" s="28">
        <v>2012</v>
      </c>
      <c r="D2292" s="28" t="s">
        <v>20</v>
      </c>
      <c r="E2292" s="28" t="s">
        <v>18</v>
      </c>
      <c r="F2292" s="28">
        <v>290262.44500000001</v>
      </c>
    </row>
    <row r="2293" spans="1:6">
      <c r="A2293" s="28" t="s">
        <v>52</v>
      </c>
      <c r="B2293" s="28" t="s">
        <v>53</v>
      </c>
      <c r="C2293" s="28">
        <v>2013</v>
      </c>
      <c r="D2293" s="28" t="s">
        <v>20</v>
      </c>
      <c r="E2293" s="28" t="s">
        <v>18</v>
      </c>
      <c r="F2293" s="28">
        <v>309873.68400000001</v>
      </c>
    </row>
    <row r="2294" spans="1:6">
      <c r="A2294" s="28" t="s">
        <v>52</v>
      </c>
      <c r="B2294" s="28" t="s">
        <v>53</v>
      </c>
      <c r="C2294" s="28">
        <v>2014</v>
      </c>
      <c r="D2294" s="28" t="s">
        <v>20</v>
      </c>
      <c r="E2294" s="28" t="s">
        <v>18</v>
      </c>
      <c r="F2294" s="28">
        <v>371494.14</v>
      </c>
    </row>
    <row r="2295" spans="1:6">
      <c r="A2295" s="28" t="s">
        <v>52</v>
      </c>
      <c r="B2295" s="28" t="s">
        <v>53</v>
      </c>
      <c r="C2295" s="28">
        <v>2015</v>
      </c>
      <c r="D2295" s="28" t="s">
        <v>20</v>
      </c>
      <c r="E2295" s="28" t="s">
        <v>18</v>
      </c>
      <c r="F2295" s="28">
        <v>364468.853</v>
      </c>
    </row>
    <row r="2296" spans="1:6">
      <c r="A2296" s="28" t="s">
        <v>52</v>
      </c>
      <c r="B2296" s="28" t="s">
        <v>53</v>
      </c>
      <c r="C2296" s="28">
        <v>2016</v>
      </c>
      <c r="D2296" s="28" t="s">
        <v>20</v>
      </c>
      <c r="E2296" s="28" t="s">
        <v>18</v>
      </c>
      <c r="F2296" s="28">
        <v>367138.48200000002</v>
      </c>
    </row>
    <row r="2297" spans="1:6">
      <c r="A2297" s="28" t="s">
        <v>52</v>
      </c>
      <c r="B2297" s="28" t="s">
        <v>53</v>
      </c>
      <c r="C2297" s="28">
        <v>2017</v>
      </c>
      <c r="D2297" s="28" t="s">
        <v>20</v>
      </c>
      <c r="E2297" s="28" t="s">
        <v>18</v>
      </c>
      <c r="F2297" s="28">
        <v>402655.10800000001</v>
      </c>
    </row>
    <row r="2298" spans="1:6">
      <c r="A2298" s="28" t="s">
        <v>52</v>
      </c>
      <c r="B2298" s="28" t="s">
        <v>53</v>
      </c>
      <c r="C2298" s="28">
        <v>2010</v>
      </c>
      <c r="D2298" s="28" t="s">
        <v>20</v>
      </c>
      <c r="E2298" s="28" t="s">
        <v>19</v>
      </c>
      <c r="F2298" s="28">
        <v>1.649</v>
      </c>
    </row>
    <row r="2299" spans="1:6">
      <c r="A2299" s="28" t="s">
        <v>52</v>
      </c>
      <c r="B2299" s="28" t="s">
        <v>53</v>
      </c>
      <c r="C2299" s="28">
        <v>2011</v>
      </c>
      <c r="D2299" s="28" t="s">
        <v>20</v>
      </c>
      <c r="E2299" s="28" t="s">
        <v>19</v>
      </c>
      <c r="F2299" s="28">
        <v>0.97299999999999998</v>
      </c>
    </row>
    <row r="2300" spans="1:6">
      <c r="A2300" s="28" t="s">
        <v>52</v>
      </c>
      <c r="B2300" s="28" t="s">
        <v>53</v>
      </c>
      <c r="C2300" s="28">
        <v>2012</v>
      </c>
      <c r="D2300" s="28" t="s">
        <v>20</v>
      </c>
      <c r="E2300" s="28" t="s">
        <v>19</v>
      </c>
      <c r="F2300" s="28">
        <v>0.73350000000000004</v>
      </c>
    </row>
    <row r="2301" spans="1:6">
      <c r="A2301" s="28" t="s">
        <v>52</v>
      </c>
      <c r="B2301" s="28" t="s">
        <v>53</v>
      </c>
      <c r="C2301" s="28">
        <v>2013</v>
      </c>
      <c r="D2301" s="28" t="s">
        <v>20</v>
      </c>
      <c r="E2301" s="28" t="s">
        <v>19</v>
      </c>
      <c r="F2301" s="28">
        <v>0.55400000000000005</v>
      </c>
    </row>
    <row r="2302" spans="1:6">
      <c r="A2302" s="28" t="s">
        <v>52</v>
      </c>
      <c r="B2302" s="28" t="s">
        <v>53</v>
      </c>
      <c r="C2302" s="28">
        <v>2014</v>
      </c>
      <c r="D2302" s="28" t="s">
        <v>20</v>
      </c>
      <c r="E2302" s="28" t="s">
        <v>19</v>
      </c>
      <c r="F2302" s="28">
        <v>0.54149999999999998</v>
      </c>
    </row>
    <row r="2303" spans="1:6">
      <c r="A2303" s="28" t="s">
        <v>52</v>
      </c>
      <c r="B2303" s="28" t="s">
        <v>53</v>
      </c>
      <c r="C2303" s="28">
        <v>2015</v>
      </c>
      <c r="D2303" s="28" t="s">
        <v>20</v>
      </c>
      <c r="E2303" s="28" t="s">
        <v>19</v>
      </c>
      <c r="F2303" s="28">
        <v>0.67900000000000005</v>
      </c>
    </row>
    <row r="2304" spans="1:6">
      <c r="A2304" s="28" t="s">
        <v>52</v>
      </c>
      <c r="B2304" s="28" t="s">
        <v>53</v>
      </c>
      <c r="C2304" s="28">
        <v>2016</v>
      </c>
      <c r="D2304" s="28" t="s">
        <v>20</v>
      </c>
      <c r="E2304" s="28" t="s">
        <v>19</v>
      </c>
      <c r="F2304" s="28">
        <v>0.92589999999999995</v>
      </c>
    </row>
    <row r="2305" spans="1:6">
      <c r="A2305" s="28" t="s">
        <v>52</v>
      </c>
      <c r="B2305" s="28" t="s">
        <v>53</v>
      </c>
      <c r="C2305" s="28">
        <v>2017</v>
      </c>
      <c r="D2305" s="28" t="s">
        <v>20</v>
      </c>
      <c r="E2305" s="28" t="s">
        <v>19</v>
      </c>
      <c r="F2305" s="28">
        <v>0.72889999999999999</v>
      </c>
    </row>
    <row r="2306" spans="1:6">
      <c r="A2306" s="28" t="s">
        <v>54</v>
      </c>
      <c r="B2306" s="28" t="s">
        <v>53</v>
      </c>
      <c r="C2306" s="28">
        <v>2010</v>
      </c>
      <c r="D2306" s="28" t="s">
        <v>1</v>
      </c>
      <c r="E2306" s="28" t="s">
        <v>2</v>
      </c>
      <c r="F2306" s="28">
        <v>150973</v>
      </c>
    </row>
    <row r="2307" spans="1:6">
      <c r="A2307" s="28" t="s">
        <v>54</v>
      </c>
      <c r="B2307" s="28" t="s">
        <v>53</v>
      </c>
      <c r="C2307" s="28">
        <v>2011</v>
      </c>
      <c r="D2307" s="28" t="s">
        <v>1</v>
      </c>
      <c r="E2307" s="28" t="s">
        <v>2</v>
      </c>
      <c r="F2307" s="28">
        <v>328091</v>
      </c>
    </row>
    <row r="2308" spans="1:6">
      <c r="A2308" s="28" t="s">
        <v>54</v>
      </c>
      <c r="B2308" s="28" t="s">
        <v>53</v>
      </c>
      <c r="C2308" s="28">
        <v>2012</v>
      </c>
      <c r="D2308" s="28" t="s">
        <v>1</v>
      </c>
      <c r="E2308" s="28" t="s">
        <v>2</v>
      </c>
      <c r="F2308" s="28">
        <v>357969</v>
      </c>
    </row>
    <row r="2309" spans="1:6">
      <c r="A2309" s="28" t="s">
        <v>54</v>
      </c>
      <c r="B2309" s="28" t="s">
        <v>53</v>
      </c>
      <c r="C2309" s="28">
        <v>2013</v>
      </c>
      <c r="D2309" s="28" t="s">
        <v>1</v>
      </c>
      <c r="E2309" s="28" t="s">
        <v>2</v>
      </c>
      <c r="F2309" s="28">
        <v>342835</v>
      </c>
    </row>
    <row r="2310" spans="1:6">
      <c r="A2310" s="28" t="s">
        <v>54</v>
      </c>
      <c r="B2310" s="28" t="s">
        <v>53</v>
      </c>
      <c r="C2310" s="28">
        <v>2014</v>
      </c>
      <c r="D2310" s="28" t="s">
        <v>1</v>
      </c>
      <c r="E2310" s="28" t="s">
        <v>2</v>
      </c>
      <c r="F2310" s="28">
        <v>365136</v>
      </c>
    </row>
    <row r="2311" spans="1:6">
      <c r="A2311" s="28" t="s">
        <v>54</v>
      </c>
      <c r="B2311" s="28" t="s">
        <v>53</v>
      </c>
      <c r="C2311" s="28">
        <v>2015</v>
      </c>
      <c r="D2311" s="28" t="s">
        <v>1</v>
      </c>
      <c r="E2311" s="28" t="s">
        <v>2</v>
      </c>
      <c r="F2311" s="28">
        <v>341590</v>
      </c>
    </row>
    <row r="2312" spans="1:6">
      <c r="A2312" s="28" t="s">
        <v>54</v>
      </c>
      <c r="B2312" s="28" t="s">
        <v>53</v>
      </c>
      <c r="C2312" s="28">
        <v>2016</v>
      </c>
      <c r="D2312" s="28" t="s">
        <v>1</v>
      </c>
      <c r="E2312" s="28" t="s">
        <v>2</v>
      </c>
      <c r="F2312" s="28">
        <v>349060</v>
      </c>
    </row>
    <row r="2313" spans="1:6">
      <c r="A2313" s="28" t="s">
        <v>54</v>
      </c>
      <c r="B2313" s="28" t="s">
        <v>53</v>
      </c>
      <c r="C2313" s="28">
        <v>2017</v>
      </c>
      <c r="D2313" s="28" t="s">
        <v>1</v>
      </c>
      <c r="E2313" s="28" t="s">
        <v>2</v>
      </c>
      <c r="F2313" s="28">
        <v>332301</v>
      </c>
    </row>
    <row r="2314" spans="1:6">
      <c r="A2314" s="28" t="s">
        <v>54</v>
      </c>
      <c r="B2314" s="28" t="s">
        <v>53</v>
      </c>
      <c r="C2314" s="28">
        <v>2010</v>
      </c>
      <c r="D2314" s="28" t="s">
        <v>1</v>
      </c>
      <c r="E2314" s="28" t="s">
        <v>3</v>
      </c>
      <c r="F2314" s="28">
        <v>98117</v>
      </c>
    </row>
    <row r="2315" spans="1:6">
      <c r="A2315" s="28" t="s">
        <v>54</v>
      </c>
      <c r="B2315" s="28" t="s">
        <v>53</v>
      </c>
      <c r="C2315" s="28">
        <v>2011</v>
      </c>
      <c r="D2315" s="28" t="s">
        <v>1</v>
      </c>
      <c r="E2315" s="28" t="s">
        <v>3</v>
      </c>
      <c r="F2315" s="28">
        <v>203825</v>
      </c>
    </row>
    <row r="2316" spans="1:6">
      <c r="A2316" s="28" t="s">
        <v>54</v>
      </c>
      <c r="B2316" s="28" t="s">
        <v>53</v>
      </c>
      <c r="C2316" s="28">
        <v>2012</v>
      </c>
      <c r="D2316" s="28" t="s">
        <v>1</v>
      </c>
      <c r="E2316" s="28" t="s">
        <v>3</v>
      </c>
      <c r="F2316" s="28">
        <v>170614</v>
      </c>
    </row>
    <row r="2317" spans="1:6">
      <c r="A2317" s="28" t="s">
        <v>54</v>
      </c>
      <c r="B2317" s="28" t="s">
        <v>53</v>
      </c>
      <c r="C2317" s="28">
        <v>2013</v>
      </c>
      <c r="D2317" s="28" t="s">
        <v>1</v>
      </c>
      <c r="E2317" s="28" t="s">
        <v>3</v>
      </c>
      <c r="F2317" s="28">
        <v>169731</v>
      </c>
    </row>
    <row r="2318" spans="1:6">
      <c r="A2318" s="28" t="s">
        <v>54</v>
      </c>
      <c r="B2318" s="28" t="s">
        <v>53</v>
      </c>
      <c r="C2318" s="28">
        <v>2014</v>
      </c>
      <c r="D2318" s="28" t="s">
        <v>1</v>
      </c>
      <c r="E2318" s="28" t="s">
        <v>3</v>
      </c>
      <c r="F2318" s="28">
        <v>220362</v>
      </c>
    </row>
    <row r="2319" spans="1:6">
      <c r="A2319" s="28" t="s">
        <v>54</v>
      </c>
      <c r="B2319" s="28" t="s">
        <v>53</v>
      </c>
      <c r="C2319" s="28">
        <v>2015</v>
      </c>
      <c r="D2319" s="28" t="s">
        <v>1</v>
      </c>
      <c r="E2319" s="28" t="s">
        <v>3</v>
      </c>
      <c r="F2319" s="28">
        <v>227419</v>
      </c>
    </row>
    <row r="2320" spans="1:6">
      <c r="A2320" s="28" t="s">
        <v>54</v>
      </c>
      <c r="B2320" s="28" t="s">
        <v>53</v>
      </c>
      <c r="C2320" s="28">
        <v>2016</v>
      </c>
      <c r="D2320" s="28" t="s">
        <v>1</v>
      </c>
      <c r="E2320" s="28" t="s">
        <v>3</v>
      </c>
      <c r="F2320" s="28">
        <v>222534</v>
      </c>
    </row>
    <row r="2321" spans="1:6">
      <c r="A2321" s="28" t="s">
        <v>54</v>
      </c>
      <c r="B2321" s="28" t="s">
        <v>53</v>
      </c>
      <c r="C2321" s="28">
        <v>2017</v>
      </c>
      <c r="D2321" s="28" t="s">
        <v>1</v>
      </c>
      <c r="E2321" s="28" t="s">
        <v>3</v>
      </c>
      <c r="F2321" s="28">
        <v>292755</v>
      </c>
    </row>
    <row r="2322" spans="1:6">
      <c r="A2322" s="28" t="s">
        <v>54</v>
      </c>
      <c r="B2322" s="28" t="s">
        <v>53</v>
      </c>
      <c r="C2322" s="28">
        <v>2010</v>
      </c>
      <c r="D2322" s="28" t="s">
        <v>1</v>
      </c>
      <c r="E2322" s="28" t="s">
        <v>5</v>
      </c>
      <c r="F2322" s="28">
        <v>249090</v>
      </c>
    </row>
    <row r="2323" spans="1:6">
      <c r="A2323" s="28" t="s">
        <v>54</v>
      </c>
      <c r="B2323" s="28" t="s">
        <v>53</v>
      </c>
      <c r="C2323" s="28">
        <v>2011</v>
      </c>
      <c r="D2323" s="28" t="s">
        <v>1</v>
      </c>
      <c r="E2323" s="28" t="s">
        <v>5</v>
      </c>
      <c r="F2323" s="28">
        <v>531916</v>
      </c>
    </row>
    <row r="2324" spans="1:6">
      <c r="A2324" s="28" t="s">
        <v>54</v>
      </c>
      <c r="B2324" s="28" t="s">
        <v>53</v>
      </c>
      <c r="C2324" s="28">
        <v>2012</v>
      </c>
      <c r="D2324" s="28" t="s">
        <v>1</v>
      </c>
      <c r="E2324" s="28" t="s">
        <v>5</v>
      </c>
      <c r="F2324" s="28">
        <v>528583</v>
      </c>
    </row>
    <row r="2325" spans="1:6">
      <c r="A2325" s="28" t="s">
        <v>54</v>
      </c>
      <c r="B2325" s="28" t="s">
        <v>53</v>
      </c>
      <c r="C2325" s="28">
        <v>2013</v>
      </c>
      <c r="D2325" s="28" t="s">
        <v>1</v>
      </c>
      <c r="E2325" s="28" t="s">
        <v>5</v>
      </c>
      <c r="F2325" s="28">
        <v>512566</v>
      </c>
    </row>
    <row r="2326" spans="1:6">
      <c r="A2326" s="28" t="s">
        <v>54</v>
      </c>
      <c r="B2326" s="28" t="s">
        <v>53</v>
      </c>
      <c r="C2326" s="28">
        <v>2014</v>
      </c>
      <c r="D2326" s="28" t="s">
        <v>1</v>
      </c>
      <c r="E2326" s="28" t="s">
        <v>5</v>
      </c>
      <c r="F2326" s="28">
        <v>585498</v>
      </c>
    </row>
    <row r="2327" spans="1:6">
      <c r="A2327" s="28" t="s">
        <v>54</v>
      </c>
      <c r="B2327" s="28" t="s">
        <v>53</v>
      </c>
      <c r="C2327" s="28">
        <v>2015</v>
      </c>
      <c r="D2327" s="28" t="s">
        <v>1</v>
      </c>
      <c r="E2327" s="28" t="s">
        <v>5</v>
      </c>
      <c r="F2327" s="28">
        <v>569009</v>
      </c>
    </row>
    <row r="2328" spans="1:6">
      <c r="A2328" s="28" t="s">
        <v>54</v>
      </c>
      <c r="B2328" s="28" t="s">
        <v>53</v>
      </c>
      <c r="C2328" s="28">
        <v>2016</v>
      </c>
      <c r="D2328" s="28" t="s">
        <v>1</v>
      </c>
      <c r="E2328" s="28" t="s">
        <v>5</v>
      </c>
      <c r="F2328" s="28">
        <v>571594</v>
      </c>
    </row>
    <row r="2329" spans="1:6">
      <c r="A2329" s="28" t="s">
        <v>54</v>
      </c>
      <c r="B2329" s="28" t="s">
        <v>53</v>
      </c>
      <c r="C2329" s="28">
        <v>2017</v>
      </c>
      <c r="D2329" s="28" t="s">
        <v>1</v>
      </c>
      <c r="E2329" s="28" t="s">
        <v>5</v>
      </c>
      <c r="F2329" s="28">
        <v>625056</v>
      </c>
    </row>
    <row r="2330" spans="1:6">
      <c r="A2330" s="28" t="s">
        <v>54</v>
      </c>
      <c r="B2330" s="28" t="s">
        <v>53</v>
      </c>
      <c r="C2330" s="28">
        <v>2010</v>
      </c>
      <c r="D2330" s="28" t="s">
        <v>1</v>
      </c>
      <c r="E2330" s="28" t="s">
        <v>6</v>
      </c>
      <c r="F2330" s="28">
        <v>139139</v>
      </c>
    </row>
    <row r="2331" spans="1:6">
      <c r="A2331" s="28" t="s">
        <v>54</v>
      </c>
      <c r="B2331" s="28" t="s">
        <v>53</v>
      </c>
      <c r="C2331" s="28">
        <v>2011</v>
      </c>
      <c r="D2331" s="28" t="s">
        <v>1</v>
      </c>
      <c r="E2331" s="28" t="s">
        <v>6</v>
      </c>
      <c r="F2331" s="28">
        <v>390657</v>
      </c>
    </row>
    <row r="2332" spans="1:6">
      <c r="A2332" s="28" t="s">
        <v>54</v>
      </c>
      <c r="B2332" s="28" t="s">
        <v>53</v>
      </c>
      <c r="C2332" s="28">
        <v>2012</v>
      </c>
      <c r="D2332" s="28" t="s">
        <v>1</v>
      </c>
      <c r="E2332" s="28" t="s">
        <v>6</v>
      </c>
      <c r="F2332" s="28">
        <v>353189</v>
      </c>
    </row>
    <row r="2333" spans="1:6">
      <c r="A2333" s="28" t="s">
        <v>54</v>
      </c>
      <c r="B2333" s="28" t="s">
        <v>53</v>
      </c>
      <c r="C2333" s="28">
        <v>2013</v>
      </c>
      <c r="D2333" s="28" t="s">
        <v>1</v>
      </c>
      <c r="E2333" s="28" t="s">
        <v>6</v>
      </c>
      <c r="F2333" s="28">
        <v>334589</v>
      </c>
    </row>
    <row r="2334" spans="1:6">
      <c r="A2334" s="28" t="s">
        <v>54</v>
      </c>
      <c r="B2334" s="28" t="s">
        <v>53</v>
      </c>
      <c r="C2334" s="28">
        <v>2014</v>
      </c>
      <c r="D2334" s="28" t="s">
        <v>1</v>
      </c>
      <c r="E2334" s="28" t="s">
        <v>6</v>
      </c>
      <c r="F2334" s="28">
        <v>348249</v>
      </c>
    </row>
    <row r="2335" spans="1:6">
      <c r="A2335" s="28" t="s">
        <v>54</v>
      </c>
      <c r="B2335" s="28" t="s">
        <v>53</v>
      </c>
      <c r="C2335" s="28">
        <v>2015</v>
      </c>
      <c r="D2335" s="28" t="s">
        <v>1</v>
      </c>
      <c r="E2335" s="28" t="s">
        <v>6</v>
      </c>
      <c r="F2335" s="28">
        <v>366245</v>
      </c>
    </row>
    <row r="2336" spans="1:6">
      <c r="A2336" s="28" t="s">
        <v>54</v>
      </c>
      <c r="B2336" s="28" t="s">
        <v>53</v>
      </c>
      <c r="C2336" s="28">
        <v>2016</v>
      </c>
      <c r="D2336" s="28" t="s">
        <v>1</v>
      </c>
      <c r="E2336" s="28" t="s">
        <v>6</v>
      </c>
      <c r="F2336" s="28">
        <v>419226</v>
      </c>
    </row>
    <row r="2337" spans="1:6">
      <c r="A2337" s="28" t="s">
        <v>54</v>
      </c>
      <c r="B2337" s="28" t="s">
        <v>53</v>
      </c>
      <c r="C2337" s="28">
        <v>2017</v>
      </c>
      <c r="D2337" s="28" t="s">
        <v>1</v>
      </c>
      <c r="E2337" s="28" t="s">
        <v>6</v>
      </c>
      <c r="F2337" s="28">
        <v>459409</v>
      </c>
    </row>
    <row r="2338" spans="1:6">
      <c r="A2338" s="28" t="s">
        <v>54</v>
      </c>
      <c r="B2338" s="28" t="s">
        <v>53</v>
      </c>
      <c r="C2338" s="28">
        <v>2010</v>
      </c>
      <c r="D2338" s="28" t="s">
        <v>1</v>
      </c>
      <c r="E2338" s="28" t="s">
        <v>8</v>
      </c>
      <c r="F2338" s="28">
        <v>41170</v>
      </c>
    </row>
    <row r="2339" spans="1:6">
      <c r="A2339" s="28" t="s">
        <v>54</v>
      </c>
      <c r="B2339" s="28" t="s">
        <v>53</v>
      </c>
      <c r="C2339" s="28">
        <v>2011</v>
      </c>
      <c r="D2339" s="28" t="s">
        <v>1</v>
      </c>
      <c r="E2339" s="28" t="s">
        <v>8</v>
      </c>
      <c r="F2339" s="28">
        <v>75800</v>
      </c>
    </row>
    <row r="2340" spans="1:6">
      <c r="A2340" s="28" t="s">
        <v>54</v>
      </c>
      <c r="B2340" s="28" t="s">
        <v>53</v>
      </c>
      <c r="C2340" s="28">
        <v>2012</v>
      </c>
      <c r="D2340" s="28" t="s">
        <v>1</v>
      </c>
      <c r="E2340" s="28" t="s">
        <v>8</v>
      </c>
      <c r="F2340" s="28">
        <v>69420</v>
      </c>
    </row>
    <row r="2341" spans="1:6">
      <c r="A2341" s="28" t="s">
        <v>54</v>
      </c>
      <c r="B2341" s="28" t="s">
        <v>53</v>
      </c>
      <c r="C2341" s="28">
        <v>2013</v>
      </c>
      <c r="D2341" s="28" t="s">
        <v>1</v>
      </c>
      <c r="E2341" s="28" t="s">
        <v>8</v>
      </c>
      <c r="F2341" s="28">
        <v>62166</v>
      </c>
    </row>
    <row r="2342" spans="1:6">
      <c r="A2342" s="28" t="s">
        <v>54</v>
      </c>
      <c r="B2342" s="28" t="s">
        <v>53</v>
      </c>
      <c r="C2342" s="28">
        <v>2014</v>
      </c>
      <c r="D2342" s="28" t="s">
        <v>1</v>
      </c>
      <c r="E2342" s="28" t="s">
        <v>8</v>
      </c>
      <c r="F2342" s="28">
        <v>90667</v>
      </c>
    </row>
    <row r="2343" spans="1:6">
      <c r="A2343" s="28" t="s">
        <v>54</v>
      </c>
      <c r="B2343" s="28" t="s">
        <v>53</v>
      </c>
      <c r="C2343" s="28">
        <v>2015</v>
      </c>
      <c r="D2343" s="28" t="s">
        <v>1</v>
      </c>
      <c r="E2343" s="28" t="s">
        <v>8</v>
      </c>
      <c r="F2343" s="28">
        <v>61775</v>
      </c>
    </row>
    <row r="2344" spans="1:6">
      <c r="A2344" s="28" t="s">
        <v>54</v>
      </c>
      <c r="B2344" s="28" t="s">
        <v>53</v>
      </c>
      <c r="C2344" s="28">
        <v>2016</v>
      </c>
      <c r="D2344" s="28" t="s">
        <v>1</v>
      </c>
      <c r="E2344" s="28" t="s">
        <v>8</v>
      </c>
      <c r="F2344" s="28">
        <v>26824</v>
      </c>
    </row>
    <row r="2345" spans="1:6">
      <c r="A2345" s="28" t="s">
        <v>54</v>
      </c>
      <c r="B2345" s="28" t="s">
        <v>53</v>
      </c>
      <c r="C2345" s="28">
        <v>2017</v>
      </c>
      <c r="D2345" s="28" t="s">
        <v>1</v>
      </c>
      <c r="E2345" s="28" t="s">
        <v>8</v>
      </c>
      <c r="F2345" s="28">
        <v>23889</v>
      </c>
    </row>
    <row r="2346" spans="1:6">
      <c r="A2346" s="28" t="s">
        <v>54</v>
      </c>
      <c r="B2346" s="28" t="s">
        <v>53</v>
      </c>
      <c r="C2346" s="28">
        <v>2010</v>
      </c>
      <c r="D2346" s="28" t="s">
        <v>1</v>
      </c>
      <c r="E2346" s="28" t="s">
        <v>9</v>
      </c>
      <c r="F2346" s="28">
        <v>68781</v>
      </c>
    </row>
    <row r="2347" spans="1:6">
      <c r="A2347" s="28" t="s">
        <v>54</v>
      </c>
      <c r="B2347" s="28" t="s">
        <v>53</v>
      </c>
      <c r="C2347" s="28">
        <v>2011</v>
      </c>
      <c r="D2347" s="28" t="s">
        <v>1</v>
      </c>
      <c r="E2347" s="28" t="s">
        <v>9</v>
      </c>
      <c r="F2347" s="28">
        <v>65459</v>
      </c>
    </row>
    <row r="2348" spans="1:6">
      <c r="A2348" s="28" t="s">
        <v>54</v>
      </c>
      <c r="B2348" s="28" t="s">
        <v>53</v>
      </c>
      <c r="C2348" s="28">
        <v>2012</v>
      </c>
      <c r="D2348" s="28" t="s">
        <v>1</v>
      </c>
      <c r="E2348" s="28" t="s">
        <v>9</v>
      </c>
      <c r="F2348" s="28">
        <v>105974</v>
      </c>
    </row>
    <row r="2349" spans="1:6">
      <c r="A2349" s="28" t="s">
        <v>54</v>
      </c>
      <c r="B2349" s="28" t="s">
        <v>53</v>
      </c>
      <c r="C2349" s="28">
        <v>2013</v>
      </c>
      <c r="D2349" s="28" t="s">
        <v>1</v>
      </c>
      <c r="E2349" s="28" t="s">
        <v>9</v>
      </c>
      <c r="F2349" s="28">
        <v>115811</v>
      </c>
    </row>
    <row r="2350" spans="1:6">
      <c r="A2350" s="28" t="s">
        <v>54</v>
      </c>
      <c r="B2350" s="28" t="s">
        <v>53</v>
      </c>
      <c r="C2350" s="28">
        <v>2014</v>
      </c>
      <c r="D2350" s="28" t="s">
        <v>1</v>
      </c>
      <c r="E2350" s="28" t="s">
        <v>9</v>
      </c>
      <c r="F2350" s="28">
        <v>146582</v>
      </c>
    </row>
    <row r="2351" spans="1:6">
      <c r="A2351" s="28" t="s">
        <v>54</v>
      </c>
      <c r="B2351" s="28" t="s">
        <v>53</v>
      </c>
      <c r="C2351" s="28">
        <v>2015</v>
      </c>
      <c r="D2351" s="28" t="s">
        <v>1</v>
      </c>
      <c r="E2351" s="28" t="s">
        <v>9</v>
      </c>
      <c r="F2351" s="28">
        <v>140989</v>
      </c>
    </row>
    <row r="2352" spans="1:6">
      <c r="A2352" s="28" t="s">
        <v>54</v>
      </c>
      <c r="B2352" s="28" t="s">
        <v>53</v>
      </c>
      <c r="C2352" s="28">
        <v>2016</v>
      </c>
      <c r="D2352" s="28" t="s">
        <v>1</v>
      </c>
      <c r="E2352" s="28" t="s">
        <v>9</v>
      </c>
      <c r="F2352" s="28">
        <v>125544</v>
      </c>
    </row>
    <row r="2353" spans="1:6">
      <c r="A2353" s="28" t="s">
        <v>54</v>
      </c>
      <c r="B2353" s="28" t="s">
        <v>53</v>
      </c>
      <c r="C2353" s="28">
        <v>2017</v>
      </c>
      <c r="D2353" s="28" t="s">
        <v>1</v>
      </c>
      <c r="E2353" s="28" t="s">
        <v>9</v>
      </c>
      <c r="F2353" s="28">
        <v>141758</v>
      </c>
    </row>
    <row r="2354" spans="1:6">
      <c r="A2354" s="28" t="s">
        <v>54</v>
      </c>
      <c r="B2354" s="28" t="s">
        <v>53</v>
      </c>
      <c r="C2354" s="28">
        <v>2010</v>
      </c>
      <c r="D2354" s="28" t="s">
        <v>1</v>
      </c>
      <c r="E2354" s="28" t="s">
        <v>10</v>
      </c>
      <c r="F2354" s="28">
        <v>249090</v>
      </c>
    </row>
    <row r="2355" spans="1:6">
      <c r="A2355" s="28" t="s">
        <v>54</v>
      </c>
      <c r="B2355" s="28" t="s">
        <v>53</v>
      </c>
      <c r="C2355" s="28">
        <v>2011</v>
      </c>
      <c r="D2355" s="28" t="s">
        <v>1</v>
      </c>
      <c r="E2355" s="28" t="s">
        <v>10</v>
      </c>
      <c r="F2355" s="28">
        <v>531916</v>
      </c>
    </row>
    <row r="2356" spans="1:6">
      <c r="A2356" s="28" t="s">
        <v>54</v>
      </c>
      <c r="B2356" s="28" t="s">
        <v>53</v>
      </c>
      <c r="C2356" s="28">
        <v>2012</v>
      </c>
      <c r="D2356" s="28" t="s">
        <v>1</v>
      </c>
      <c r="E2356" s="28" t="s">
        <v>10</v>
      </c>
      <c r="F2356" s="28">
        <v>528583</v>
      </c>
    </row>
    <row r="2357" spans="1:6">
      <c r="A2357" s="28" t="s">
        <v>54</v>
      </c>
      <c r="B2357" s="28" t="s">
        <v>53</v>
      </c>
      <c r="C2357" s="28">
        <v>2013</v>
      </c>
      <c r="D2357" s="28" t="s">
        <v>1</v>
      </c>
      <c r="E2357" s="28" t="s">
        <v>10</v>
      </c>
      <c r="F2357" s="28">
        <v>512566</v>
      </c>
    </row>
    <row r="2358" spans="1:6">
      <c r="A2358" s="28" t="s">
        <v>54</v>
      </c>
      <c r="B2358" s="28" t="s">
        <v>53</v>
      </c>
      <c r="C2358" s="28">
        <v>2014</v>
      </c>
      <c r="D2358" s="28" t="s">
        <v>1</v>
      </c>
      <c r="E2358" s="28" t="s">
        <v>10</v>
      </c>
      <c r="F2358" s="28">
        <v>585498</v>
      </c>
    </row>
    <row r="2359" spans="1:6">
      <c r="A2359" s="28" t="s">
        <v>54</v>
      </c>
      <c r="B2359" s="28" t="s">
        <v>53</v>
      </c>
      <c r="C2359" s="28">
        <v>2015</v>
      </c>
      <c r="D2359" s="28" t="s">
        <v>1</v>
      </c>
      <c r="E2359" s="28" t="s">
        <v>10</v>
      </c>
      <c r="F2359" s="28">
        <v>569009</v>
      </c>
    </row>
    <row r="2360" spans="1:6">
      <c r="A2360" s="28" t="s">
        <v>54</v>
      </c>
      <c r="B2360" s="28" t="s">
        <v>53</v>
      </c>
      <c r="C2360" s="28">
        <v>2016</v>
      </c>
      <c r="D2360" s="28" t="s">
        <v>1</v>
      </c>
      <c r="E2360" s="28" t="s">
        <v>10</v>
      </c>
      <c r="F2360" s="28">
        <v>571594</v>
      </c>
    </row>
    <row r="2361" spans="1:6">
      <c r="A2361" s="28" t="s">
        <v>54</v>
      </c>
      <c r="B2361" s="28" t="s">
        <v>53</v>
      </c>
      <c r="C2361" s="28">
        <v>2017</v>
      </c>
      <c r="D2361" s="28" t="s">
        <v>1</v>
      </c>
      <c r="E2361" s="28" t="s">
        <v>10</v>
      </c>
      <c r="F2361" s="28">
        <v>625056</v>
      </c>
    </row>
    <row r="2362" spans="1:6">
      <c r="A2362" s="28" t="s">
        <v>54</v>
      </c>
      <c r="B2362" s="28" t="s">
        <v>53</v>
      </c>
      <c r="C2362" s="28">
        <v>2010</v>
      </c>
      <c r="D2362" s="28" t="s">
        <v>1</v>
      </c>
      <c r="E2362" s="28" t="s">
        <v>11</v>
      </c>
      <c r="F2362" s="28">
        <v>0.44141073507567502</v>
      </c>
    </row>
    <row r="2363" spans="1:6">
      <c r="A2363" s="28" t="s">
        <v>54</v>
      </c>
      <c r="B2363" s="28" t="s">
        <v>53</v>
      </c>
      <c r="C2363" s="28">
        <v>2011</v>
      </c>
      <c r="D2363" s="28" t="s">
        <v>1</v>
      </c>
      <c r="E2363" s="28" t="s">
        <v>11</v>
      </c>
      <c r="F2363" s="28">
        <v>0.26556636762195501</v>
      </c>
    </row>
    <row r="2364" spans="1:6">
      <c r="A2364" s="28" t="s">
        <v>54</v>
      </c>
      <c r="B2364" s="28" t="s">
        <v>53</v>
      </c>
      <c r="C2364" s="28">
        <v>2012</v>
      </c>
      <c r="D2364" s="28" t="s">
        <v>1</v>
      </c>
      <c r="E2364" s="28" t="s">
        <v>11</v>
      </c>
      <c r="F2364" s="28">
        <v>0.33181922233594302</v>
      </c>
    </row>
    <row r="2365" spans="1:6">
      <c r="A2365" s="28" t="s">
        <v>54</v>
      </c>
      <c r="B2365" s="28" t="s">
        <v>53</v>
      </c>
      <c r="C2365" s="28">
        <v>2013</v>
      </c>
      <c r="D2365" s="28" t="s">
        <v>1</v>
      </c>
      <c r="E2365" s="28" t="s">
        <v>11</v>
      </c>
      <c r="F2365" s="28">
        <v>0.34722747899782702</v>
      </c>
    </row>
    <row r="2366" spans="1:6">
      <c r="A2366" s="28" t="s">
        <v>54</v>
      </c>
      <c r="B2366" s="28" t="s">
        <v>53</v>
      </c>
      <c r="C2366" s="28">
        <v>2014</v>
      </c>
      <c r="D2366" s="28" t="s">
        <v>1</v>
      </c>
      <c r="E2366" s="28" t="s">
        <v>11</v>
      </c>
      <c r="F2366" s="28">
        <v>0.40520889909102997</v>
      </c>
    </row>
    <row r="2367" spans="1:6">
      <c r="A2367" s="28" t="s">
        <v>54</v>
      </c>
      <c r="B2367" s="28" t="s">
        <v>53</v>
      </c>
      <c r="C2367" s="28">
        <v>2015</v>
      </c>
      <c r="D2367" s="28" t="s">
        <v>1</v>
      </c>
      <c r="E2367" s="28" t="s">
        <v>11</v>
      </c>
      <c r="F2367" s="28">
        <v>0.35634585744689501</v>
      </c>
    </row>
    <row r="2368" spans="1:6">
      <c r="A2368" s="28" t="s">
        <v>54</v>
      </c>
      <c r="B2368" s="28" t="s">
        <v>53</v>
      </c>
      <c r="C2368" s="28">
        <v>2016</v>
      </c>
      <c r="D2368" s="28" t="s">
        <v>1</v>
      </c>
      <c r="E2368" s="28" t="s">
        <v>11</v>
      </c>
      <c r="F2368" s="28">
        <v>0.26656682890303302</v>
      </c>
    </row>
    <row r="2369" spans="1:6">
      <c r="A2369" s="28" t="s">
        <v>54</v>
      </c>
      <c r="B2369" s="28" t="s">
        <v>53</v>
      </c>
      <c r="C2369" s="28">
        <v>2017</v>
      </c>
      <c r="D2369" s="28" t="s">
        <v>1</v>
      </c>
      <c r="E2369" s="28" t="s">
        <v>11</v>
      </c>
      <c r="F2369" s="28">
        <v>0.26501145497363399</v>
      </c>
    </row>
    <row r="2370" spans="1:6">
      <c r="A2370" s="28" t="s">
        <v>54</v>
      </c>
      <c r="B2370" s="28" t="s">
        <v>53</v>
      </c>
      <c r="C2370" s="28">
        <v>2010</v>
      </c>
      <c r="D2370" s="28" t="s">
        <v>4</v>
      </c>
      <c r="E2370" s="28" t="s">
        <v>12</v>
      </c>
      <c r="F2370" s="28">
        <v>464386</v>
      </c>
    </row>
    <row r="2371" spans="1:6">
      <c r="A2371" s="28" t="s">
        <v>54</v>
      </c>
      <c r="B2371" s="28" t="s">
        <v>53</v>
      </c>
      <c r="C2371" s="28">
        <v>2011</v>
      </c>
      <c r="D2371" s="28" t="s">
        <v>4</v>
      </c>
      <c r="E2371" s="28" t="s">
        <v>12</v>
      </c>
      <c r="F2371" s="28">
        <v>536244</v>
      </c>
    </row>
    <row r="2372" spans="1:6">
      <c r="A2372" s="28" t="s">
        <v>54</v>
      </c>
      <c r="B2372" s="28" t="s">
        <v>53</v>
      </c>
      <c r="C2372" s="28">
        <v>2012</v>
      </c>
      <c r="D2372" s="28" t="s">
        <v>4</v>
      </c>
      <c r="E2372" s="28" t="s">
        <v>12</v>
      </c>
      <c r="F2372" s="28">
        <v>556189</v>
      </c>
    </row>
    <row r="2373" spans="1:6">
      <c r="A2373" s="28" t="s">
        <v>54</v>
      </c>
      <c r="B2373" s="28" t="s">
        <v>53</v>
      </c>
      <c r="C2373" s="28">
        <v>2013</v>
      </c>
      <c r="D2373" s="28" t="s">
        <v>4</v>
      </c>
      <c r="E2373" s="28" t="s">
        <v>12</v>
      </c>
      <c r="F2373" s="28">
        <v>662321</v>
      </c>
    </row>
    <row r="2374" spans="1:6">
      <c r="A2374" s="28" t="s">
        <v>54</v>
      </c>
      <c r="B2374" s="28" t="s">
        <v>53</v>
      </c>
      <c r="C2374" s="28">
        <v>2014</v>
      </c>
      <c r="D2374" s="28" t="s">
        <v>4</v>
      </c>
      <c r="E2374" s="28" t="s">
        <v>12</v>
      </c>
      <c r="F2374" s="28">
        <v>741101</v>
      </c>
    </row>
    <row r="2375" spans="1:6">
      <c r="A2375" s="28" t="s">
        <v>54</v>
      </c>
      <c r="B2375" s="28" t="s">
        <v>53</v>
      </c>
      <c r="C2375" s="28">
        <v>2015</v>
      </c>
      <c r="D2375" s="28" t="s">
        <v>4</v>
      </c>
      <c r="E2375" s="28" t="s">
        <v>12</v>
      </c>
      <c r="F2375" s="28">
        <v>831987</v>
      </c>
    </row>
    <row r="2376" spans="1:6">
      <c r="A2376" s="28" t="s">
        <v>54</v>
      </c>
      <c r="B2376" s="28" t="s">
        <v>53</v>
      </c>
      <c r="C2376" s="28">
        <v>2016</v>
      </c>
      <c r="D2376" s="28" t="s">
        <v>4</v>
      </c>
      <c r="E2376" s="28" t="s">
        <v>12</v>
      </c>
      <c r="F2376" s="28">
        <v>898182</v>
      </c>
    </row>
    <row r="2377" spans="1:6">
      <c r="A2377" s="28" t="s">
        <v>54</v>
      </c>
      <c r="B2377" s="28" t="s">
        <v>53</v>
      </c>
      <c r="C2377" s="28">
        <v>2017</v>
      </c>
      <c r="D2377" s="28" t="s">
        <v>4</v>
      </c>
      <c r="E2377" s="28" t="s">
        <v>12</v>
      </c>
      <c r="F2377" s="28">
        <v>917049</v>
      </c>
    </row>
    <row r="2378" spans="1:6">
      <c r="A2378" s="28" t="s">
        <v>54</v>
      </c>
      <c r="B2378" s="28" t="s">
        <v>53</v>
      </c>
      <c r="C2378" s="28">
        <v>2010</v>
      </c>
      <c r="D2378" s="28" t="s">
        <v>4</v>
      </c>
      <c r="E2378" s="28" t="s">
        <v>13</v>
      </c>
      <c r="F2378" s="28">
        <v>14561</v>
      </c>
    </row>
    <row r="2379" spans="1:6">
      <c r="A2379" s="28" t="s">
        <v>54</v>
      </c>
      <c r="B2379" s="28" t="s">
        <v>53</v>
      </c>
      <c r="C2379" s="28">
        <v>2011</v>
      </c>
      <c r="D2379" s="28" t="s">
        <v>4</v>
      </c>
      <c r="E2379" s="28" t="s">
        <v>13</v>
      </c>
      <c r="F2379" s="28">
        <v>36144</v>
      </c>
    </row>
    <row r="2380" spans="1:6">
      <c r="A2380" s="28" t="s">
        <v>54</v>
      </c>
      <c r="B2380" s="28" t="s">
        <v>53</v>
      </c>
      <c r="C2380" s="28">
        <v>2012</v>
      </c>
      <c r="D2380" s="28" t="s">
        <v>4</v>
      </c>
      <c r="E2380" s="28" t="s">
        <v>13</v>
      </c>
      <c r="F2380" s="28">
        <v>-22276</v>
      </c>
    </row>
    <row r="2381" spans="1:6">
      <c r="A2381" s="28" t="s">
        <v>54</v>
      </c>
      <c r="B2381" s="28" t="s">
        <v>53</v>
      </c>
      <c r="C2381" s="28">
        <v>2013</v>
      </c>
      <c r="D2381" s="28" t="s">
        <v>4</v>
      </c>
      <c r="E2381" s="28" t="s">
        <v>13</v>
      </c>
      <c r="F2381" s="28">
        <v>-23067</v>
      </c>
    </row>
    <row r="2382" spans="1:6">
      <c r="A2382" s="28" t="s">
        <v>54</v>
      </c>
      <c r="B2382" s="28" t="s">
        <v>53</v>
      </c>
      <c r="C2382" s="28">
        <v>2014</v>
      </c>
      <c r="D2382" s="28" t="s">
        <v>4</v>
      </c>
      <c r="E2382" s="28" t="s">
        <v>13</v>
      </c>
      <c r="F2382" s="28">
        <v>7837</v>
      </c>
    </row>
    <row r="2383" spans="1:6">
      <c r="A2383" s="28" t="s">
        <v>54</v>
      </c>
      <c r="B2383" s="28" t="s">
        <v>53</v>
      </c>
      <c r="C2383" s="28">
        <v>2015</v>
      </c>
      <c r="D2383" s="28" t="s">
        <v>4</v>
      </c>
      <c r="E2383" s="28" t="s">
        <v>13</v>
      </c>
      <c r="F2383" s="28">
        <v>22601</v>
      </c>
    </row>
    <row r="2384" spans="1:6">
      <c r="A2384" s="28" t="s">
        <v>54</v>
      </c>
      <c r="B2384" s="28" t="s">
        <v>53</v>
      </c>
      <c r="C2384" s="28">
        <v>2016</v>
      </c>
      <c r="D2384" s="28" t="s">
        <v>4</v>
      </c>
      <c r="E2384" s="28" t="s">
        <v>13</v>
      </c>
      <c r="F2384" s="28">
        <v>60761</v>
      </c>
    </row>
    <row r="2385" spans="1:6">
      <c r="A2385" s="28" t="s">
        <v>54</v>
      </c>
      <c r="B2385" s="28" t="s">
        <v>53</v>
      </c>
      <c r="C2385" s="28">
        <v>2017</v>
      </c>
      <c r="D2385" s="28" t="s">
        <v>4</v>
      </c>
      <c r="E2385" s="28" t="s">
        <v>13</v>
      </c>
      <c r="F2385" s="28">
        <v>53851</v>
      </c>
    </row>
    <row r="2386" spans="1:6">
      <c r="A2386" s="28" t="s">
        <v>54</v>
      </c>
      <c r="B2386" s="28" t="s">
        <v>53</v>
      </c>
      <c r="C2386" s="28">
        <v>2010</v>
      </c>
      <c r="D2386" s="28" t="s">
        <v>4</v>
      </c>
      <c r="E2386" s="28" t="s">
        <v>14</v>
      </c>
      <c r="F2386" s="28">
        <v>15237.310881355999</v>
      </c>
    </row>
    <row r="2387" spans="1:6">
      <c r="A2387" s="28" t="s">
        <v>54</v>
      </c>
      <c r="B2387" s="28" t="s">
        <v>53</v>
      </c>
      <c r="C2387" s="28">
        <v>2011</v>
      </c>
      <c r="D2387" s="28" t="s">
        <v>4</v>
      </c>
      <c r="E2387" s="28" t="s">
        <v>14</v>
      </c>
      <c r="F2387" s="28">
        <v>16655.557660710499</v>
      </c>
    </row>
    <row r="2388" spans="1:6">
      <c r="A2388" s="28" t="s">
        <v>54</v>
      </c>
      <c r="B2388" s="28" t="s">
        <v>53</v>
      </c>
      <c r="C2388" s="28">
        <v>2012</v>
      </c>
      <c r="D2388" s="28" t="s">
        <v>4</v>
      </c>
      <c r="E2388" s="28" t="s">
        <v>14</v>
      </c>
      <c r="F2388" s="28">
        <v>18312.135569113099</v>
      </c>
    </row>
    <row r="2389" spans="1:6">
      <c r="A2389" s="28" t="s">
        <v>54</v>
      </c>
      <c r="B2389" s="28" t="s">
        <v>53</v>
      </c>
      <c r="C2389" s="28">
        <v>2013</v>
      </c>
      <c r="D2389" s="28" t="s">
        <v>4</v>
      </c>
      <c r="E2389" s="28" t="s">
        <v>14</v>
      </c>
      <c r="F2389" s="28">
        <v>20236.3944123291</v>
      </c>
    </row>
    <row r="2390" spans="1:6">
      <c r="A2390" s="28" t="s">
        <v>54</v>
      </c>
      <c r="B2390" s="28" t="s">
        <v>53</v>
      </c>
      <c r="C2390" s="28">
        <v>2014</v>
      </c>
      <c r="D2390" s="28" t="s">
        <v>4</v>
      </c>
      <c r="E2390" s="28" t="s">
        <v>14</v>
      </c>
      <c r="F2390" s="28">
        <v>13173.1616967422</v>
      </c>
    </row>
    <row r="2391" spans="1:6">
      <c r="A2391" s="28" t="s">
        <v>54</v>
      </c>
      <c r="B2391" s="28" t="s">
        <v>53</v>
      </c>
      <c r="C2391" s="28">
        <v>2015</v>
      </c>
      <c r="D2391" s="28" t="s">
        <v>4</v>
      </c>
      <c r="E2391" s="28" t="s">
        <v>14</v>
      </c>
      <c r="F2391" s="28">
        <v>11415.4250597192</v>
      </c>
    </row>
    <row r="2392" spans="1:6">
      <c r="A2392" s="28" t="s">
        <v>54</v>
      </c>
      <c r="B2392" s="28" t="s">
        <v>53</v>
      </c>
      <c r="C2392" s="28">
        <v>2016</v>
      </c>
      <c r="D2392" s="28" t="s">
        <v>4</v>
      </c>
      <c r="E2392" s="28" t="s">
        <v>14</v>
      </c>
      <c r="F2392" s="28">
        <v>14807.581660124401</v>
      </c>
    </row>
    <row r="2393" spans="1:6">
      <c r="A2393" s="28" t="s">
        <v>54</v>
      </c>
      <c r="B2393" s="28" t="s">
        <v>53</v>
      </c>
      <c r="C2393" s="28">
        <v>2017</v>
      </c>
      <c r="D2393" s="28" t="s">
        <v>4</v>
      </c>
      <c r="E2393" s="28" t="s">
        <v>14</v>
      </c>
      <c r="F2393" s="28">
        <v>15920.9343023115</v>
      </c>
    </row>
    <row r="2394" spans="1:6">
      <c r="A2394" s="28" t="s">
        <v>54</v>
      </c>
      <c r="B2394" s="28" t="s">
        <v>53</v>
      </c>
      <c r="C2394" s="28">
        <v>2010</v>
      </c>
      <c r="D2394" s="28" t="s">
        <v>4</v>
      </c>
      <c r="E2394" s="28" t="s">
        <v>15</v>
      </c>
      <c r="F2394" s="28">
        <v>477.771689377857</v>
      </c>
    </row>
    <row r="2395" spans="1:6">
      <c r="A2395" s="28" t="s">
        <v>54</v>
      </c>
      <c r="B2395" s="28" t="s">
        <v>53</v>
      </c>
      <c r="C2395" s="28">
        <v>2011</v>
      </c>
      <c r="D2395" s="28" t="s">
        <v>4</v>
      </c>
      <c r="E2395" s="28" t="s">
        <v>15</v>
      </c>
      <c r="F2395" s="28">
        <v>1122.6204416062801</v>
      </c>
    </row>
    <row r="2396" spans="1:6">
      <c r="A2396" s="28" t="s">
        <v>54</v>
      </c>
      <c r="B2396" s="28" t="s">
        <v>53</v>
      </c>
      <c r="C2396" s="28">
        <v>2012</v>
      </c>
      <c r="D2396" s="28" t="s">
        <v>4</v>
      </c>
      <c r="E2396" s="28" t="s">
        <v>15</v>
      </c>
      <c r="F2396" s="28">
        <v>-733.42178996269695</v>
      </c>
    </row>
    <row r="2397" spans="1:6">
      <c r="A2397" s="28" t="s">
        <v>54</v>
      </c>
      <c r="B2397" s="28" t="s">
        <v>53</v>
      </c>
      <c r="C2397" s="28">
        <v>2013</v>
      </c>
      <c r="D2397" s="28" t="s">
        <v>4</v>
      </c>
      <c r="E2397" s="28" t="s">
        <v>15</v>
      </c>
      <c r="F2397" s="28">
        <v>-704.783496083008</v>
      </c>
    </row>
    <row r="2398" spans="1:6">
      <c r="A2398" s="28" t="s">
        <v>54</v>
      </c>
      <c r="B2398" s="28" t="s">
        <v>53</v>
      </c>
      <c r="C2398" s="28">
        <v>2014</v>
      </c>
      <c r="D2398" s="28" t="s">
        <v>4</v>
      </c>
      <c r="E2398" s="28" t="s">
        <v>15</v>
      </c>
      <c r="F2398" s="28">
        <v>139.303641767274</v>
      </c>
    </row>
    <row r="2399" spans="1:6">
      <c r="A2399" s="28" t="s">
        <v>54</v>
      </c>
      <c r="B2399" s="28" t="s">
        <v>53</v>
      </c>
      <c r="C2399" s="28">
        <v>2015</v>
      </c>
      <c r="D2399" s="28" t="s">
        <v>4</v>
      </c>
      <c r="E2399" s="28" t="s">
        <v>15</v>
      </c>
      <c r="F2399" s="28">
        <v>310.101025346207</v>
      </c>
    </row>
    <row r="2400" spans="1:6">
      <c r="A2400" s="28" t="s">
        <v>54</v>
      </c>
      <c r="B2400" s="28" t="s">
        <v>53</v>
      </c>
      <c r="C2400" s="28">
        <v>2016</v>
      </c>
      <c r="D2400" s="28" t="s">
        <v>4</v>
      </c>
      <c r="E2400" s="28" t="s">
        <v>15</v>
      </c>
      <c r="F2400" s="28">
        <v>1001.71621035694</v>
      </c>
    </row>
    <row r="2401" spans="1:6">
      <c r="A2401" s="28" t="s">
        <v>54</v>
      </c>
      <c r="B2401" s="28" t="s">
        <v>53</v>
      </c>
      <c r="C2401" s="28">
        <v>2017</v>
      </c>
      <c r="D2401" s="28" t="s">
        <v>4</v>
      </c>
      <c r="E2401" s="28" t="s">
        <v>15</v>
      </c>
      <c r="F2401" s="28">
        <v>934.90994822934601</v>
      </c>
    </row>
    <row r="2402" spans="1:6">
      <c r="A2402" s="28" t="s">
        <v>54</v>
      </c>
      <c r="B2402" s="28" t="s">
        <v>53</v>
      </c>
      <c r="C2402" s="28">
        <v>2010</v>
      </c>
      <c r="D2402" s="28" t="s">
        <v>7</v>
      </c>
      <c r="E2402" s="28" t="s">
        <v>16</v>
      </c>
      <c r="F2402" s="28">
        <v>27341</v>
      </c>
    </row>
    <row r="2403" spans="1:6">
      <c r="A2403" s="28" t="s">
        <v>54</v>
      </c>
      <c r="B2403" s="28" t="s">
        <v>53</v>
      </c>
      <c r="C2403" s="28">
        <v>2011</v>
      </c>
      <c r="D2403" s="28" t="s">
        <v>7</v>
      </c>
      <c r="E2403" s="28" t="s">
        <v>16</v>
      </c>
      <c r="F2403" s="28">
        <v>28938</v>
      </c>
    </row>
    <row r="2404" spans="1:6">
      <c r="A2404" s="28" t="s">
        <v>54</v>
      </c>
      <c r="B2404" s="28" t="s">
        <v>53</v>
      </c>
      <c r="C2404" s="28">
        <v>2012</v>
      </c>
      <c r="D2404" s="28" t="s">
        <v>7</v>
      </c>
      <c r="E2404" s="28" t="s">
        <v>16</v>
      </c>
      <c r="F2404" s="28">
        <v>17569</v>
      </c>
    </row>
    <row r="2405" spans="1:6">
      <c r="A2405" s="28" t="s">
        <v>54</v>
      </c>
      <c r="B2405" s="28" t="s">
        <v>53</v>
      </c>
      <c r="C2405" s="28">
        <v>2013</v>
      </c>
      <c r="D2405" s="28" t="s">
        <v>7</v>
      </c>
      <c r="E2405" s="28" t="s">
        <v>16</v>
      </c>
      <c r="F2405" s="28">
        <v>34260</v>
      </c>
    </row>
    <row r="2406" spans="1:6">
      <c r="A2406" s="28" t="s">
        <v>54</v>
      </c>
      <c r="B2406" s="28" t="s">
        <v>53</v>
      </c>
      <c r="C2406" s="28">
        <v>2014</v>
      </c>
      <c r="D2406" s="28" t="s">
        <v>7</v>
      </c>
      <c r="E2406" s="28" t="s">
        <v>16</v>
      </c>
      <c r="F2406" s="28">
        <v>51559</v>
      </c>
    </row>
    <row r="2407" spans="1:6">
      <c r="A2407" s="28" t="s">
        <v>54</v>
      </c>
      <c r="B2407" s="28" t="s">
        <v>53</v>
      </c>
      <c r="C2407" s="28">
        <v>2015</v>
      </c>
      <c r="D2407" s="28" t="s">
        <v>7</v>
      </c>
      <c r="E2407" s="28" t="s">
        <v>16</v>
      </c>
      <c r="F2407" s="28">
        <v>63305</v>
      </c>
    </row>
    <row r="2408" spans="1:6">
      <c r="A2408" s="28" t="s">
        <v>54</v>
      </c>
      <c r="B2408" s="28" t="s">
        <v>53</v>
      </c>
      <c r="C2408" s="28">
        <v>2016</v>
      </c>
      <c r="D2408" s="28" t="s">
        <v>7</v>
      </c>
      <c r="E2408" s="28" t="s">
        <v>16</v>
      </c>
      <c r="F2408" s="28">
        <v>80421</v>
      </c>
    </row>
    <row r="2409" spans="1:6">
      <c r="A2409" s="28" t="s">
        <v>54</v>
      </c>
      <c r="B2409" s="28" t="s">
        <v>53</v>
      </c>
      <c r="C2409" s="28">
        <v>2017</v>
      </c>
      <c r="D2409" s="28" t="s">
        <v>7</v>
      </c>
      <c r="E2409" s="28" t="s">
        <v>16</v>
      </c>
      <c r="F2409" s="28">
        <v>83873</v>
      </c>
    </row>
    <row r="2410" spans="1:6">
      <c r="A2410" s="28" t="s">
        <v>54</v>
      </c>
      <c r="B2410" s="28" t="s">
        <v>53</v>
      </c>
      <c r="C2410" s="28">
        <v>2010</v>
      </c>
      <c r="D2410" s="28" t="s">
        <v>7</v>
      </c>
      <c r="E2410" s="28" t="s">
        <v>17</v>
      </c>
      <c r="F2410" s="28">
        <v>897.10567675846301</v>
      </c>
    </row>
    <row r="2411" spans="1:6">
      <c r="A2411" s="28" t="s">
        <v>54</v>
      </c>
      <c r="B2411" s="28" t="s">
        <v>53</v>
      </c>
      <c r="C2411" s="28">
        <v>2011</v>
      </c>
      <c r="D2411" s="28" t="s">
        <v>7</v>
      </c>
      <c r="E2411" s="28" t="s">
        <v>17</v>
      </c>
      <c r="F2411" s="28">
        <v>898.80451359015501</v>
      </c>
    </row>
    <row r="2412" spans="1:6">
      <c r="A2412" s="28" t="s">
        <v>54</v>
      </c>
      <c r="B2412" s="28" t="s">
        <v>53</v>
      </c>
      <c r="C2412" s="28">
        <v>2012</v>
      </c>
      <c r="D2412" s="28" t="s">
        <v>7</v>
      </c>
      <c r="E2412" s="28" t="s">
        <v>17</v>
      </c>
      <c r="F2412" s="28">
        <v>578.44709229011596</v>
      </c>
    </row>
    <row r="2413" spans="1:6">
      <c r="A2413" s="28" t="s">
        <v>54</v>
      </c>
      <c r="B2413" s="28" t="s">
        <v>53</v>
      </c>
      <c r="C2413" s="28">
        <v>2013</v>
      </c>
      <c r="D2413" s="28" t="s">
        <v>7</v>
      </c>
      <c r="E2413" s="28" t="s">
        <v>17</v>
      </c>
      <c r="F2413" s="28">
        <v>1046.77169011158</v>
      </c>
    </row>
    <row r="2414" spans="1:6">
      <c r="A2414" s="28" t="s">
        <v>54</v>
      </c>
      <c r="B2414" s="28" t="s">
        <v>53</v>
      </c>
      <c r="C2414" s="28">
        <v>2014</v>
      </c>
      <c r="D2414" s="28" t="s">
        <v>7</v>
      </c>
      <c r="E2414" s="28" t="s">
        <v>17</v>
      </c>
      <c r="F2414" s="28">
        <v>916.46758528504199</v>
      </c>
    </row>
    <row r="2415" spans="1:6">
      <c r="A2415" s="28" t="s">
        <v>54</v>
      </c>
      <c r="B2415" s="28" t="s">
        <v>53</v>
      </c>
      <c r="C2415" s="28">
        <v>2015</v>
      </c>
      <c r="D2415" s="28" t="s">
        <v>7</v>
      </c>
      <c r="E2415" s="28" t="s">
        <v>17</v>
      </c>
      <c r="F2415" s="28">
        <v>868.58747000316998</v>
      </c>
    </row>
    <row r="2416" spans="1:6">
      <c r="A2416" s="28" t="s">
        <v>54</v>
      </c>
      <c r="B2416" s="28" t="s">
        <v>53</v>
      </c>
      <c r="C2416" s="28">
        <v>2016</v>
      </c>
      <c r="D2416" s="28" t="s">
        <v>7</v>
      </c>
      <c r="E2416" s="28" t="s">
        <v>17</v>
      </c>
      <c r="F2416" s="28">
        <v>1325.83432387742</v>
      </c>
    </row>
    <row r="2417" spans="1:6">
      <c r="A2417" s="28" t="s">
        <v>54</v>
      </c>
      <c r="B2417" s="28" t="s">
        <v>53</v>
      </c>
      <c r="C2417" s="28">
        <v>2017</v>
      </c>
      <c r="D2417" s="28" t="s">
        <v>7</v>
      </c>
      <c r="E2417" s="28" t="s">
        <v>17</v>
      </c>
      <c r="F2417" s="28">
        <v>1456.12341623814</v>
      </c>
    </row>
    <row r="2418" spans="1:6">
      <c r="A2418" s="28" t="s">
        <v>54</v>
      </c>
      <c r="B2418" s="28" t="s">
        <v>53</v>
      </c>
      <c r="C2418" s="28">
        <v>2010</v>
      </c>
      <c r="D2418" s="28" t="s">
        <v>20</v>
      </c>
      <c r="E2418" s="28" t="s">
        <v>18</v>
      </c>
      <c r="F2418" s="28">
        <v>34722.264381189998</v>
      </c>
    </row>
    <row r="2419" spans="1:6">
      <c r="A2419" s="28" t="s">
        <v>54</v>
      </c>
      <c r="B2419" s="28" t="s">
        <v>53</v>
      </c>
      <c r="C2419" s="28">
        <v>2011</v>
      </c>
      <c r="D2419" s="28" t="s">
        <v>20</v>
      </c>
      <c r="E2419" s="28" t="s">
        <v>18</v>
      </c>
      <c r="F2419" s="28">
        <v>73367.208762519993</v>
      </c>
    </row>
    <row r="2420" spans="1:6">
      <c r="A2420" s="28" t="s">
        <v>54</v>
      </c>
      <c r="B2420" s="28" t="s">
        <v>53</v>
      </c>
      <c r="C2420" s="28">
        <v>2012</v>
      </c>
      <c r="D2420" s="28" t="s">
        <v>20</v>
      </c>
      <c r="E2420" s="28" t="s">
        <v>18</v>
      </c>
      <c r="F2420" s="28">
        <v>86892.149970789993</v>
      </c>
    </row>
    <row r="2421" spans="1:6">
      <c r="A2421" s="28" t="s">
        <v>54</v>
      </c>
      <c r="B2421" s="28" t="s">
        <v>53</v>
      </c>
      <c r="C2421" s="28">
        <v>2013</v>
      </c>
      <c r="D2421" s="28" t="s">
        <v>20</v>
      </c>
      <c r="E2421" s="28" t="s">
        <v>18</v>
      </c>
      <c r="F2421" s="28">
        <v>86892.46938034</v>
      </c>
    </row>
    <row r="2422" spans="1:6">
      <c r="A2422" s="28" t="s">
        <v>54</v>
      </c>
      <c r="B2422" s="28" t="s">
        <v>53</v>
      </c>
      <c r="C2422" s="28">
        <v>2014</v>
      </c>
      <c r="D2422" s="28" t="s">
        <v>20</v>
      </c>
      <c r="E2422" s="28" t="s">
        <v>18</v>
      </c>
      <c r="F2422" s="28">
        <v>88751.976702999993</v>
      </c>
    </row>
    <row r="2423" spans="1:6">
      <c r="A2423" s="28" t="s">
        <v>54</v>
      </c>
      <c r="B2423" s="28" t="s">
        <v>53</v>
      </c>
      <c r="C2423" s="28">
        <v>2015</v>
      </c>
      <c r="D2423" s="28" t="s">
        <v>20</v>
      </c>
      <c r="E2423" s="28" t="s">
        <v>18</v>
      </c>
      <c r="F2423" s="28">
        <v>84395.930999999997</v>
      </c>
    </row>
    <row r="2424" spans="1:6">
      <c r="A2424" s="28" t="s">
        <v>54</v>
      </c>
      <c r="B2424" s="28" t="s">
        <v>53</v>
      </c>
      <c r="C2424" s="28">
        <v>2016</v>
      </c>
      <c r="D2424" s="28" t="s">
        <v>20</v>
      </c>
      <c r="E2424" s="28" t="s">
        <v>18</v>
      </c>
      <c r="F2424" s="28">
        <v>83672.354999999996</v>
      </c>
    </row>
    <row r="2425" spans="1:6">
      <c r="A2425" s="28" t="s">
        <v>54</v>
      </c>
      <c r="B2425" s="28" t="s">
        <v>53</v>
      </c>
      <c r="C2425" s="28">
        <v>2017</v>
      </c>
      <c r="D2425" s="28" t="s">
        <v>20</v>
      </c>
      <c r="E2425" s="28" t="s">
        <v>18</v>
      </c>
      <c r="F2425" s="28">
        <v>83477.683000000005</v>
      </c>
    </row>
    <row r="2426" spans="1:6">
      <c r="A2426" s="28" t="s">
        <v>54</v>
      </c>
      <c r="B2426" s="28" t="s">
        <v>53</v>
      </c>
      <c r="C2426" s="28">
        <v>2010</v>
      </c>
      <c r="D2426" s="28" t="s">
        <v>20</v>
      </c>
      <c r="E2426" s="28" t="s">
        <v>19</v>
      </c>
      <c r="F2426" s="28">
        <v>4.8099999999999996</v>
      </c>
    </row>
    <row r="2427" spans="1:6">
      <c r="A2427" s="28" t="s">
        <v>54</v>
      </c>
      <c r="B2427" s="28" t="s">
        <v>53</v>
      </c>
      <c r="C2427" s="28">
        <v>2011</v>
      </c>
      <c r="D2427" s="28" t="s">
        <v>20</v>
      </c>
      <c r="E2427" s="28" t="s">
        <v>19</v>
      </c>
      <c r="F2427" s="28">
        <v>3.4790000000000001</v>
      </c>
    </row>
    <row r="2428" spans="1:6">
      <c r="A2428" s="28" t="s">
        <v>54</v>
      </c>
      <c r="B2428" s="28" t="s">
        <v>53</v>
      </c>
      <c r="C2428" s="28">
        <v>2012</v>
      </c>
      <c r="D2428" s="28" t="s">
        <v>20</v>
      </c>
      <c r="E2428" s="28" t="s">
        <v>19</v>
      </c>
      <c r="F2428" s="28">
        <v>2.4830000000000001</v>
      </c>
    </row>
    <row r="2429" spans="1:6">
      <c r="A2429" s="28" t="s">
        <v>54</v>
      </c>
      <c r="B2429" s="28" t="s">
        <v>53</v>
      </c>
      <c r="C2429" s="28">
        <v>2013</v>
      </c>
      <c r="D2429" s="28" t="s">
        <v>20</v>
      </c>
      <c r="E2429" s="28" t="s">
        <v>19</v>
      </c>
      <c r="F2429" s="28">
        <v>1</v>
      </c>
    </row>
    <row r="2430" spans="1:6">
      <c r="A2430" s="28" t="s">
        <v>54</v>
      </c>
      <c r="B2430" s="28" t="s">
        <v>53</v>
      </c>
      <c r="C2430" s="28">
        <v>2014</v>
      </c>
      <c r="D2430" s="28" t="s">
        <v>20</v>
      </c>
      <c r="E2430" s="28" t="s">
        <v>19</v>
      </c>
      <c r="F2430" s="28">
        <v>0.71199999999999997</v>
      </c>
    </row>
    <row r="2431" spans="1:6">
      <c r="A2431" s="28" t="s">
        <v>54</v>
      </c>
      <c r="B2431" s="28" t="s">
        <v>53</v>
      </c>
      <c r="C2431" s="28">
        <v>2015</v>
      </c>
      <c r="D2431" s="28" t="s">
        <v>20</v>
      </c>
      <c r="E2431" s="28" t="s">
        <v>19</v>
      </c>
      <c r="F2431" s="28">
        <v>1.1060000000000001</v>
      </c>
    </row>
    <row r="2432" spans="1:6">
      <c r="A2432" s="28" t="s">
        <v>54</v>
      </c>
      <c r="B2432" s="28" t="s">
        <v>53</v>
      </c>
      <c r="C2432" s="28">
        <v>2016</v>
      </c>
      <c r="D2432" s="28" t="s">
        <v>20</v>
      </c>
      <c r="E2432" s="28" t="s">
        <v>19</v>
      </c>
      <c r="F2432" s="28">
        <v>3.8439999999999999</v>
      </c>
    </row>
    <row r="2433" spans="1:6">
      <c r="A2433" s="28" t="s">
        <v>54</v>
      </c>
      <c r="B2433" s="28" t="s">
        <v>53</v>
      </c>
      <c r="C2433" s="28">
        <v>2017</v>
      </c>
      <c r="D2433" s="28" t="s">
        <v>20</v>
      </c>
      <c r="E2433" s="28" t="s">
        <v>19</v>
      </c>
      <c r="F2433" s="28">
        <v>3.4</v>
      </c>
    </row>
    <row r="2434" spans="1:6">
      <c r="A2434" s="28" t="s">
        <v>55</v>
      </c>
      <c r="B2434" s="28" t="s">
        <v>53</v>
      </c>
      <c r="C2434" s="28">
        <v>2010</v>
      </c>
      <c r="D2434" s="28" t="s">
        <v>1</v>
      </c>
      <c r="E2434" s="28" t="s">
        <v>2</v>
      </c>
      <c r="F2434" s="28">
        <v>100416.58100000001</v>
      </c>
    </row>
    <row r="2435" spans="1:6">
      <c r="A2435" s="28" t="s">
        <v>55</v>
      </c>
      <c r="B2435" s="28" t="s">
        <v>53</v>
      </c>
      <c r="C2435" s="28">
        <v>2011</v>
      </c>
      <c r="D2435" s="28" t="s">
        <v>1</v>
      </c>
      <c r="E2435" s="28" t="s">
        <v>2</v>
      </c>
      <c r="F2435" s="28">
        <v>121939.965</v>
      </c>
    </row>
    <row r="2436" spans="1:6">
      <c r="A2436" s="28" t="s">
        <v>55</v>
      </c>
      <c r="B2436" s="28" t="s">
        <v>53</v>
      </c>
      <c r="C2436" s="28">
        <v>2012</v>
      </c>
      <c r="D2436" s="28" t="s">
        <v>1</v>
      </c>
      <c r="E2436" s="28" t="s">
        <v>2</v>
      </c>
      <c r="F2436" s="28">
        <v>130646.65700000001</v>
      </c>
    </row>
    <row r="2437" spans="1:6">
      <c r="A2437" s="28" t="s">
        <v>55</v>
      </c>
      <c r="B2437" s="28" t="s">
        <v>53</v>
      </c>
      <c r="C2437" s="28">
        <v>2013</v>
      </c>
      <c r="D2437" s="28" t="s">
        <v>1</v>
      </c>
      <c r="E2437" s="28" t="s">
        <v>2</v>
      </c>
      <c r="F2437" s="28">
        <v>131739.49900000001</v>
      </c>
    </row>
    <row r="2438" spans="1:6">
      <c r="A2438" s="28" t="s">
        <v>55</v>
      </c>
      <c r="B2438" s="28" t="s">
        <v>53</v>
      </c>
      <c r="C2438" s="28">
        <v>2014</v>
      </c>
      <c r="D2438" s="28" t="s">
        <v>1</v>
      </c>
      <c r="E2438" s="28" t="s">
        <v>2</v>
      </c>
      <c r="F2438" s="28">
        <v>130170.484</v>
      </c>
    </row>
    <row r="2439" spans="1:6">
      <c r="A2439" s="28" t="s">
        <v>55</v>
      </c>
      <c r="B2439" s="28" t="s">
        <v>53</v>
      </c>
      <c r="C2439" s="28">
        <v>2015</v>
      </c>
      <c r="D2439" s="28" t="s">
        <v>1</v>
      </c>
      <c r="E2439" s="28" t="s">
        <v>2</v>
      </c>
      <c r="F2439" s="28">
        <v>135022.40599999999</v>
      </c>
    </row>
    <row r="2440" spans="1:6">
      <c r="A2440" s="28" t="s">
        <v>55</v>
      </c>
      <c r="B2440" s="28" t="s">
        <v>53</v>
      </c>
      <c r="C2440" s="28">
        <v>2016</v>
      </c>
      <c r="D2440" s="28" t="s">
        <v>1</v>
      </c>
      <c r="E2440" s="28" t="s">
        <v>2</v>
      </c>
      <c r="F2440" s="28">
        <v>135449.68599999999</v>
      </c>
    </row>
    <row r="2441" spans="1:6">
      <c r="A2441" s="28" t="s">
        <v>55</v>
      </c>
      <c r="B2441" s="28" t="s">
        <v>53</v>
      </c>
      <c r="C2441" s="28">
        <v>2017</v>
      </c>
      <c r="D2441" s="28" t="s">
        <v>1</v>
      </c>
      <c r="E2441" s="28" t="s">
        <v>2</v>
      </c>
      <c r="F2441" s="28">
        <v>136845.19399999999</v>
      </c>
    </row>
    <row r="2442" spans="1:6">
      <c r="A2442" s="28" t="s">
        <v>55</v>
      </c>
      <c r="B2442" s="28" t="s">
        <v>53</v>
      </c>
      <c r="C2442" s="28">
        <v>2010</v>
      </c>
      <c r="D2442" s="28" t="s">
        <v>1</v>
      </c>
      <c r="E2442" s="28" t="s">
        <v>3</v>
      </c>
      <c r="F2442" s="28">
        <v>12948.246999999999</v>
      </c>
    </row>
    <row r="2443" spans="1:6">
      <c r="A2443" s="28" t="s">
        <v>55</v>
      </c>
      <c r="B2443" s="28" t="s">
        <v>53</v>
      </c>
      <c r="C2443" s="28">
        <v>2011</v>
      </c>
      <c r="D2443" s="28" t="s">
        <v>1</v>
      </c>
      <c r="E2443" s="28" t="s">
        <v>3</v>
      </c>
      <c r="F2443" s="28">
        <v>16002.17</v>
      </c>
    </row>
    <row r="2444" spans="1:6">
      <c r="A2444" s="28" t="s">
        <v>55</v>
      </c>
      <c r="B2444" s="28" t="s">
        <v>53</v>
      </c>
      <c r="C2444" s="28">
        <v>2012</v>
      </c>
      <c r="D2444" s="28" t="s">
        <v>1</v>
      </c>
      <c r="E2444" s="28" t="s">
        <v>3</v>
      </c>
      <c r="F2444" s="28">
        <v>17289.228999999999</v>
      </c>
    </row>
    <row r="2445" spans="1:6">
      <c r="A2445" s="28" t="s">
        <v>55</v>
      </c>
      <c r="B2445" s="28" t="s">
        <v>53</v>
      </c>
      <c r="C2445" s="28">
        <v>2013</v>
      </c>
      <c r="D2445" s="28" t="s">
        <v>1</v>
      </c>
      <c r="E2445" s="28" t="s">
        <v>3</v>
      </c>
      <c r="F2445" s="28">
        <v>18862.269</v>
      </c>
    </row>
    <row r="2446" spans="1:6">
      <c r="A2446" s="28" t="s">
        <v>55</v>
      </c>
      <c r="B2446" s="28" t="s">
        <v>53</v>
      </c>
      <c r="C2446" s="28">
        <v>2014</v>
      </c>
      <c r="D2446" s="28" t="s">
        <v>1</v>
      </c>
      <c r="E2446" s="28" t="s">
        <v>3</v>
      </c>
      <c r="F2446" s="28">
        <v>20159.52</v>
      </c>
    </row>
    <row r="2447" spans="1:6">
      <c r="A2447" s="28" t="s">
        <v>55</v>
      </c>
      <c r="B2447" s="28" t="s">
        <v>53</v>
      </c>
      <c r="C2447" s="28">
        <v>2015</v>
      </c>
      <c r="D2447" s="28" t="s">
        <v>1</v>
      </c>
      <c r="E2447" s="28" t="s">
        <v>3</v>
      </c>
      <c r="F2447" s="28">
        <v>19872.373</v>
      </c>
    </row>
    <row r="2448" spans="1:6">
      <c r="A2448" s="28" t="s">
        <v>55</v>
      </c>
      <c r="B2448" s="28" t="s">
        <v>53</v>
      </c>
      <c r="C2448" s="28">
        <v>2016</v>
      </c>
      <c r="D2448" s="28" t="s">
        <v>1</v>
      </c>
      <c r="E2448" s="28" t="s">
        <v>3</v>
      </c>
      <c r="F2448" s="28">
        <v>24321.268</v>
      </c>
    </row>
    <row r="2449" spans="1:6">
      <c r="A2449" s="28" t="s">
        <v>55</v>
      </c>
      <c r="B2449" s="28" t="s">
        <v>53</v>
      </c>
      <c r="C2449" s="28">
        <v>2017</v>
      </c>
      <c r="D2449" s="28" t="s">
        <v>1</v>
      </c>
      <c r="E2449" s="28" t="s">
        <v>3</v>
      </c>
      <c r="F2449" s="28">
        <v>26942.508999999998</v>
      </c>
    </row>
    <row r="2450" spans="1:6">
      <c r="A2450" s="28" t="s">
        <v>55</v>
      </c>
      <c r="B2450" s="28" t="s">
        <v>53</v>
      </c>
      <c r="C2450" s="28">
        <v>2010</v>
      </c>
      <c r="D2450" s="28" t="s">
        <v>1</v>
      </c>
      <c r="E2450" s="28" t="s">
        <v>5</v>
      </c>
      <c r="F2450" s="28">
        <v>113364.82799999999</v>
      </c>
    </row>
    <row r="2451" spans="1:6">
      <c r="A2451" s="28" t="s">
        <v>55</v>
      </c>
      <c r="B2451" s="28" t="s">
        <v>53</v>
      </c>
      <c r="C2451" s="28">
        <v>2011</v>
      </c>
      <c r="D2451" s="28" t="s">
        <v>1</v>
      </c>
      <c r="E2451" s="28" t="s">
        <v>5</v>
      </c>
      <c r="F2451" s="28">
        <v>137942.13500000001</v>
      </c>
    </row>
    <row r="2452" spans="1:6">
      <c r="A2452" s="28" t="s">
        <v>55</v>
      </c>
      <c r="B2452" s="28" t="s">
        <v>53</v>
      </c>
      <c r="C2452" s="28">
        <v>2012</v>
      </c>
      <c r="D2452" s="28" t="s">
        <v>1</v>
      </c>
      <c r="E2452" s="28" t="s">
        <v>5</v>
      </c>
      <c r="F2452" s="28">
        <v>147935.886</v>
      </c>
    </row>
    <row r="2453" spans="1:6">
      <c r="A2453" s="28" t="s">
        <v>55</v>
      </c>
      <c r="B2453" s="28" t="s">
        <v>53</v>
      </c>
      <c r="C2453" s="28">
        <v>2013</v>
      </c>
      <c r="D2453" s="28" t="s">
        <v>1</v>
      </c>
      <c r="E2453" s="28" t="s">
        <v>5</v>
      </c>
      <c r="F2453" s="28">
        <v>150601.76800000001</v>
      </c>
    </row>
    <row r="2454" spans="1:6">
      <c r="A2454" s="28" t="s">
        <v>55</v>
      </c>
      <c r="B2454" s="28" t="s">
        <v>53</v>
      </c>
      <c r="C2454" s="28">
        <v>2014</v>
      </c>
      <c r="D2454" s="28" t="s">
        <v>1</v>
      </c>
      <c r="E2454" s="28" t="s">
        <v>5</v>
      </c>
      <c r="F2454" s="28">
        <v>150330.00399999999</v>
      </c>
    </row>
    <row r="2455" spans="1:6">
      <c r="A2455" s="28" t="s">
        <v>55</v>
      </c>
      <c r="B2455" s="28" t="s">
        <v>53</v>
      </c>
      <c r="C2455" s="28">
        <v>2015</v>
      </c>
      <c r="D2455" s="28" t="s">
        <v>1</v>
      </c>
      <c r="E2455" s="28" t="s">
        <v>5</v>
      </c>
      <c r="F2455" s="28">
        <v>154894.77900000001</v>
      </c>
    </row>
    <row r="2456" spans="1:6">
      <c r="A2456" s="28" t="s">
        <v>55</v>
      </c>
      <c r="B2456" s="28" t="s">
        <v>53</v>
      </c>
      <c r="C2456" s="28">
        <v>2016</v>
      </c>
      <c r="D2456" s="28" t="s">
        <v>1</v>
      </c>
      <c r="E2456" s="28" t="s">
        <v>5</v>
      </c>
      <c r="F2456" s="28">
        <v>159770.954</v>
      </c>
    </row>
    <row r="2457" spans="1:6">
      <c r="A2457" s="28" t="s">
        <v>55</v>
      </c>
      <c r="B2457" s="28" t="s">
        <v>53</v>
      </c>
      <c r="C2457" s="28">
        <v>2017</v>
      </c>
      <c r="D2457" s="28" t="s">
        <v>1</v>
      </c>
      <c r="E2457" s="28" t="s">
        <v>5</v>
      </c>
      <c r="F2457" s="28">
        <v>163787.70300000001</v>
      </c>
    </row>
    <row r="2458" spans="1:6">
      <c r="A2458" s="28" t="s">
        <v>55</v>
      </c>
      <c r="B2458" s="28" t="s">
        <v>53</v>
      </c>
      <c r="C2458" s="28">
        <v>2010</v>
      </c>
      <c r="D2458" s="28" t="s">
        <v>1</v>
      </c>
      <c r="E2458" s="28" t="s">
        <v>6</v>
      </c>
      <c r="F2458" s="28">
        <v>74647.805999999997</v>
      </c>
    </row>
    <row r="2459" spans="1:6">
      <c r="A2459" s="28" t="s">
        <v>55</v>
      </c>
      <c r="B2459" s="28" t="s">
        <v>53</v>
      </c>
      <c r="C2459" s="28">
        <v>2011</v>
      </c>
      <c r="D2459" s="28" t="s">
        <v>1</v>
      </c>
      <c r="E2459" s="28" t="s">
        <v>6</v>
      </c>
      <c r="F2459" s="28">
        <v>84706.574999999997</v>
      </c>
    </row>
    <row r="2460" spans="1:6">
      <c r="A2460" s="28" t="s">
        <v>55</v>
      </c>
      <c r="B2460" s="28" t="s">
        <v>53</v>
      </c>
      <c r="C2460" s="28">
        <v>2012</v>
      </c>
      <c r="D2460" s="28" t="s">
        <v>1</v>
      </c>
      <c r="E2460" s="28" t="s">
        <v>6</v>
      </c>
      <c r="F2460" s="28">
        <v>90769.38</v>
      </c>
    </row>
    <row r="2461" spans="1:6">
      <c r="A2461" s="28" t="s">
        <v>55</v>
      </c>
      <c r="B2461" s="28" t="s">
        <v>53</v>
      </c>
      <c r="C2461" s="28">
        <v>2013</v>
      </c>
      <c r="D2461" s="28" t="s">
        <v>1</v>
      </c>
      <c r="E2461" s="28" t="s">
        <v>6</v>
      </c>
      <c r="F2461" s="28">
        <v>97114.880000000005</v>
      </c>
    </row>
    <row r="2462" spans="1:6">
      <c r="A2462" s="28" t="s">
        <v>55</v>
      </c>
      <c r="B2462" s="28" t="s">
        <v>53</v>
      </c>
      <c r="C2462" s="28">
        <v>2014</v>
      </c>
      <c r="D2462" s="28" t="s">
        <v>1</v>
      </c>
      <c r="E2462" s="28" t="s">
        <v>6</v>
      </c>
      <c r="F2462" s="28">
        <v>100717.067</v>
      </c>
    </row>
    <row r="2463" spans="1:6">
      <c r="A2463" s="28" t="s">
        <v>55</v>
      </c>
      <c r="B2463" s="28" t="s">
        <v>53</v>
      </c>
      <c r="C2463" s="28">
        <v>2015</v>
      </c>
      <c r="D2463" s="28" t="s">
        <v>1</v>
      </c>
      <c r="E2463" s="28" t="s">
        <v>6</v>
      </c>
      <c r="F2463" s="28">
        <v>105529.38800000001</v>
      </c>
    </row>
    <row r="2464" spans="1:6">
      <c r="A2464" s="28" t="s">
        <v>55</v>
      </c>
      <c r="B2464" s="28" t="s">
        <v>53</v>
      </c>
      <c r="C2464" s="28">
        <v>2016</v>
      </c>
      <c r="D2464" s="28" t="s">
        <v>1</v>
      </c>
      <c r="E2464" s="28" t="s">
        <v>6</v>
      </c>
      <c r="F2464" s="28">
        <v>109983.872</v>
      </c>
    </row>
    <row r="2465" spans="1:6">
      <c r="A2465" s="28" t="s">
        <v>55</v>
      </c>
      <c r="B2465" s="28" t="s">
        <v>53</v>
      </c>
      <c r="C2465" s="28">
        <v>2017</v>
      </c>
      <c r="D2465" s="28" t="s">
        <v>1</v>
      </c>
      <c r="E2465" s="28" t="s">
        <v>6</v>
      </c>
      <c r="F2465" s="28">
        <v>116459.239</v>
      </c>
    </row>
    <row r="2466" spans="1:6">
      <c r="A2466" s="28" t="s">
        <v>55</v>
      </c>
      <c r="B2466" s="28" t="s">
        <v>53</v>
      </c>
      <c r="C2466" s="28">
        <v>2010</v>
      </c>
      <c r="D2466" s="28" t="s">
        <v>1</v>
      </c>
      <c r="E2466" s="28" t="s">
        <v>8</v>
      </c>
      <c r="F2466" s="28">
        <v>23083.116999999998</v>
      </c>
    </row>
    <row r="2467" spans="1:6">
      <c r="A2467" s="28" t="s">
        <v>55</v>
      </c>
      <c r="B2467" s="28" t="s">
        <v>53</v>
      </c>
      <c r="C2467" s="28">
        <v>2011</v>
      </c>
      <c r="D2467" s="28" t="s">
        <v>1</v>
      </c>
      <c r="E2467" s="28" t="s">
        <v>8</v>
      </c>
      <c r="F2467" s="28">
        <v>31978.350999999999</v>
      </c>
    </row>
    <row r="2468" spans="1:6">
      <c r="A2468" s="28" t="s">
        <v>55</v>
      </c>
      <c r="B2468" s="28" t="s">
        <v>53</v>
      </c>
      <c r="C2468" s="28">
        <v>2012</v>
      </c>
      <c r="D2468" s="28" t="s">
        <v>1</v>
      </c>
      <c r="E2468" s="28" t="s">
        <v>8</v>
      </c>
      <c r="F2468" s="28">
        <v>37243.616000000002</v>
      </c>
    </row>
    <row r="2469" spans="1:6">
      <c r="A2469" s="28" t="s">
        <v>55</v>
      </c>
      <c r="B2469" s="28" t="s">
        <v>53</v>
      </c>
      <c r="C2469" s="28">
        <v>2013</v>
      </c>
      <c r="D2469" s="28" t="s">
        <v>1</v>
      </c>
      <c r="E2469" s="28" t="s">
        <v>8</v>
      </c>
      <c r="F2469" s="28">
        <v>33047.408000000003</v>
      </c>
    </row>
    <row r="2470" spans="1:6">
      <c r="A2470" s="28" t="s">
        <v>55</v>
      </c>
      <c r="B2470" s="28" t="s">
        <v>53</v>
      </c>
      <c r="C2470" s="28">
        <v>2014</v>
      </c>
      <c r="D2470" s="28" t="s">
        <v>1</v>
      </c>
      <c r="E2470" s="28" t="s">
        <v>8</v>
      </c>
      <c r="F2470" s="28">
        <v>32451.723999999998</v>
      </c>
    </row>
    <row r="2471" spans="1:6">
      <c r="A2471" s="28" t="s">
        <v>55</v>
      </c>
      <c r="B2471" s="28" t="s">
        <v>53</v>
      </c>
      <c r="C2471" s="28">
        <v>2015</v>
      </c>
      <c r="D2471" s="28" t="s">
        <v>1</v>
      </c>
      <c r="E2471" s="28" t="s">
        <v>8</v>
      </c>
      <c r="F2471" s="28">
        <v>28777.100999999999</v>
      </c>
    </row>
    <row r="2472" spans="1:6">
      <c r="A2472" s="28" t="s">
        <v>55</v>
      </c>
      <c r="B2472" s="28" t="s">
        <v>53</v>
      </c>
      <c r="C2472" s="28">
        <v>2016</v>
      </c>
      <c r="D2472" s="28" t="s">
        <v>1</v>
      </c>
      <c r="E2472" s="28" t="s">
        <v>8</v>
      </c>
      <c r="F2472" s="28">
        <v>29014.258999999998</v>
      </c>
    </row>
    <row r="2473" spans="1:6">
      <c r="A2473" s="28" t="s">
        <v>55</v>
      </c>
      <c r="B2473" s="28" t="s">
        <v>53</v>
      </c>
      <c r="C2473" s="28">
        <v>2017</v>
      </c>
      <c r="D2473" s="28" t="s">
        <v>1</v>
      </c>
      <c r="E2473" s="28" t="s">
        <v>8</v>
      </c>
      <c r="F2473" s="28">
        <v>28630.240000000002</v>
      </c>
    </row>
    <row r="2474" spans="1:6">
      <c r="A2474" s="28" t="s">
        <v>55</v>
      </c>
      <c r="B2474" s="28" t="s">
        <v>53</v>
      </c>
      <c r="C2474" s="28">
        <v>2010</v>
      </c>
      <c r="D2474" s="28" t="s">
        <v>1</v>
      </c>
      <c r="E2474" s="28" t="s">
        <v>9</v>
      </c>
      <c r="F2474" s="28">
        <v>15633.905000000001</v>
      </c>
    </row>
    <row r="2475" spans="1:6">
      <c r="A2475" s="28" t="s">
        <v>55</v>
      </c>
      <c r="B2475" s="28" t="s">
        <v>53</v>
      </c>
      <c r="C2475" s="28">
        <v>2011</v>
      </c>
      <c r="D2475" s="28" t="s">
        <v>1</v>
      </c>
      <c r="E2475" s="28" t="s">
        <v>9</v>
      </c>
      <c r="F2475" s="28">
        <v>21257.208999999999</v>
      </c>
    </row>
    <row r="2476" spans="1:6">
      <c r="A2476" s="28" t="s">
        <v>55</v>
      </c>
      <c r="B2476" s="28" t="s">
        <v>53</v>
      </c>
      <c r="C2476" s="28">
        <v>2012</v>
      </c>
      <c r="D2476" s="28" t="s">
        <v>1</v>
      </c>
      <c r="E2476" s="28" t="s">
        <v>9</v>
      </c>
      <c r="F2476" s="28">
        <v>19922.89</v>
      </c>
    </row>
    <row r="2477" spans="1:6">
      <c r="A2477" s="28" t="s">
        <v>55</v>
      </c>
      <c r="B2477" s="28" t="s">
        <v>53</v>
      </c>
      <c r="C2477" s="28">
        <v>2013</v>
      </c>
      <c r="D2477" s="28" t="s">
        <v>1</v>
      </c>
      <c r="E2477" s="28" t="s">
        <v>9</v>
      </c>
      <c r="F2477" s="28">
        <v>20439.48</v>
      </c>
    </row>
    <row r="2478" spans="1:6">
      <c r="A2478" s="28" t="s">
        <v>55</v>
      </c>
      <c r="B2478" s="28" t="s">
        <v>53</v>
      </c>
      <c r="C2478" s="28">
        <v>2014</v>
      </c>
      <c r="D2478" s="28" t="s">
        <v>1</v>
      </c>
      <c r="E2478" s="28" t="s">
        <v>9</v>
      </c>
      <c r="F2478" s="28">
        <v>17161.213</v>
      </c>
    </row>
    <row r="2479" spans="1:6">
      <c r="A2479" s="28" t="s">
        <v>55</v>
      </c>
      <c r="B2479" s="28" t="s">
        <v>53</v>
      </c>
      <c r="C2479" s="28">
        <v>2015</v>
      </c>
      <c r="D2479" s="28" t="s">
        <v>1</v>
      </c>
      <c r="E2479" s="28" t="s">
        <v>9</v>
      </c>
      <c r="F2479" s="28">
        <v>20588.29</v>
      </c>
    </row>
    <row r="2480" spans="1:6">
      <c r="A2480" s="28" t="s">
        <v>55</v>
      </c>
      <c r="B2480" s="28" t="s">
        <v>53</v>
      </c>
      <c r="C2480" s="28">
        <v>2016</v>
      </c>
      <c r="D2480" s="28" t="s">
        <v>1</v>
      </c>
      <c r="E2480" s="28" t="s">
        <v>9</v>
      </c>
      <c r="F2480" s="28">
        <v>20772.823</v>
      </c>
    </row>
    <row r="2481" spans="1:6">
      <c r="A2481" s="28" t="s">
        <v>55</v>
      </c>
      <c r="B2481" s="28" t="s">
        <v>53</v>
      </c>
      <c r="C2481" s="28">
        <v>2017</v>
      </c>
      <c r="D2481" s="28" t="s">
        <v>1</v>
      </c>
      <c r="E2481" s="28" t="s">
        <v>9</v>
      </c>
      <c r="F2481" s="28">
        <v>18698.223999999998</v>
      </c>
    </row>
    <row r="2482" spans="1:6">
      <c r="A2482" s="28" t="s">
        <v>55</v>
      </c>
      <c r="B2482" s="28" t="s">
        <v>53</v>
      </c>
      <c r="C2482" s="28">
        <v>2010</v>
      </c>
      <c r="D2482" s="28" t="s">
        <v>1</v>
      </c>
      <c r="E2482" s="28" t="s">
        <v>10</v>
      </c>
      <c r="F2482" s="28">
        <v>113364.82799999999</v>
      </c>
    </row>
    <row r="2483" spans="1:6">
      <c r="A2483" s="28" t="s">
        <v>55</v>
      </c>
      <c r="B2483" s="28" t="s">
        <v>53</v>
      </c>
      <c r="C2483" s="28">
        <v>2011</v>
      </c>
      <c r="D2483" s="28" t="s">
        <v>1</v>
      </c>
      <c r="E2483" s="28" t="s">
        <v>10</v>
      </c>
      <c r="F2483" s="28">
        <v>137942.13500000001</v>
      </c>
    </row>
    <row r="2484" spans="1:6">
      <c r="A2484" s="28" t="s">
        <v>55</v>
      </c>
      <c r="B2484" s="28" t="s">
        <v>53</v>
      </c>
      <c r="C2484" s="28">
        <v>2012</v>
      </c>
      <c r="D2484" s="28" t="s">
        <v>1</v>
      </c>
      <c r="E2484" s="28" t="s">
        <v>10</v>
      </c>
      <c r="F2484" s="28">
        <v>147935.886</v>
      </c>
    </row>
    <row r="2485" spans="1:6">
      <c r="A2485" s="28" t="s">
        <v>55</v>
      </c>
      <c r="B2485" s="28" t="s">
        <v>53</v>
      </c>
      <c r="C2485" s="28">
        <v>2013</v>
      </c>
      <c r="D2485" s="28" t="s">
        <v>1</v>
      </c>
      <c r="E2485" s="28" t="s">
        <v>10</v>
      </c>
      <c r="F2485" s="28">
        <v>150601.76800000001</v>
      </c>
    </row>
    <row r="2486" spans="1:6">
      <c r="A2486" s="28" t="s">
        <v>55</v>
      </c>
      <c r="B2486" s="28" t="s">
        <v>53</v>
      </c>
      <c r="C2486" s="28">
        <v>2014</v>
      </c>
      <c r="D2486" s="28" t="s">
        <v>1</v>
      </c>
      <c r="E2486" s="28" t="s">
        <v>10</v>
      </c>
      <c r="F2486" s="28">
        <v>150330.00399999999</v>
      </c>
    </row>
    <row r="2487" spans="1:6">
      <c r="A2487" s="28" t="s">
        <v>55</v>
      </c>
      <c r="B2487" s="28" t="s">
        <v>53</v>
      </c>
      <c r="C2487" s="28">
        <v>2015</v>
      </c>
      <c r="D2487" s="28" t="s">
        <v>1</v>
      </c>
      <c r="E2487" s="28" t="s">
        <v>10</v>
      </c>
      <c r="F2487" s="28">
        <v>154894.77900000001</v>
      </c>
    </row>
    <row r="2488" spans="1:6">
      <c r="A2488" s="28" t="s">
        <v>55</v>
      </c>
      <c r="B2488" s="28" t="s">
        <v>53</v>
      </c>
      <c r="C2488" s="28">
        <v>2016</v>
      </c>
      <c r="D2488" s="28" t="s">
        <v>1</v>
      </c>
      <c r="E2488" s="28" t="s">
        <v>10</v>
      </c>
      <c r="F2488" s="28">
        <v>159770.954</v>
      </c>
    </row>
    <row r="2489" spans="1:6">
      <c r="A2489" s="28" t="s">
        <v>55</v>
      </c>
      <c r="B2489" s="28" t="s">
        <v>53</v>
      </c>
      <c r="C2489" s="28">
        <v>2017</v>
      </c>
      <c r="D2489" s="28" t="s">
        <v>1</v>
      </c>
      <c r="E2489" s="28" t="s">
        <v>10</v>
      </c>
      <c r="F2489" s="28">
        <v>163787.70300000001</v>
      </c>
    </row>
    <row r="2490" spans="1:6">
      <c r="A2490" s="28" t="s">
        <v>55</v>
      </c>
      <c r="B2490" s="28" t="s">
        <v>53</v>
      </c>
      <c r="C2490" s="28">
        <v>2010</v>
      </c>
      <c r="D2490" s="28" t="s">
        <v>1</v>
      </c>
      <c r="E2490" s="28" t="s">
        <v>11</v>
      </c>
      <c r="F2490" s="28">
        <v>0.34152587432144299</v>
      </c>
    </row>
    <row r="2491" spans="1:6">
      <c r="A2491" s="28" t="s">
        <v>55</v>
      </c>
      <c r="B2491" s="28" t="s">
        <v>53</v>
      </c>
      <c r="C2491" s="28">
        <v>2011</v>
      </c>
      <c r="D2491" s="28" t="s">
        <v>1</v>
      </c>
      <c r="E2491" s="28" t="s">
        <v>11</v>
      </c>
      <c r="F2491" s="28">
        <v>0.38592675109747998</v>
      </c>
    </row>
    <row r="2492" spans="1:6">
      <c r="A2492" s="28" t="s">
        <v>55</v>
      </c>
      <c r="B2492" s="28" t="s">
        <v>53</v>
      </c>
      <c r="C2492" s="28">
        <v>2012</v>
      </c>
      <c r="D2492" s="28" t="s">
        <v>1</v>
      </c>
      <c r="E2492" s="28" t="s">
        <v>11</v>
      </c>
      <c r="F2492" s="28">
        <v>0.38642757714649401</v>
      </c>
    </row>
    <row r="2493" spans="1:6">
      <c r="A2493" s="28" t="s">
        <v>55</v>
      </c>
      <c r="B2493" s="28" t="s">
        <v>53</v>
      </c>
      <c r="C2493" s="28">
        <v>2013</v>
      </c>
      <c r="D2493" s="28" t="s">
        <v>1</v>
      </c>
      <c r="E2493" s="28" t="s">
        <v>11</v>
      </c>
      <c r="F2493" s="28">
        <v>0.355154449448429</v>
      </c>
    </row>
    <row r="2494" spans="1:6">
      <c r="A2494" s="28" t="s">
        <v>55</v>
      </c>
      <c r="B2494" s="28" t="s">
        <v>53</v>
      </c>
      <c r="C2494" s="28">
        <v>2014</v>
      </c>
      <c r="D2494" s="28" t="s">
        <v>1</v>
      </c>
      <c r="E2494" s="28" t="s">
        <v>11</v>
      </c>
      <c r="F2494" s="28">
        <v>0.33002684547257799</v>
      </c>
    </row>
    <row r="2495" spans="1:6">
      <c r="A2495" s="28" t="s">
        <v>55</v>
      </c>
      <c r="B2495" s="28" t="s">
        <v>53</v>
      </c>
      <c r="C2495" s="28">
        <v>2015</v>
      </c>
      <c r="D2495" s="28" t="s">
        <v>1</v>
      </c>
      <c r="E2495" s="28" t="s">
        <v>11</v>
      </c>
      <c r="F2495" s="28">
        <v>0.31870274336360899</v>
      </c>
    </row>
    <row r="2496" spans="1:6">
      <c r="A2496" s="28" t="s">
        <v>55</v>
      </c>
      <c r="B2496" s="28" t="s">
        <v>53</v>
      </c>
      <c r="C2496" s="28">
        <v>2016</v>
      </c>
      <c r="D2496" s="28" t="s">
        <v>1</v>
      </c>
      <c r="E2496" s="28" t="s">
        <v>11</v>
      </c>
      <c r="F2496" s="28">
        <v>0.31161535156133602</v>
      </c>
    </row>
    <row r="2497" spans="1:6">
      <c r="A2497" s="28" t="s">
        <v>55</v>
      </c>
      <c r="B2497" s="28" t="s">
        <v>53</v>
      </c>
      <c r="C2497" s="28">
        <v>2017</v>
      </c>
      <c r="D2497" s="28" t="s">
        <v>1</v>
      </c>
      <c r="E2497" s="28" t="s">
        <v>11</v>
      </c>
      <c r="F2497" s="28">
        <v>0.28896225499908301</v>
      </c>
    </row>
    <row r="2498" spans="1:6">
      <c r="A2498" s="28" t="s">
        <v>55</v>
      </c>
      <c r="B2498" s="28" t="s">
        <v>53</v>
      </c>
      <c r="C2498" s="28">
        <v>2010</v>
      </c>
      <c r="D2498" s="28" t="s">
        <v>4</v>
      </c>
      <c r="E2498" s="28" t="s">
        <v>12</v>
      </c>
      <c r="F2498" s="28">
        <v>50486.817000000003</v>
      </c>
    </row>
    <row r="2499" spans="1:6">
      <c r="A2499" s="28" t="s">
        <v>55</v>
      </c>
      <c r="B2499" s="28" t="s">
        <v>53</v>
      </c>
      <c r="C2499" s="28">
        <v>2011</v>
      </c>
      <c r="D2499" s="28" t="s">
        <v>4</v>
      </c>
      <c r="E2499" s="28" t="s">
        <v>12</v>
      </c>
      <c r="F2499" s="28">
        <v>60251.76</v>
      </c>
    </row>
    <row r="2500" spans="1:6">
      <c r="A2500" s="28" t="s">
        <v>55</v>
      </c>
      <c r="B2500" s="28" t="s">
        <v>53</v>
      </c>
      <c r="C2500" s="28">
        <v>2012</v>
      </c>
      <c r="D2500" s="28" t="s">
        <v>4</v>
      </c>
      <c r="E2500" s="28" t="s">
        <v>12</v>
      </c>
      <c r="F2500" s="28">
        <v>62483.802000000003</v>
      </c>
    </row>
    <row r="2501" spans="1:6">
      <c r="A2501" s="28" t="s">
        <v>55</v>
      </c>
      <c r="B2501" s="28" t="s">
        <v>53</v>
      </c>
      <c r="C2501" s="28">
        <v>2013</v>
      </c>
      <c r="D2501" s="28" t="s">
        <v>4</v>
      </c>
      <c r="E2501" s="28" t="s">
        <v>12</v>
      </c>
      <c r="F2501" s="28">
        <v>69853.025999999998</v>
      </c>
    </row>
    <row r="2502" spans="1:6">
      <c r="A2502" s="28" t="s">
        <v>55</v>
      </c>
      <c r="B2502" s="28" t="s">
        <v>53</v>
      </c>
      <c r="C2502" s="28">
        <v>2014</v>
      </c>
      <c r="D2502" s="28" t="s">
        <v>4</v>
      </c>
      <c r="E2502" s="28" t="s">
        <v>12</v>
      </c>
      <c r="F2502" s="28">
        <v>68996.213000000003</v>
      </c>
    </row>
    <row r="2503" spans="1:6">
      <c r="A2503" s="28" t="s">
        <v>55</v>
      </c>
      <c r="B2503" s="28" t="s">
        <v>53</v>
      </c>
      <c r="C2503" s="28">
        <v>2015</v>
      </c>
      <c r="D2503" s="28" t="s">
        <v>4</v>
      </c>
      <c r="E2503" s="28" t="s">
        <v>12</v>
      </c>
      <c r="F2503" s="28">
        <v>69423.900999999998</v>
      </c>
    </row>
    <row r="2504" spans="1:6">
      <c r="A2504" s="28" t="s">
        <v>55</v>
      </c>
      <c r="B2504" s="28" t="s">
        <v>53</v>
      </c>
      <c r="C2504" s="28">
        <v>2016</v>
      </c>
      <c r="D2504" s="28" t="s">
        <v>4</v>
      </c>
      <c r="E2504" s="28" t="s">
        <v>12</v>
      </c>
      <c r="F2504" s="28">
        <v>78891.101999999999</v>
      </c>
    </row>
    <row r="2505" spans="1:6">
      <c r="A2505" s="28" t="s">
        <v>55</v>
      </c>
      <c r="B2505" s="28" t="s">
        <v>53</v>
      </c>
      <c r="C2505" s="28">
        <v>2017</v>
      </c>
      <c r="D2505" s="28" t="s">
        <v>4</v>
      </c>
      <c r="E2505" s="28" t="s">
        <v>12</v>
      </c>
      <c r="F2505" s="28">
        <v>87394.702000000005</v>
      </c>
    </row>
    <row r="2506" spans="1:6">
      <c r="A2506" s="28" t="s">
        <v>55</v>
      </c>
      <c r="B2506" s="28" t="s">
        <v>53</v>
      </c>
      <c r="C2506" s="28">
        <v>2010</v>
      </c>
      <c r="D2506" s="28" t="s">
        <v>4</v>
      </c>
      <c r="E2506" s="28" t="s">
        <v>13</v>
      </c>
      <c r="F2506" s="28">
        <v>6608.8059999999996</v>
      </c>
    </row>
    <row r="2507" spans="1:6">
      <c r="A2507" s="28" t="s">
        <v>55</v>
      </c>
      <c r="B2507" s="28" t="s">
        <v>53</v>
      </c>
      <c r="C2507" s="28">
        <v>2011</v>
      </c>
      <c r="D2507" s="28" t="s">
        <v>4</v>
      </c>
      <c r="E2507" s="28" t="s">
        <v>13</v>
      </c>
      <c r="F2507" s="28">
        <v>3736.69</v>
      </c>
    </row>
    <row r="2508" spans="1:6">
      <c r="A2508" s="28" t="s">
        <v>55</v>
      </c>
      <c r="B2508" s="28" t="s">
        <v>53</v>
      </c>
      <c r="C2508" s="28">
        <v>2012</v>
      </c>
      <c r="D2508" s="28" t="s">
        <v>4</v>
      </c>
      <c r="E2508" s="28" t="s">
        <v>13</v>
      </c>
      <c r="F2508" s="28">
        <v>5960.98</v>
      </c>
    </row>
    <row r="2509" spans="1:6">
      <c r="A2509" s="28" t="s">
        <v>55</v>
      </c>
      <c r="B2509" s="28" t="s">
        <v>53</v>
      </c>
      <c r="C2509" s="28">
        <v>2013</v>
      </c>
      <c r="D2509" s="28" t="s">
        <v>4</v>
      </c>
      <c r="E2509" s="28" t="s">
        <v>13</v>
      </c>
      <c r="F2509" s="28">
        <v>6323.6850000000004</v>
      </c>
    </row>
    <row r="2510" spans="1:6">
      <c r="A2510" s="28" t="s">
        <v>55</v>
      </c>
      <c r="B2510" s="28" t="s">
        <v>53</v>
      </c>
      <c r="C2510" s="28">
        <v>2014</v>
      </c>
      <c r="D2510" s="28" t="s">
        <v>4</v>
      </c>
      <c r="E2510" s="28" t="s">
        <v>13</v>
      </c>
      <c r="F2510" s="28">
        <v>3889.674</v>
      </c>
    </row>
    <row r="2511" spans="1:6">
      <c r="A2511" s="28" t="s">
        <v>55</v>
      </c>
      <c r="B2511" s="28" t="s">
        <v>53</v>
      </c>
      <c r="C2511" s="28">
        <v>2015</v>
      </c>
      <c r="D2511" s="28" t="s">
        <v>4</v>
      </c>
      <c r="E2511" s="28" t="s">
        <v>13</v>
      </c>
      <c r="F2511" s="28">
        <v>6061.34</v>
      </c>
    </row>
    <row r="2512" spans="1:6">
      <c r="A2512" s="28" t="s">
        <v>55</v>
      </c>
      <c r="B2512" s="28" t="s">
        <v>53</v>
      </c>
      <c r="C2512" s="28">
        <v>2016</v>
      </c>
      <c r="D2512" s="28" t="s">
        <v>4</v>
      </c>
      <c r="E2512" s="28" t="s">
        <v>13</v>
      </c>
      <c r="F2512" s="28">
        <v>5386.68</v>
      </c>
    </row>
    <row r="2513" spans="1:6">
      <c r="A2513" s="28" t="s">
        <v>55</v>
      </c>
      <c r="B2513" s="28" t="s">
        <v>53</v>
      </c>
      <c r="C2513" s="28">
        <v>2017</v>
      </c>
      <c r="D2513" s="28" t="s">
        <v>4</v>
      </c>
      <c r="E2513" s="28" t="s">
        <v>13</v>
      </c>
      <c r="F2513" s="28">
        <v>7607.0379999999996</v>
      </c>
    </row>
    <row r="2514" spans="1:6">
      <c r="A2514" s="28" t="s">
        <v>55</v>
      </c>
      <c r="B2514" s="28" t="s">
        <v>53</v>
      </c>
      <c r="C2514" s="28">
        <v>2010</v>
      </c>
      <c r="D2514" s="28" t="s">
        <v>4</v>
      </c>
      <c r="E2514" s="28" t="s">
        <v>14</v>
      </c>
      <c r="F2514" s="28">
        <v>1656.5601160223</v>
      </c>
    </row>
    <row r="2515" spans="1:6">
      <c r="A2515" s="28" t="s">
        <v>55</v>
      </c>
      <c r="B2515" s="28" t="s">
        <v>53</v>
      </c>
      <c r="C2515" s="28">
        <v>2011</v>
      </c>
      <c r="D2515" s="28" t="s">
        <v>4</v>
      </c>
      <c r="E2515" s="28" t="s">
        <v>14</v>
      </c>
      <c r="F2515" s="28">
        <v>1871.3993309748701</v>
      </c>
    </row>
    <row r="2516" spans="1:6">
      <c r="A2516" s="28" t="s">
        <v>55</v>
      </c>
      <c r="B2516" s="28" t="s">
        <v>53</v>
      </c>
      <c r="C2516" s="28">
        <v>2012</v>
      </c>
      <c r="D2516" s="28" t="s">
        <v>4</v>
      </c>
      <c r="E2516" s="28" t="s">
        <v>14</v>
      </c>
      <c r="F2516" s="28">
        <v>2057.2356754585498</v>
      </c>
    </row>
    <row r="2517" spans="1:6">
      <c r="A2517" s="28" t="s">
        <v>55</v>
      </c>
      <c r="B2517" s="28" t="s">
        <v>53</v>
      </c>
      <c r="C2517" s="28">
        <v>2013</v>
      </c>
      <c r="D2517" s="28" t="s">
        <v>4</v>
      </c>
      <c r="E2517" s="28" t="s">
        <v>14</v>
      </c>
      <c r="F2517" s="28">
        <v>2134.2723317404598</v>
      </c>
    </row>
    <row r="2518" spans="1:6">
      <c r="A2518" s="28" t="s">
        <v>55</v>
      </c>
      <c r="B2518" s="28" t="s">
        <v>53</v>
      </c>
      <c r="C2518" s="28">
        <v>2014</v>
      </c>
      <c r="D2518" s="28" t="s">
        <v>4</v>
      </c>
      <c r="E2518" s="28" t="s">
        <v>14</v>
      </c>
      <c r="F2518" s="28">
        <v>1226.41619740341</v>
      </c>
    </row>
    <row r="2519" spans="1:6">
      <c r="A2519" s="28" t="s">
        <v>55</v>
      </c>
      <c r="B2519" s="28" t="s">
        <v>53</v>
      </c>
      <c r="C2519" s="28">
        <v>2015</v>
      </c>
      <c r="D2519" s="28" t="s">
        <v>4</v>
      </c>
      <c r="E2519" s="28" t="s">
        <v>14</v>
      </c>
      <c r="F2519" s="28">
        <v>952.54293542912103</v>
      </c>
    </row>
    <row r="2520" spans="1:6">
      <c r="A2520" s="28" t="s">
        <v>55</v>
      </c>
      <c r="B2520" s="28" t="s">
        <v>53</v>
      </c>
      <c r="C2520" s="28">
        <v>2016</v>
      </c>
      <c r="D2520" s="28" t="s">
        <v>4</v>
      </c>
      <c r="E2520" s="28" t="s">
        <v>14</v>
      </c>
      <c r="F2520" s="28">
        <v>1300.6121644858199</v>
      </c>
    </row>
    <row r="2521" spans="1:6">
      <c r="A2521" s="28" t="s">
        <v>55</v>
      </c>
      <c r="B2521" s="28" t="s">
        <v>53</v>
      </c>
      <c r="C2521" s="28">
        <v>2017</v>
      </c>
      <c r="D2521" s="28" t="s">
        <v>4</v>
      </c>
      <c r="E2521" s="28" t="s">
        <v>14</v>
      </c>
      <c r="F2521" s="28">
        <v>1517.26386366714</v>
      </c>
    </row>
    <row r="2522" spans="1:6">
      <c r="A2522" s="28" t="s">
        <v>55</v>
      </c>
      <c r="B2522" s="28" t="s">
        <v>53</v>
      </c>
      <c r="C2522" s="28">
        <v>2010</v>
      </c>
      <c r="D2522" s="28" t="s">
        <v>4</v>
      </c>
      <c r="E2522" s="28" t="s">
        <v>15</v>
      </c>
      <c r="F2522" s="28">
        <v>216.84639841978699</v>
      </c>
    </row>
    <row r="2523" spans="1:6">
      <c r="A2523" s="28" t="s">
        <v>55</v>
      </c>
      <c r="B2523" s="28" t="s">
        <v>53</v>
      </c>
      <c r="C2523" s="28">
        <v>2011</v>
      </c>
      <c r="D2523" s="28" t="s">
        <v>4</v>
      </c>
      <c r="E2523" s="28" t="s">
        <v>15</v>
      </c>
      <c r="F2523" s="28">
        <v>116.060330288451</v>
      </c>
    </row>
    <row r="2524" spans="1:6">
      <c r="A2524" s="28" t="s">
        <v>55</v>
      </c>
      <c r="B2524" s="28" t="s">
        <v>53</v>
      </c>
      <c r="C2524" s="28">
        <v>2012</v>
      </c>
      <c r="D2524" s="28" t="s">
        <v>4</v>
      </c>
      <c r="E2524" s="28" t="s">
        <v>15</v>
      </c>
      <c r="F2524" s="28">
        <v>196.26111606804801</v>
      </c>
    </row>
    <row r="2525" spans="1:6">
      <c r="A2525" s="28" t="s">
        <v>55</v>
      </c>
      <c r="B2525" s="28" t="s">
        <v>53</v>
      </c>
      <c r="C2525" s="28">
        <v>2013</v>
      </c>
      <c r="D2525" s="28" t="s">
        <v>4</v>
      </c>
      <c r="E2525" s="28" t="s">
        <v>15</v>
      </c>
      <c r="F2525" s="28">
        <v>193.21233027388399</v>
      </c>
    </row>
    <row r="2526" spans="1:6">
      <c r="A2526" s="28" t="s">
        <v>55</v>
      </c>
      <c r="B2526" s="28" t="s">
        <v>53</v>
      </c>
      <c r="C2526" s="28">
        <v>2014</v>
      </c>
      <c r="D2526" s="28" t="s">
        <v>4</v>
      </c>
      <c r="E2526" s="28" t="s">
        <v>15</v>
      </c>
      <c r="F2526" s="28">
        <v>69.139435177680099</v>
      </c>
    </row>
    <row r="2527" spans="1:6">
      <c r="A2527" s="28" t="s">
        <v>55</v>
      </c>
      <c r="B2527" s="28" t="s">
        <v>53</v>
      </c>
      <c r="C2527" s="28">
        <v>2015</v>
      </c>
      <c r="D2527" s="28" t="s">
        <v>4</v>
      </c>
      <c r="E2527" s="28" t="s">
        <v>15</v>
      </c>
      <c r="F2527" s="28">
        <v>83.165689525772194</v>
      </c>
    </row>
    <row r="2528" spans="1:6">
      <c r="A2528" s="28" t="s">
        <v>55</v>
      </c>
      <c r="B2528" s="28" t="s">
        <v>53</v>
      </c>
      <c r="C2528" s="28">
        <v>2016</v>
      </c>
      <c r="D2528" s="28" t="s">
        <v>4</v>
      </c>
      <c r="E2528" s="28" t="s">
        <v>15</v>
      </c>
      <c r="F2528" s="28">
        <v>88.805725317317595</v>
      </c>
    </row>
    <row r="2529" spans="1:6">
      <c r="A2529" s="28" t="s">
        <v>55</v>
      </c>
      <c r="B2529" s="28" t="s">
        <v>53</v>
      </c>
      <c r="C2529" s="28">
        <v>2017</v>
      </c>
      <c r="D2529" s="28" t="s">
        <v>4</v>
      </c>
      <c r="E2529" s="28" t="s">
        <v>15</v>
      </c>
      <c r="F2529" s="28">
        <v>132.066173381342</v>
      </c>
    </row>
    <row r="2530" spans="1:6">
      <c r="A2530" s="28" t="s">
        <v>55</v>
      </c>
      <c r="B2530" s="28" t="s">
        <v>53</v>
      </c>
      <c r="C2530" s="28">
        <v>2010</v>
      </c>
      <c r="D2530" s="28" t="s">
        <v>7</v>
      </c>
      <c r="E2530" s="28" t="s">
        <v>16</v>
      </c>
      <c r="F2530" s="28">
        <v>6272.9750000000004</v>
      </c>
    </row>
    <row r="2531" spans="1:6">
      <c r="A2531" s="28" t="s">
        <v>55</v>
      </c>
      <c r="B2531" s="28" t="s">
        <v>53</v>
      </c>
      <c r="C2531" s="28">
        <v>2011</v>
      </c>
      <c r="D2531" s="28" t="s">
        <v>7</v>
      </c>
      <c r="E2531" s="28" t="s">
        <v>16</v>
      </c>
      <c r="F2531" s="28">
        <v>9585.76</v>
      </c>
    </row>
    <row r="2532" spans="1:6">
      <c r="A2532" s="28" t="s">
        <v>55</v>
      </c>
      <c r="B2532" s="28" t="s">
        <v>53</v>
      </c>
      <c r="C2532" s="28">
        <v>2012</v>
      </c>
      <c r="D2532" s="28" t="s">
        <v>7</v>
      </c>
      <c r="E2532" s="28" t="s">
        <v>16</v>
      </c>
      <c r="F2532" s="28">
        <v>11310.126</v>
      </c>
    </row>
    <row r="2533" spans="1:6">
      <c r="A2533" s="28" t="s">
        <v>55</v>
      </c>
      <c r="B2533" s="28" t="s">
        <v>53</v>
      </c>
      <c r="C2533" s="28">
        <v>2013</v>
      </c>
      <c r="D2533" s="28" t="s">
        <v>7</v>
      </c>
      <c r="E2533" s="28" t="s">
        <v>16</v>
      </c>
      <c r="F2533" s="28">
        <v>15043.668</v>
      </c>
    </row>
    <row r="2534" spans="1:6">
      <c r="A2534" s="28" t="s">
        <v>55</v>
      </c>
      <c r="B2534" s="28" t="s">
        <v>53</v>
      </c>
      <c r="C2534" s="28">
        <v>2014</v>
      </c>
      <c r="D2534" s="28" t="s">
        <v>7</v>
      </c>
      <c r="E2534" s="28" t="s">
        <v>16</v>
      </c>
      <c r="F2534" s="28">
        <v>13953.242</v>
      </c>
    </row>
    <row r="2535" spans="1:6">
      <c r="A2535" s="28" t="s">
        <v>55</v>
      </c>
      <c r="B2535" s="28" t="s">
        <v>53</v>
      </c>
      <c r="C2535" s="28">
        <v>2015</v>
      </c>
      <c r="D2535" s="28" t="s">
        <v>7</v>
      </c>
      <c r="E2535" s="28" t="s">
        <v>16</v>
      </c>
      <c r="F2535" s="28">
        <v>13692.322</v>
      </c>
    </row>
    <row r="2536" spans="1:6">
      <c r="A2536" s="28" t="s">
        <v>55</v>
      </c>
      <c r="B2536" s="28" t="s">
        <v>53</v>
      </c>
      <c r="C2536" s="28">
        <v>2016</v>
      </c>
      <c r="D2536" s="28" t="s">
        <v>7</v>
      </c>
      <c r="E2536" s="28" t="s">
        <v>16</v>
      </c>
      <c r="F2536" s="28">
        <v>16962.944</v>
      </c>
    </row>
    <row r="2537" spans="1:6">
      <c r="A2537" s="28" t="s">
        <v>55</v>
      </c>
      <c r="B2537" s="28" t="s">
        <v>53</v>
      </c>
      <c r="C2537" s="28">
        <v>2017</v>
      </c>
      <c r="D2537" s="28" t="s">
        <v>7</v>
      </c>
      <c r="E2537" s="28" t="s">
        <v>16</v>
      </c>
      <c r="F2537" s="28">
        <v>19787.924999999999</v>
      </c>
    </row>
    <row r="2538" spans="1:6">
      <c r="A2538" s="28" t="s">
        <v>55</v>
      </c>
      <c r="B2538" s="28" t="s">
        <v>53</v>
      </c>
      <c r="C2538" s="28">
        <v>2010</v>
      </c>
      <c r="D2538" s="28" t="s">
        <v>7</v>
      </c>
      <c r="E2538" s="28" t="s">
        <v>17</v>
      </c>
      <c r="F2538" s="28">
        <v>205.82720027299399</v>
      </c>
    </row>
    <row r="2539" spans="1:6">
      <c r="A2539" s="28" t="s">
        <v>55</v>
      </c>
      <c r="B2539" s="28" t="s">
        <v>53</v>
      </c>
      <c r="C2539" s="28">
        <v>2011</v>
      </c>
      <c r="D2539" s="28" t="s">
        <v>7</v>
      </c>
      <c r="E2539" s="28" t="s">
        <v>17</v>
      </c>
      <c r="F2539" s="28">
        <v>297.73047046070798</v>
      </c>
    </row>
    <row r="2540" spans="1:6">
      <c r="A2540" s="28" t="s">
        <v>55</v>
      </c>
      <c r="B2540" s="28" t="s">
        <v>53</v>
      </c>
      <c r="C2540" s="28">
        <v>2012</v>
      </c>
      <c r="D2540" s="28" t="s">
        <v>7</v>
      </c>
      <c r="E2540" s="28" t="s">
        <v>17</v>
      </c>
      <c r="F2540" s="28">
        <v>372.37802368574398</v>
      </c>
    </row>
    <row r="2541" spans="1:6">
      <c r="A2541" s="28" t="s">
        <v>55</v>
      </c>
      <c r="B2541" s="28" t="s">
        <v>53</v>
      </c>
      <c r="C2541" s="28">
        <v>2013</v>
      </c>
      <c r="D2541" s="28" t="s">
        <v>7</v>
      </c>
      <c r="E2541" s="28" t="s">
        <v>17</v>
      </c>
      <c r="F2541" s="28">
        <v>459.64056561113603</v>
      </c>
    </row>
    <row r="2542" spans="1:6">
      <c r="A2542" s="28" t="s">
        <v>55</v>
      </c>
      <c r="B2542" s="28" t="s">
        <v>53</v>
      </c>
      <c r="C2542" s="28">
        <v>2014</v>
      </c>
      <c r="D2542" s="28" t="s">
        <v>7</v>
      </c>
      <c r="E2542" s="28" t="s">
        <v>17</v>
      </c>
      <c r="F2542" s="28">
        <v>248.02059781294901</v>
      </c>
    </row>
    <row r="2543" spans="1:6">
      <c r="A2543" s="28" t="s">
        <v>55</v>
      </c>
      <c r="B2543" s="28" t="s">
        <v>53</v>
      </c>
      <c r="C2543" s="28">
        <v>2015</v>
      </c>
      <c r="D2543" s="28" t="s">
        <v>7</v>
      </c>
      <c r="E2543" s="28" t="s">
        <v>17</v>
      </c>
      <c r="F2543" s="28">
        <v>187.86793024956501</v>
      </c>
    </row>
    <row r="2544" spans="1:6">
      <c r="A2544" s="28" t="s">
        <v>55</v>
      </c>
      <c r="B2544" s="28" t="s">
        <v>53</v>
      </c>
      <c r="C2544" s="28">
        <v>2016</v>
      </c>
      <c r="D2544" s="28" t="s">
        <v>7</v>
      </c>
      <c r="E2544" s="28" t="s">
        <v>17</v>
      </c>
      <c r="F2544" s="28">
        <v>279.65398825195501</v>
      </c>
    </row>
    <row r="2545" spans="1:6">
      <c r="A2545" s="28" t="s">
        <v>55</v>
      </c>
      <c r="B2545" s="28" t="s">
        <v>53</v>
      </c>
      <c r="C2545" s="28">
        <v>2017</v>
      </c>
      <c r="D2545" s="28" t="s">
        <v>7</v>
      </c>
      <c r="E2545" s="28" t="s">
        <v>17</v>
      </c>
      <c r="F2545" s="28">
        <v>343.53917173898702</v>
      </c>
    </row>
    <row r="2546" spans="1:6">
      <c r="A2546" s="28" t="s">
        <v>55</v>
      </c>
      <c r="B2546" s="28" t="s">
        <v>53</v>
      </c>
      <c r="C2546" s="28">
        <v>2010</v>
      </c>
      <c r="D2546" s="28" t="s">
        <v>20</v>
      </c>
      <c r="E2546" s="28" t="s">
        <v>18</v>
      </c>
      <c r="F2546" s="28">
        <v>3854341.4169999999</v>
      </c>
    </row>
    <row r="2547" spans="1:6">
      <c r="A2547" s="28" t="s">
        <v>55</v>
      </c>
      <c r="B2547" s="28" t="s">
        <v>53</v>
      </c>
      <c r="C2547" s="28">
        <v>2011</v>
      </c>
      <c r="D2547" s="28" t="s">
        <v>20</v>
      </c>
      <c r="E2547" s="28" t="s">
        <v>18</v>
      </c>
      <c r="F2547" s="28">
        <v>3854341.4169999999</v>
      </c>
    </row>
    <row r="2548" spans="1:6">
      <c r="A2548" s="28" t="s">
        <v>55</v>
      </c>
      <c r="B2548" s="28" t="s">
        <v>53</v>
      </c>
      <c r="C2548" s="28">
        <v>2012</v>
      </c>
      <c r="D2548" s="28" t="s">
        <v>20</v>
      </c>
      <c r="E2548" s="28" t="s">
        <v>18</v>
      </c>
      <c r="F2548" s="28">
        <v>3854341.4169999999</v>
      </c>
    </row>
    <row r="2549" spans="1:6">
      <c r="A2549" s="28" t="s">
        <v>55</v>
      </c>
      <c r="B2549" s="28" t="s">
        <v>53</v>
      </c>
      <c r="C2549" s="28">
        <v>2013</v>
      </c>
      <c r="D2549" s="28" t="s">
        <v>20</v>
      </c>
      <c r="E2549" s="28" t="s">
        <v>18</v>
      </c>
      <c r="F2549" s="28">
        <v>3854341.4169999999</v>
      </c>
    </row>
    <row r="2550" spans="1:6">
      <c r="A2550" s="28" t="s">
        <v>55</v>
      </c>
      <c r="B2550" s="28" t="s">
        <v>53</v>
      </c>
      <c r="C2550" s="28">
        <v>2014</v>
      </c>
      <c r="D2550" s="28" t="s">
        <v>20</v>
      </c>
      <c r="E2550" s="28" t="s">
        <v>18</v>
      </c>
      <c r="F2550" s="28">
        <v>3854341.4169999999</v>
      </c>
    </row>
    <row r="2551" spans="1:6">
      <c r="A2551" s="28" t="s">
        <v>55</v>
      </c>
      <c r="B2551" s="28" t="s">
        <v>53</v>
      </c>
      <c r="C2551" s="28">
        <v>2015</v>
      </c>
      <c r="D2551" s="28" t="s">
        <v>20</v>
      </c>
      <c r="E2551" s="28" t="s">
        <v>18</v>
      </c>
      <c r="F2551" s="28">
        <v>3854341.4169999999</v>
      </c>
    </row>
    <row r="2552" spans="1:6">
      <c r="A2552" s="28" t="s">
        <v>55</v>
      </c>
      <c r="B2552" s="28" t="s">
        <v>53</v>
      </c>
      <c r="C2552" s="28">
        <v>2016</v>
      </c>
      <c r="D2552" s="28" t="s">
        <v>20</v>
      </c>
      <c r="E2552" s="28" t="s">
        <v>18</v>
      </c>
      <c r="F2552" s="28">
        <v>3854341.4169999999</v>
      </c>
    </row>
    <row r="2553" spans="1:6">
      <c r="A2553" s="28" t="s">
        <v>55</v>
      </c>
      <c r="B2553" s="28" t="s">
        <v>53</v>
      </c>
      <c r="C2553" s="28">
        <v>2017</v>
      </c>
      <c r="D2553" s="28" t="s">
        <v>20</v>
      </c>
      <c r="E2553" s="28" t="s">
        <v>18</v>
      </c>
      <c r="F2553" s="28">
        <v>3854341.4169999999</v>
      </c>
    </row>
    <row r="2554" spans="1:6">
      <c r="A2554" s="28" t="s">
        <v>55</v>
      </c>
      <c r="B2554" s="28" t="s">
        <v>53</v>
      </c>
      <c r="C2554" s="28">
        <v>2010</v>
      </c>
      <c r="D2554" s="28" t="s">
        <v>20</v>
      </c>
      <c r="E2554" s="28" t="s">
        <v>19</v>
      </c>
      <c r="F2554" s="28">
        <v>2.1499999999999998E-2</v>
      </c>
    </row>
    <row r="2555" spans="1:6">
      <c r="A2555" s="28" t="s">
        <v>55</v>
      </c>
      <c r="B2555" s="28" t="s">
        <v>53</v>
      </c>
      <c r="C2555" s="28">
        <v>2011</v>
      </c>
      <c r="D2555" s="28" t="s">
        <v>20</v>
      </c>
      <c r="E2555" s="28" t="s">
        <v>19</v>
      </c>
      <c r="F2555" s="28">
        <v>9.2860000000000009E-3</v>
      </c>
    </row>
    <row r="2556" spans="1:6">
      <c r="A2556" s="28" t="s">
        <v>55</v>
      </c>
      <c r="B2556" s="28" t="s">
        <v>53</v>
      </c>
      <c r="C2556" s="28">
        <v>2012</v>
      </c>
      <c r="D2556" s="28" t="s">
        <v>20</v>
      </c>
      <c r="E2556" s="28" t="s">
        <v>19</v>
      </c>
      <c r="F2556" s="28">
        <v>6.8799999999999998E-3</v>
      </c>
    </row>
    <row r="2557" spans="1:6">
      <c r="A2557" s="28" t="s">
        <v>55</v>
      </c>
      <c r="B2557" s="28" t="s">
        <v>53</v>
      </c>
      <c r="C2557" s="28">
        <v>2013</v>
      </c>
      <c r="D2557" s="28" t="s">
        <v>20</v>
      </c>
      <c r="E2557" s="28" t="s">
        <v>19</v>
      </c>
      <c r="F2557" s="28">
        <v>6.5799999999999999E-3</v>
      </c>
    </row>
    <row r="2558" spans="1:6">
      <c r="A2558" s="28" t="s">
        <v>55</v>
      </c>
      <c r="B2558" s="28" t="s">
        <v>53</v>
      </c>
      <c r="C2558" s="28">
        <v>2014</v>
      </c>
      <c r="D2558" s="28" t="s">
        <v>20</v>
      </c>
      <c r="E2558" s="28" t="s">
        <v>19</v>
      </c>
      <c r="F2558" s="28">
        <v>4.5399999999999998E-3</v>
      </c>
    </row>
    <row r="2559" spans="1:6">
      <c r="A2559" s="28" t="s">
        <v>55</v>
      </c>
      <c r="B2559" s="28" t="s">
        <v>53</v>
      </c>
      <c r="C2559" s="28">
        <v>2015</v>
      </c>
      <c r="D2559" s="28" t="s">
        <v>20</v>
      </c>
      <c r="E2559" s="28" t="s">
        <v>19</v>
      </c>
      <c r="F2559" s="28">
        <v>4.176E-3</v>
      </c>
    </row>
    <row r="2560" spans="1:6">
      <c r="A2560" s="28" t="s">
        <v>55</v>
      </c>
      <c r="B2560" s="28" t="s">
        <v>53</v>
      </c>
      <c r="C2560" s="28">
        <v>2016</v>
      </c>
      <c r="D2560" s="28" t="s">
        <v>20</v>
      </c>
      <c r="E2560" s="28" t="s">
        <v>19</v>
      </c>
      <c r="F2560" s="28">
        <v>1.5006E-2</v>
      </c>
    </row>
    <row r="2561" spans="1:6">
      <c r="A2561" s="28" t="s">
        <v>55</v>
      </c>
      <c r="B2561" s="28" t="s">
        <v>53</v>
      </c>
      <c r="C2561" s="28">
        <v>2017</v>
      </c>
      <c r="D2561" s="28" t="s">
        <v>20</v>
      </c>
      <c r="E2561" s="28" t="s">
        <v>19</v>
      </c>
      <c r="F2561" s="28">
        <v>1.189E-2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25B003-4DA6-4415-8D6F-00CA802549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SQL</vt:lpstr>
      <vt:lpstr>PowerQuery</vt:lpstr>
      <vt:lpstr>Load From DB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</dc:creator>
  <cp:lastModifiedBy>Ляшов Максим Васильевич</cp:lastModifiedBy>
  <dcterms:created xsi:type="dcterms:W3CDTF">2015-06-05T18:19:34Z</dcterms:created>
  <dcterms:modified xsi:type="dcterms:W3CDTF">2019-09-10T09:48:19Z</dcterms:modified>
</cp:coreProperties>
</file>